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8.xml" ContentType="application/vnd.openxmlformats-officedocument.drawing+xml"/>
  <Override PartName="/xl/comments4.xml" ContentType="application/vnd.openxmlformats-officedocument.spreadsheetml.comments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9.xml" ContentType="application/vnd.openxmlformats-officedocument.drawing+xml"/>
  <Override PartName="/xl/comments5.xml" ContentType="application/vnd.openxmlformats-officedocument.spreadsheetml.comments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10.xml" ContentType="application/vnd.openxmlformats-officedocument.drawing+xml"/>
  <Override PartName="/xl/comments6.xml" ContentType="application/vnd.openxmlformats-officedocument.spreadsheetml.comments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11.xml" ContentType="application/vnd.openxmlformats-officedocument.drawing+xml"/>
  <Override PartName="/xl/comments7.xml" ContentType="application/vnd.openxmlformats-officedocument.spreadsheetml.comments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12.xml" ContentType="application/vnd.openxmlformats-officedocument.drawing+xml"/>
  <Override PartName="/xl/comments8.xml" ContentType="application/vnd.openxmlformats-officedocument.spreadsheetml.comments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drawings/drawing13.xml" ContentType="application/vnd.openxmlformats-officedocument.drawing+xml"/>
  <Override PartName="/xl/comments9.xml" ContentType="application/vnd.openxmlformats-officedocument.spreadsheetml.comments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drawings/drawing14.xml" ContentType="application/vnd.openxmlformats-officedocument.drawing+xml"/>
  <Override PartName="/xl/comments10.xml" ContentType="application/vnd.openxmlformats-officedocument.spreadsheetml.comments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drawings/drawing15.xml" ContentType="application/vnd.openxmlformats-officedocument.drawing+xml"/>
  <Override PartName="/xl/comments11.xml" ContentType="application/vnd.openxmlformats-officedocument.spreadsheetml.comments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drawings/drawing16.xml" ContentType="application/vnd.openxmlformats-officedocument.drawing+xml"/>
  <Override PartName="/xl/comments12.xml" ContentType="application/vnd.openxmlformats-officedocument.spreadsheetml.comments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drawings/drawing17.xml" ContentType="application/vnd.openxmlformats-officedocument.drawing+xml"/>
  <Override PartName="/xl/comments13.xml" ContentType="application/vnd.openxmlformats-officedocument.spreadsheetml.comments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\\SERVIDOR\nac sogamoso\CONTABILIDAD\COEXCCOL SAS\COEXCCOL SAS\GTOS MINA\SOCHA\COSTOS\2026\Mayo\"/>
    </mc:Choice>
  </mc:AlternateContent>
  <xr:revisionPtr revIDLastSave="0" documentId="13_ncr:1_{63239905-157E-4FE2-AB02-C25BB928D570}" xr6:coauthVersionLast="47" xr6:coauthVersionMax="47" xr10:uidLastSave="{00000000-0000-0000-0000-000000000000}"/>
  <bookViews>
    <workbookView xWindow="-120" yWindow="-120" windowWidth="29040" windowHeight="15840" firstSheet="3" activeTab="9" xr2:uid="{805FF0F8-3D83-4994-A011-685717520B1F}"/>
  </bookViews>
  <sheets>
    <sheet name="GRAFICO LABOR A LABOR" sheetId="4" state="hidden" r:id="rId1"/>
    <sheet name="CONSOLIDADO LABOR A LABOR" sheetId="3" state="hidden" r:id="rId2"/>
    <sheet name="resumen trimestral" sheetId="23" state="hidden" r:id="rId3"/>
    <sheet name="PRODUC ACUMULADA" sheetId="15" r:id="rId4"/>
    <sheet name="RESUMEN 2026" sheetId="10" r:id="rId5"/>
    <sheet name="ENERO 2026" sheetId="13" r:id="rId6"/>
    <sheet name="FEBRERO 2026" sheetId="14" r:id="rId7"/>
    <sheet name="MARZO 2026" sheetId="16" r:id="rId8"/>
    <sheet name="ABRIL 2026" sheetId="17" r:id="rId9"/>
    <sheet name="MAYO 2026" sheetId="18" r:id="rId10"/>
    <sheet name="JUNIO 2026" sheetId="19" state="hidden" r:id="rId11"/>
    <sheet name="JULIO 2026" sheetId="20" state="hidden" r:id="rId12"/>
    <sheet name="AGOSTO 2026" sheetId="21" state="hidden" r:id="rId13"/>
    <sheet name="SEPTIEMBRE 2026" sheetId="22" state="hidden" r:id="rId14"/>
    <sheet name="OCTUBRE 2026" sheetId="25" state="hidden" r:id="rId15"/>
    <sheet name="NOVIEMBRE 2026" sheetId="26" state="hidden" r:id="rId16"/>
    <sheet name="DICIEMBRE 2026" sheetId="27" state="hidden" r:id="rId17"/>
    <sheet name="CONSOLIDADO" sheetId="28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_xlnm._FilterDatabase" localSheetId="8" hidden="1">'ABRIL 2026'!$B$19:$H$26</definedName>
    <definedName name="_xlnm._FilterDatabase" localSheetId="12" hidden="1">'AGOSTO 2026'!$B$19:$H$26</definedName>
    <definedName name="_xlnm._FilterDatabase" localSheetId="17" hidden="1">CONSOLIDADO!$B$19:$H$26</definedName>
    <definedName name="_xlnm._FilterDatabase" localSheetId="16" hidden="1">'DICIEMBRE 2026'!$B$19:$H$26</definedName>
    <definedName name="_xlnm._FilterDatabase" localSheetId="5" hidden="1">'ENERO 2026'!$B$19:$H$26</definedName>
    <definedName name="_xlnm._FilterDatabase" localSheetId="6" hidden="1">'FEBRERO 2026'!$B$19:$H$26</definedName>
    <definedName name="_xlnm._FilterDatabase" localSheetId="11" hidden="1">'JULIO 2026'!$B$19:$H$26</definedName>
    <definedName name="_xlnm._FilterDatabase" localSheetId="10" hidden="1">'JUNIO 2026'!$B$19:$H$26</definedName>
    <definedName name="_xlnm._FilterDatabase" localSheetId="7" hidden="1">'MARZO 2026'!$B$19:$H$26</definedName>
    <definedName name="_xlnm._FilterDatabase" localSheetId="9" hidden="1">'MAYO 2026'!$B$19:$H$26</definedName>
    <definedName name="_xlnm._FilterDatabase" localSheetId="15" hidden="1">'NOVIEMBRE 2026'!$B$19:$H$26</definedName>
    <definedName name="_xlnm._FilterDatabase" localSheetId="14" hidden="1">'OCTUBRE 2026'!$B$19:$H$26</definedName>
    <definedName name="_xlnm._FilterDatabase" localSheetId="13" hidden="1">'SEPTIEMBRE 2026'!$B$19:$H$26</definedName>
    <definedName name="ARP">'[1]Datos Básicos'!$F$9</definedName>
    <definedName name="AT">'[1]Datos Básicos'!$B$6</definedName>
    <definedName name="CAJA">'[1]Datos Básicos'!$B$11</definedName>
    <definedName name="Cesantia">'[1]Datos Básicos'!$B$19</definedName>
    <definedName name="ESAP">'[1]Datos Básicos'!$F$15</definedName>
    <definedName name="FonSol1">'[1]Datos Básicos'!$B$26</definedName>
    <definedName name="FonSol2">'[1]Datos Básicos'!$B$27</definedName>
    <definedName name="FonSol3">'[1]Datos Básicos'!$B$28</definedName>
    <definedName name="FonSol4">'[1]Datos Básicos'!$B$29</definedName>
    <definedName name="FonSol5">'[1]Datos Básicos'!$B$30</definedName>
    <definedName name="FonSol6">'[1]Datos Básicos'!$B$31</definedName>
    <definedName name="ICBF">'[1]Datos Básicos'!$B$10</definedName>
    <definedName name="IND">'[1]Datos Básicos'!$F$16</definedName>
    <definedName name="IntCesantia">'[1]Datos Básicos'!$B$22</definedName>
    <definedName name="PensionEmpleado">'[1]Datos Básicos'!$B$16</definedName>
    <definedName name="PensionEmpresa">'[1]Datos Básicos'!$C$16</definedName>
    <definedName name="Prima">'[1]Datos Básicos'!$B$20</definedName>
    <definedName name="SaludEmpleado">'[1]Datos Básicos'!$B$15</definedName>
    <definedName name="SaludEmpresa">'[1]Datos Básicos'!$C$15</definedName>
    <definedName name="SegmentaciónDeDatos_Años__FECHA__LIQUIDACION">#N/A</definedName>
    <definedName name="SENA">'[1]Datos Básicos'!$B$9</definedName>
    <definedName name="SM">'[1]Datos Básicos'!$B$5</definedName>
    <definedName name="UVT">'[1]Datos Básicos'!$F$11</definedName>
    <definedName name="Vacaciones">'[1]Datos Básicos'!$B$21</definedName>
    <definedName name="ValorHora">[1]Calculos!$B$4</definedName>
  </definedNames>
  <calcPr calcId="191029"/>
  <pivotCaches>
    <pivotCache cacheId="0" r:id="rId83"/>
  </pivotCaches>
  <extLst>
    <ext xmlns:x14="http://schemas.microsoft.com/office/spreadsheetml/2009/9/main" uri="{BBE1A952-AA13-448e-AADC-164F8A28A991}">
      <x14:slicerCaches>
        <x14:slicerCache r:id="rId8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0" i="18" l="1"/>
  <c r="Y21" i="10"/>
  <c r="C24" i="18"/>
  <c r="C23" i="18"/>
  <c r="C22" i="18"/>
  <c r="C21" i="18"/>
  <c r="D89" i="18"/>
  <c r="L23" i="18"/>
  <c r="L22" i="18"/>
  <c r="L21" i="18"/>
  <c r="L20" i="18"/>
  <c r="Z20" i="10" l="1"/>
  <c r="Z8" i="10"/>
  <c r="Z17" i="10"/>
  <c r="Z13" i="10"/>
  <c r="Z18" i="10"/>
  <c r="Z3" i="10"/>
  <c r="Z4" i="10"/>
  <c r="Z5" i="10"/>
  <c r="Z9" i="10"/>
  <c r="Z10" i="10"/>
  <c r="Z19" i="10"/>
  <c r="Z6" i="10"/>
  <c r="Z14" i="10"/>
  <c r="Z7" i="10"/>
  <c r="Z15" i="10"/>
  <c r="Z16" i="10"/>
  <c r="Z2" i="10"/>
  <c r="B9" i="15"/>
  <c r="C16" i="18" s="1"/>
  <c r="C89" i="18" s="1"/>
  <c r="Z21" i="10" l="1"/>
  <c r="C58" i="18"/>
  <c r="C57" i="18"/>
  <c r="C56" i="18"/>
  <c r="C55" i="18"/>
  <c r="C54" i="18"/>
  <c r="C24" i="17"/>
  <c r="C21" i="17"/>
  <c r="C23" i="17"/>
  <c r="C22" i="17"/>
  <c r="S22" i="10" l="1"/>
  <c r="T20" i="10" s="1"/>
  <c r="T15" i="10"/>
  <c r="T11" i="10"/>
  <c r="T8" i="10"/>
  <c r="T7" i="10"/>
  <c r="T3" i="10"/>
  <c r="T2" i="10"/>
  <c r="T12" i="10" l="1"/>
  <c r="T16" i="10"/>
  <c r="T4" i="10"/>
  <c r="C20" i="17"/>
  <c r="T5" i="10"/>
  <c r="T9" i="10"/>
  <c r="T13" i="10"/>
  <c r="T17" i="10"/>
  <c r="T6" i="10"/>
  <c r="T10" i="10"/>
  <c r="T14" i="10"/>
  <c r="T21" i="10"/>
  <c r="T18" i="10"/>
  <c r="T19" i="10"/>
  <c r="T22" i="10" l="1"/>
  <c r="L22" i="17"/>
  <c r="L23" i="17"/>
  <c r="L21" i="17"/>
  <c r="C58" i="17"/>
  <c r="C57" i="17"/>
  <c r="C56" i="17"/>
  <c r="C55" i="17"/>
  <c r="C54" i="17"/>
  <c r="C58" i="16"/>
  <c r="C57" i="16"/>
  <c r="C56" i="16"/>
  <c r="C54" i="16"/>
  <c r="L23" i="16"/>
  <c r="L22" i="16"/>
  <c r="L21" i="16"/>
  <c r="B7" i="15"/>
  <c r="C24" i="16" l="1"/>
  <c r="C23" i="16"/>
  <c r="C22" i="16"/>
  <c r="C21" i="16"/>
  <c r="M22" i="10" l="1"/>
  <c r="N21" i="10" s="1"/>
  <c r="N22" i="10" s="1"/>
  <c r="C20" i="16" l="1"/>
  <c r="F88" i="14"/>
  <c r="C58" i="14"/>
  <c r="C57" i="14"/>
  <c r="C56" i="14"/>
  <c r="C55" i="14"/>
  <c r="C54" i="14"/>
  <c r="H58" i="14"/>
  <c r="G57" i="14"/>
  <c r="G56" i="14"/>
  <c r="G55" i="14"/>
  <c r="H58" i="13"/>
  <c r="G57" i="13"/>
  <c r="G56" i="13"/>
  <c r="G55" i="13"/>
  <c r="L21" i="14"/>
  <c r="Q24" i="14"/>
  <c r="P23" i="14"/>
  <c r="L23" i="14" s="1"/>
  <c r="P22" i="14"/>
  <c r="L22" i="14" s="1"/>
  <c r="P21" i="14"/>
  <c r="C24" i="14" l="1"/>
  <c r="C23" i="14"/>
  <c r="C22" i="14"/>
  <c r="C21" i="14"/>
  <c r="B6" i="15" l="1"/>
  <c r="H12" i="10" l="1"/>
  <c r="H11" i="10"/>
  <c r="H10" i="10"/>
  <c r="H9" i="10"/>
  <c r="H8" i="10"/>
  <c r="H7" i="10"/>
  <c r="H6" i="10"/>
  <c r="H5" i="10"/>
  <c r="H4" i="10"/>
  <c r="H3" i="10"/>
  <c r="H2" i="10"/>
  <c r="C11" i="10"/>
  <c r="C10" i="10"/>
  <c r="C9" i="10"/>
  <c r="C8" i="10"/>
  <c r="C7" i="10"/>
  <c r="B7" i="10"/>
  <c r="C6" i="10"/>
  <c r="C5" i="10"/>
  <c r="C4" i="10"/>
  <c r="C3" i="10"/>
  <c r="C2" i="10"/>
  <c r="H18" i="10" l="1"/>
  <c r="C20" i="14" s="1"/>
  <c r="I9" i="10" l="1"/>
  <c r="I8" i="10"/>
  <c r="I2" i="10"/>
  <c r="I11" i="10"/>
  <c r="I12" i="10"/>
  <c r="I5" i="10"/>
  <c r="I10" i="10"/>
  <c r="I7" i="10"/>
  <c r="I6" i="10"/>
  <c r="I3" i="10"/>
  <c r="I4" i="10"/>
  <c r="L24" i="14"/>
  <c r="C20" i="13"/>
  <c r="I18" i="10" l="1"/>
  <c r="F16" i="28"/>
  <c r="L23" i="13" l="1"/>
  <c r="L22" i="13"/>
  <c r="L21" i="13"/>
  <c r="C24" i="13"/>
  <c r="C23" i="13"/>
  <c r="C22" i="13"/>
  <c r="C21" i="13"/>
  <c r="B16" i="15" l="1"/>
  <c r="B15" i="15"/>
  <c r="B14" i="15"/>
  <c r="B13" i="15"/>
  <c r="B12" i="15"/>
  <c r="B11" i="15"/>
  <c r="B10" i="15"/>
  <c r="B5" i="15"/>
  <c r="C16" i="13" s="1"/>
  <c r="C86" i="13" s="1"/>
  <c r="L24" i="27" l="1"/>
  <c r="D30" i="28"/>
  <c r="D31" i="28"/>
  <c r="C16" i="26"/>
  <c r="C16" i="25"/>
  <c r="D32" i="28"/>
  <c r="D29" i="28"/>
  <c r="D28" i="28"/>
  <c r="D27" i="28"/>
  <c r="D26" i="28"/>
  <c r="D25" i="28"/>
  <c r="D24" i="28"/>
  <c r="D23" i="28"/>
  <c r="D22" i="28"/>
  <c r="D21" i="28"/>
  <c r="C16" i="27" l="1"/>
  <c r="BX21" i="10"/>
  <c r="BQ21" i="10"/>
  <c r="BQ20" i="10"/>
  <c r="BQ22" i="10" l="1"/>
  <c r="C20" i="26" s="1"/>
  <c r="BJ22" i="10"/>
  <c r="C20" i="25" s="1"/>
  <c r="BX22" i="10"/>
  <c r="BR3" i="10" l="1"/>
  <c r="BR7" i="10"/>
  <c r="BR5" i="10"/>
  <c r="BR13" i="10"/>
  <c r="BR15" i="10"/>
  <c r="BR9" i="10"/>
  <c r="BR6" i="10"/>
  <c r="BR12" i="10"/>
  <c r="BR10" i="10"/>
  <c r="BR8" i="10"/>
  <c r="BR11" i="10"/>
  <c r="BR4" i="10"/>
  <c r="BR20" i="10"/>
  <c r="BR19" i="10"/>
  <c r="BR16" i="10"/>
  <c r="BR17" i="10"/>
  <c r="BR21" i="10"/>
  <c r="BR2" i="10"/>
  <c r="BK2" i="10"/>
  <c r="BK6" i="10"/>
  <c r="BK12" i="10"/>
  <c r="BK10" i="10"/>
  <c r="BK19" i="10"/>
  <c r="BK8" i="10"/>
  <c r="BK5" i="10"/>
  <c r="BK3" i="10"/>
  <c r="BK9" i="10"/>
  <c r="BK16" i="10"/>
  <c r="BK18" i="10"/>
  <c r="BK7" i="10"/>
  <c r="BK13" i="10"/>
  <c r="BK4" i="10"/>
  <c r="BK17" i="10"/>
  <c r="BK21" i="10"/>
  <c r="BR18" i="10"/>
  <c r="BY17" i="10"/>
  <c r="C20" i="27"/>
  <c r="BY16" i="10"/>
  <c r="BY18" i="10"/>
  <c r="BY20" i="10"/>
  <c r="BY15" i="10"/>
  <c r="BY21" i="10"/>
  <c r="BY11" i="10"/>
  <c r="BY7" i="10"/>
  <c r="BY3" i="10"/>
  <c r="BY13" i="10"/>
  <c r="BY9" i="10"/>
  <c r="BY5" i="10"/>
  <c r="BY6" i="10"/>
  <c r="BY12" i="10"/>
  <c r="BY8" i="10"/>
  <c r="BY4" i="10"/>
  <c r="BY2" i="10"/>
  <c r="BY10" i="10"/>
  <c r="BY19" i="10"/>
  <c r="D16" i="25" l="1"/>
  <c r="C89" i="26" l="1"/>
  <c r="D89" i="25"/>
  <c r="C59" i="25"/>
  <c r="E26" i="25"/>
  <c r="C25" i="25"/>
  <c r="E21" i="25"/>
  <c r="E16" i="25"/>
  <c r="E57" i="25" l="1"/>
  <c r="N21" i="25"/>
  <c r="N22" i="25"/>
  <c r="F89" i="25"/>
  <c r="E55" i="25"/>
  <c r="E24" i="25"/>
  <c r="D56" i="25"/>
  <c r="C94" i="25"/>
  <c r="D55" i="25"/>
  <c r="C93" i="25"/>
  <c r="D20" i="25"/>
  <c r="D23" i="25"/>
  <c r="D58" i="25"/>
  <c r="D54" i="25"/>
  <c r="D21" i="25"/>
  <c r="N23" i="25"/>
  <c r="E54" i="25"/>
  <c r="E23" i="25"/>
  <c r="D22" i="25"/>
  <c r="E22" i="25"/>
  <c r="D57" i="25"/>
  <c r="C89" i="25"/>
  <c r="E89" i="25" s="1"/>
  <c r="E20" i="25"/>
  <c r="F20" i="25"/>
  <c r="D24" i="25"/>
  <c r="N24" i="25"/>
  <c r="E58" i="25"/>
  <c r="E56" i="25"/>
  <c r="D25" i="25" l="1"/>
  <c r="E59" i="25"/>
  <c r="O20" i="25"/>
  <c r="F54" i="25"/>
  <c r="E25" i="25"/>
  <c r="D59" i="25"/>
  <c r="P29" i="25" l="1"/>
  <c r="N20" i="25" l="1"/>
  <c r="N25" i="25" s="1"/>
  <c r="C63" i="28" s="1"/>
  <c r="L25" i="25"/>
  <c r="L52" i="25" s="1"/>
  <c r="M24" i="25" l="1"/>
  <c r="M21" i="25"/>
  <c r="M22" i="25"/>
  <c r="C95" i="25"/>
  <c r="M23" i="25"/>
  <c r="M20" i="25"/>
  <c r="M25" i="25" l="1"/>
  <c r="C96" i="25"/>
  <c r="C30" i="28" s="1"/>
  <c r="D95" i="25" l="1"/>
  <c r="D93" i="25"/>
  <c r="D94" i="25"/>
  <c r="D96" i="25" l="1"/>
  <c r="F89" i="27" l="1"/>
  <c r="D89" i="27"/>
  <c r="E57" i="27"/>
  <c r="E56" i="27"/>
  <c r="E55" i="27"/>
  <c r="C59" i="27"/>
  <c r="E26" i="27"/>
  <c r="N23" i="27"/>
  <c r="N22" i="27"/>
  <c r="E22" i="27"/>
  <c r="N21" i="27"/>
  <c r="E21" i="27"/>
  <c r="F20" i="27"/>
  <c r="F54" i="27" s="1"/>
  <c r="E20" i="27"/>
  <c r="E24" i="27"/>
  <c r="F89" i="26"/>
  <c r="D89" i="26"/>
  <c r="E57" i="26"/>
  <c r="E56" i="26"/>
  <c r="E55" i="26"/>
  <c r="E26" i="26"/>
  <c r="N23" i="26"/>
  <c r="N22" i="26"/>
  <c r="E22" i="26"/>
  <c r="N21" i="26"/>
  <c r="E21" i="26"/>
  <c r="F20" i="26"/>
  <c r="F54" i="26" s="1"/>
  <c r="E20" i="26"/>
  <c r="E24" i="26"/>
  <c r="D55" i="27" l="1"/>
  <c r="D54" i="27"/>
  <c r="C94" i="27"/>
  <c r="D58" i="27"/>
  <c r="E23" i="27"/>
  <c r="E25" i="27" s="1"/>
  <c r="E58" i="27"/>
  <c r="E16" i="27"/>
  <c r="O20" i="27"/>
  <c r="C25" i="27"/>
  <c r="D56" i="27"/>
  <c r="N24" i="27"/>
  <c r="E54" i="27"/>
  <c r="D57" i="27"/>
  <c r="C89" i="27"/>
  <c r="E89" i="27" s="1"/>
  <c r="E16" i="26"/>
  <c r="O20" i="26"/>
  <c r="C25" i="26"/>
  <c r="D21" i="26" s="1"/>
  <c r="C59" i="26"/>
  <c r="D58" i="26" s="1"/>
  <c r="E54" i="26"/>
  <c r="E58" i="26"/>
  <c r="E89" i="26"/>
  <c r="E23" i="26"/>
  <c r="E25" i="26" s="1"/>
  <c r="N24" i="26"/>
  <c r="D20" i="27" l="1"/>
  <c r="C32" i="28"/>
  <c r="D21" i="27"/>
  <c r="D23" i="27"/>
  <c r="E59" i="26"/>
  <c r="D24" i="27"/>
  <c r="C93" i="27"/>
  <c r="D22" i="27"/>
  <c r="D59" i="27"/>
  <c r="P29" i="27"/>
  <c r="E59" i="27"/>
  <c r="D55" i="26"/>
  <c r="C94" i="26"/>
  <c r="D57" i="26"/>
  <c r="D56" i="26"/>
  <c r="D54" i="26"/>
  <c r="D24" i="26"/>
  <c r="C93" i="26"/>
  <c r="D22" i="26"/>
  <c r="P29" i="26"/>
  <c r="D20" i="26"/>
  <c r="D23" i="26"/>
  <c r="D25" i="27" l="1"/>
  <c r="N20" i="27"/>
  <c r="N25" i="27" s="1"/>
  <c r="C65" i="28" s="1"/>
  <c r="L25" i="27"/>
  <c r="M20" i="27" s="1"/>
  <c r="L25" i="26"/>
  <c r="N20" i="26"/>
  <c r="N25" i="26" s="1"/>
  <c r="C64" i="28" s="1"/>
  <c r="D59" i="26"/>
  <c r="D25" i="26"/>
  <c r="F89" i="21"/>
  <c r="F20" i="21"/>
  <c r="F54" i="21" s="1"/>
  <c r="M24" i="27" l="1"/>
  <c r="M21" i="27"/>
  <c r="C95" i="27"/>
  <c r="M23" i="27"/>
  <c r="M22" i="27"/>
  <c r="M24" i="26"/>
  <c r="M21" i="26"/>
  <c r="C95" i="26"/>
  <c r="M23" i="26"/>
  <c r="M22" i="26"/>
  <c r="M20" i="26"/>
  <c r="M25" i="27" l="1"/>
  <c r="C96" i="27"/>
  <c r="D95" i="27" s="1"/>
  <c r="M25" i="26"/>
  <c r="C96" i="26"/>
  <c r="F89" i="22"/>
  <c r="D89" i="22"/>
  <c r="E26" i="22"/>
  <c r="F20" i="22"/>
  <c r="D89" i="21"/>
  <c r="E26" i="21"/>
  <c r="O20" i="21"/>
  <c r="F89" i="20"/>
  <c r="D89" i="20"/>
  <c r="F87" i="19"/>
  <c r="D87" i="19"/>
  <c r="F89" i="16"/>
  <c r="F88" i="17"/>
  <c r="D88" i="17"/>
  <c r="D88" i="14"/>
  <c r="D89" i="16"/>
  <c r="E89" i="18"/>
  <c r="BD20" i="10"/>
  <c r="BD17" i="10"/>
  <c r="BD15" i="10"/>
  <c r="BD12" i="10"/>
  <c r="BD11" i="10"/>
  <c r="BD9" i="10"/>
  <c r="BD7" i="10"/>
  <c r="BD5" i="10"/>
  <c r="BD4" i="10"/>
  <c r="BD3" i="10"/>
  <c r="Q32" i="21" l="1"/>
  <c r="O20" i="22"/>
  <c r="F54" i="22"/>
  <c r="D95" i="26"/>
  <c r="C31" i="28"/>
  <c r="D94" i="27"/>
  <c r="D93" i="27"/>
  <c r="D93" i="26"/>
  <c r="D94" i="26"/>
  <c r="P29" i="22"/>
  <c r="C59" i="22"/>
  <c r="D57" i="22" s="1"/>
  <c r="C59" i="21"/>
  <c r="D56" i="21" s="1"/>
  <c r="BD6" i="10"/>
  <c r="BD8" i="10"/>
  <c r="BD16" i="10"/>
  <c r="BD18" i="10"/>
  <c r="BD2" i="10"/>
  <c r="C20" i="21" l="1"/>
  <c r="C25" i="21" s="1"/>
  <c r="D96" i="27"/>
  <c r="D96" i="26"/>
  <c r="D58" i="22"/>
  <c r="L25" i="22"/>
  <c r="M20" i="22" s="1"/>
  <c r="D55" i="22"/>
  <c r="D54" i="22"/>
  <c r="C94" i="22"/>
  <c r="D56" i="22"/>
  <c r="D57" i="21"/>
  <c r="D55" i="21"/>
  <c r="D54" i="21"/>
  <c r="C94" i="21"/>
  <c r="L25" i="21"/>
  <c r="M20" i="21" s="1"/>
  <c r="D58" i="21"/>
  <c r="AV12" i="10"/>
  <c r="AV20" i="10"/>
  <c r="AV8" i="10"/>
  <c r="AV2" i="10"/>
  <c r="AV16" i="10"/>
  <c r="AV4" i="10"/>
  <c r="AV18" i="10"/>
  <c r="AV6" i="10"/>
  <c r="AV7" i="10"/>
  <c r="AV11" i="10"/>
  <c r="AV17" i="10"/>
  <c r="AV9" i="10"/>
  <c r="AV3" i="10"/>
  <c r="AU25" i="10"/>
  <c r="AV5" i="10"/>
  <c r="AV15" i="10"/>
  <c r="D20" i="21" l="1"/>
  <c r="C93" i="21"/>
  <c r="D22" i="21"/>
  <c r="D24" i="21"/>
  <c r="D21" i="21"/>
  <c r="D23" i="21"/>
  <c r="D59" i="22"/>
  <c r="C95" i="22"/>
  <c r="M24" i="22"/>
  <c r="M23" i="22"/>
  <c r="M22" i="22"/>
  <c r="M21" i="22"/>
  <c r="D59" i="21"/>
  <c r="M22" i="21"/>
  <c r="C95" i="21"/>
  <c r="C96" i="21" s="1"/>
  <c r="C28" i="28" s="1"/>
  <c r="M23" i="21"/>
  <c r="M24" i="21"/>
  <c r="M21" i="21"/>
  <c r="D25" i="21" l="1"/>
  <c r="D93" i="21"/>
  <c r="M25" i="22"/>
  <c r="M25" i="21"/>
  <c r="D95" i="21"/>
  <c r="D94" i="21"/>
  <c r="D96" i="21" l="1"/>
  <c r="F20" i="16" l="1"/>
  <c r="O20" i="16" s="1"/>
  <c r="L20" i="16" s="1"/>
  <c r="F54" i="16" l="1"/>
  <c r="C59" i="20" l="1"/>
  <c r="E26" i="20"/>
  <c r="F20" i="20"/>
  <c r="O20" i="20" s="1"/>
  <c r="C59" i="19"/>
  <c r="E26" i="19"/>
  <c r="F20" i="19"/>
  <c r="C59" i="18"/>
  <c r="C94" i="18" s="1"/>
  <c r="E26" i="18"/>
  <c r="F20" i="18"/>
  <c r="C59" i="17"/>
  <c r="E26" i="17"/>
  <c r="F20" i="17"/>
  <c r="E26" i="16"/>
  <c r="L25" i="16"/>
  <c r="C95" i="16" s="1"/>
  <c r="C16" i="21"/>
  <c r="C89" i="21" s="1"/>
  <c r="C16" i="20"/>
  <c r="C89" i="20" s="1"/>
  <c r="E89" i="20" s="1"/>
  <c r="C16" i="19"/>
  <c r="C87" i="19" s="1"/>
  <c r="E87" i="19" s="1"/>
  <c r="C16" i="17"/>
  <c r="C88" i="17" s="1"/>
  <c r="E88" i="17" s="1"/>
  <c r="C16" i="16"/>
  <c r="C89" i="16" s="1"/>
  <c r="E89" i="16" s="1"/>
  <c r="C16" i="14"/>
  <c r="F54" i="17" l="1"/>
  <c r="O20" i="17"/>
  <c r="L20" i="17" s="1"/>
  <c r="P29" i="20"/>
  <c r="D57" i="17"/>
  <c r="C93" i="17"/>
  <c r="O20" i="18"/>
  <c r="F54" i="18"/>
  <c r="C16" i="22"/>
  <c r="E55" i="22" s="1"/>
  <c r="E58" i="21"/>
  <c r="E22" i="21"/>
  <c r="N23" i="21"/>
  <c r="E16" i="21"/>
  <c r="E55" i="21"/>
  <c r="E57" i="21"/>
  <c r="E21" i="21"/>
  <c r="E56" i="21"/>
  <c r="E24" i="21"/>
  <c r="E89" i="21"/>
  <c r="E54" i="21"/>
  <c r="N22" i="21"/>
  <c r="N21" i="21"/>
  <c r="E23" i="21"/>
  <c r="N24" i="21"/>
  <c r="E20" i="21"/>
  <c r="N20" i="21"/>
  <c r="D58" i="19"/>
  <c r="C92" i="19"/>
  <c r="D57" i="18"/>
  <c r="E16" i="14"/>
  <c r="C88" i="14"/>
  <c r="E88" i="14" s="1"/>
  <c r="D57" i="20"/>
  <c r="C94" i="20"/>
  <c r="E16" i="17"/>
  <c r="E56" i="17"/>
  <c r="E55" i="17"/>
  <c r="E24" i="17"/>
  <c r="E23" i="17"/>
  <c r="E16" i="18"/>
  <c r="E54" i="18"/>
  <c r="N23" i="18"/>
  <c r="E23" i="18"/>
  <c r="N22" i="18"/>
  <c r="E55" i="18"/>
  <c r="E21" i="18"/>
  <c r="D54" i="20"/>
  <c r="D55" i="20"/>
  <c r="D56" i="20"/>
  <c r="D58" i="20"/>
  <c r="F54" i="19"/>
  <c r="O20" i="19"/>
  <c r="D55" i="19"/>
  <c r="D56" i="19"/>
  <c r="D56" i="18"/>
  <c r="D58" i="18"/>
  <c r="D54" i="18"/>
  <c r="D55" i="18"/>
  <c r="D54" i="17"/>
  <c r="D55" i="17"/>
  <c r="D58" i="17"/>
  <c r="D56" i="17"/>
  <c r="E16" i="16"/>
  <c r="N22" i="16"/>
  <c r="N24" i="16"/>
  <c r="E54" i="16"/>
  <c r="E58" i="16"/>
  <c r="E57" i="16"/>
  <c r="E21" i="16"/>
  <c r="E56" i="16"/>
  <c r="E16" i="20"/>
  <c r="E58" i="20"/>
  <c r="N24" i="20"/>
  <c r="E57" i="20"/>
  <c r="E56" i="20"/>
  <c r="N21" i="20"/>
  <c r="E16" i="19"/>
  <c r="E54" i="19"/>
  <c r="N21" i="19"/>
  <c r="E58" i="19"/>
  <c r="N24" i="19"/>
  <c r="E57" i="19"/>
  <c r="B17" i="15"/>
  <c r="C16" i="28" s="1"/>
  <c r="E24" i="16"/>
  <c r="E21" i="17"/>
  <c r="N23" i="17"/>
  <c r="N21" i="16"/>
  <c r="N21" i="17"/>
  <c r="N24" i="17"/>
  <c r="E22" i="16"/>
  <c r="E22" i="17"/>
  <c r="E24" i="18"/>
  <c r="E56" i="18"/>
  <c r="E57" i="17"/>
  <c r="E24" i="19"/>
  <c r="N22" i="17"/>
  <c r="E58" i="17"/>
  <c r="N21" i="18"/>
  <c r="N24" i="18"/>
  <c r="E57" i="18"/>
  <c r="E54" i="17"/>
  <c r="E24" i="20"/>
  <c r="N23" i="16"/>
  <c r="E23" i="16"/>
  <c r="E58" i="18"/>
  <c r="E86" i="13"/>
  <c r="E22" i="20"/>
  <c r="N22" i="20"/>
  <c r="E54" i="20"/>
  <c r="E23" i="20"/>
  <c r="E55" i="20"/>
  <c r="E21" i="20"/>
  <c r="N23" i="20"/>
  <c r="E22" i="19"/>
  <c r="N20" i="19"/>
  <c r="N22" i="19"/>
  <c r="E55" i="19"/>
  <c r="E21" i="19"/>
  <c r="E23" i="19"/>
  <c r="N23" i="19"/>
  <c r="E56" i="19"/>
  <c r="L25" i="20"/>
  <c r="C95" i="20" s="1"/>
  <c r="N20" i="20"/>
  <c r="L25" i="19"/>
  <c r="D57" i="19"/>
  <c r="D54" i="19"/>
  <c r="E22" i="18"/>
  <c r="M22" i="16"/>
  <c r="M24" i="16"/>
  <c r="M21" i="16"/>
  <c r="M20" i="16"/>
  <c r="N20" i="16"/>
  <c r="M23" i="16"/>
  <c r="E57" i="22" l="1"/>
  <c r="E24" i="22"/>
  <c r="E56" i="22"/>
  <c r="N20" i="22"/>
  <c r="C89" i="22"/>
  <c r="E89" i="22" s="1"/>
  <c r="E54" i="22"/>
  <c r="E59" i="22" s="1"/>
  <c r="N22" i="22"/>
  <c r="E23" i="22"/>
  <c r="N23" i="22"/>
  <c r="E58" i="22"/>
  <c r="E22" i="22"/>
  <c r="Q31" i="17"/>
  <c r="E16" i="22"/>
  <c r="P29" i="18"/>
  <c r="E16" i="28"/>
  <c r="E21" i="22"/>
  <c r="N21" i="22"/>
  <c r="N24" i="22"/>
  <c r="M20" i="19"/>
  <c r="C93" i="19"/>
  <c r="E25" i="21"/>
  <c r="E59" i="21"/>
  <c r="D59" i="18"/>
  <c r="N25" i="21"/>
  <c r="D59" i="20"/>
  <c r="N25" i="19"/>
  <c r="E59" i="18"/>
  <c r="E59" i="17"/>
  <c r="D59" i="17"/>
  <c r="N25" i="16"/>
  <c r="E59" i="19"/>
  <c r="E59" i="20"/>
  <c r="N25" i="20"/>
  <c r="M24" i="20"/>
  <c r="M21" i="20"/>
  <c r="M22" i="20"/>
  <c r="M23" i="20"/>
  <c r="M20" i="20"/>
  <c r="M23" i="19"/>
  <c r="M24" i="19"/>
  <c r="M22" i="19"/>
  <c r="D59" i="19"/>
  <c r="M21" i="19"/>
  <c r="M25" i="16"/>
  <c r="N20" i="18" l="1"/>
  <c r="N25" i="18" s="1"/>
  <c r="L25" i="18"/>
  <c r="N20" i="17"/>
  <c r="N25" i="17" s="1"/>
  <c r="L25" i="17"/>
  <c r="N25" i="22"/>
  <c r="C61" i="28"/>
  <c r="M25" i="20"/>
  <c r="M25" i="19"/>
  <c r="M24" i="17" l="1"/>
  <c r="C94" i="17"/>
  <c r="M23" i="17"/>
  <c r="M22" i="17"/>
  <c r="M21" i="17"/>
  <c r="M20" i="17"/>
  <c r="M20" i="18"/>
  <c r="C95" i="18"/>
  <c r="M23" i="18"/>
  <c r="M21" i="18"/>
  <c r="M24" i="18"/>
  <c r="M22" i="18"/>
  <c r="C59" i="14"/>
  <c r="E58" i="14"/>
  <c r="E57" i="14"/>
  <c r="E56" i="14"/>
  <c r="E55" i="14"/>
  <c r="E54" i="14"/>
  <c r="E26" i="14"/>
  <c r="N24" i="14"/>
  <c r="E24" i="14"/>
  <c r="N23" i="14"/>
  <c r="E23" i="14"/>
  <c r="N22" i="14"/>
  <c r="E21" i="14"/>
  <c r="F20" i="14"/>
  <c r="E58" i="13"/>
  <c r="E57" i="13"/>
  <c r="E56" i="13"/>
  <c r="E55" i="13"/>
  <c r="O20" i="14" l="1"/>
  <c r="L20" i="14" s="1"/>
  <c r="F54" i="14"/>
  <c r="M25" i="18"/>
  <c r="M25" i="17"/>
  <c r="D58" i="14"/>
  <c r="C93" i="14"/>
  <c r="D54" i="14"/>
  <c r="D55" i="14"/>
  <c r="D56" i="14"/>
  <c r="D57" i="14"/>
  <c r="E59" i="14"/>
  <c r="N21" i="14"/>
  <c r="E22" i="14"/>
  <c r="N24" i="13"/>
  <c r="N23" i="13"/>
  <c r="N22" i="13"/>
  <c r="N21" i="13"/>
  <c r="F20" i="13"/>
  <c r="O20" i="13" l="1"/>
  <c r="F54" i="13"/>
  <c r="L25" i="14"/>
  <c r="N20" i="14"/>
  <c r="N25" i="14" s="1"/>
  <c r="D59" i="14"/>
  <c r="C94" i="14" l="1"/>
  <c r="M23" i="14"/>
  <c r="M22" i="14"/>
  <c r="M21" i="14"/>
  <c r="M20" i="14"/>
  <c r="M25" i="14" s="1"/>
  <c r="M24" i="14"/>
  <c r="N20" i="13"/>
  <c r="N25" i="13" s="1"/>
  <c r="L20" i="13"/>
  <c r="L25" i="13" s="1"/>
  <c r="M22" i="13" s="1"/>
  <c r="M21" i="13" l="1"/>
  <c r="M20" i="13"/>
  <c r="M24" i="13"/>
  <c r="M25" i="13" s="1"/>
  <c r="M23" i="13"/>
  <c r="C92" i="13"/>
  <c r="E26" i="13" l="1"/>
  <c r="E16" i="13" l="1"/>
  <c r="AG50" i="10" l="1"/>
  <c r="B786" i="3"/>
  <c r="B800" i="3"/>
  <c r="B798" i="3"/>
  <c r="B797" i="3"/>
  <c r="B793" i="3" l="1"/>
  <c r="B788" i="3"/>
  <c r="B791" i="3"/>
  <c r="B794" i="3" l="1"/>
  <c r="B787" i="3"/>
  <c r="B790" i="3"/>
  <c r="B789" i="3"/>
  <c r="B785" i="3" l="1"/>
  <c r="B784" i="3"/>
  <c r="B801" i="3" l="1"/>
  <c r="B799" i="3"/>
  <c r="B796" i="3"/>
  <c r="A796" i="3"/>
  <c r="B795" i="3"/>
  <c r="A795" i="3"/>
  <c r="A794" i="3"/>
  <c r="B792" i="3"/>
  <c r="A790" i="3"/>
  <c r="B767" i="3"/>
  <c r="B783" i="3"/>
  <c r="B782" i="3"/>
  <c r="B781" i="3"/>
  <c r="B779" i="3"/>
  <c r="B778" i="3"/>
  <c r="B774" i="3" l="1"/>
  <c r="B769" i="3"/>
  <c r="B772" i="3"/>
  <c r="B775" i="3" l="1"/>
  <c r="B768" i="3"/>
  <c r="B771" i="3"/>
  <c r="B770" i="3"/>
  <c r="B765" i="3" l="1"/>
  <c r="B766" i="3"/>
  <c r="B780" i="3" l="1"/>
  <c r="B777" i="3"/>
  <c r="A777" i="3"/>
  <c r="B776" i="3"/>
  <c r="A776" i="3"/>
  <c r="A775" i="3"/>
  <c r="B773" i="3"/>
  <c r="A771" i="3"/>
  <c r="AM13" i="10"/>
  <c r="B748" i="3"/>
  <c r="B764" i="3"/>
  <c r="B763" i="3"/>
  <c r="B762" i="3"/>
  <c r="B761" i="3"/>
  <c r="B760" i="3"/>
  <c r="B759" i="3"/>
  <c r="AM18" i="10" l="1"/>
  <c r="BK14" i="10" l="1"/>
  <c r="BR14" i="10"/>
  <c r="BR22" i="10" s="1"/>
  <c r="BY14" i="10"/>
  <c r="BY22" i="10" s="1"/>
  <c r="BK20" i="10"/>
  <c r="BK11" i="10"/>
  <c r="BK15" i="10"/>
  <c r="C20" i="20"/>
  <c r="C25" i="20" s="1"/>
  <c r="C93" i="20" s="1"/>
  <c r="BD13" i="10"/>
  <c r="BD10" i="10"/>
  <c r="BD19" i="10"/>
  <c r="C20" i="22"/>
  <c r="BD14" i="10"/>
  <c r="AV13" i="10"/>
  <c r="AV14" i="10"/>
  <c r="AV10" i="10"/>
  <c r="AV19" i="10"/>
  <c r="B66" i="10"/>
  <c r="B51" i="10"/>
  <c r="AN8" i="10"/>
  <c r="AN14" i="10"/>
  <c r="AN9" i="10"/>
  <c r="AN5" i="10"/>
  <c r="AN2" i="10"/>
  <c r="AN12" i="10"/>
  <c r="AN7" i="10"/>
  <c r="AN11" i="10"/>
  <c r="AN4" i="10"/>
  <c r="AN3" i="10"/>
  <c r="AN6" i="10"/>
  <c r="AN10" i="10"/>
  <c r="AN13" i="10"/>
  <c r="B755" i="3"/>
  <c r="B750" i="3"/>
  <c r="B753" i="3"/>
  <c r="BK22" i="10" l="1"/>
  <c r="E20" i="20"/>
  <c r="E25" i="20" s="1"/>
  <c r="C60" i="28" s="1"/>
  <c r="BD21" i="10"/>
  <c r="C25" i="22"/>
  <c r="D20" i="22" s="1"/>
  <c r="E20" i="22"/>
  <c r="E25" i="22" s="1"/>
  <c r="C62" i="28" s="1"/>
  <c r="AV21" i="10"/>
  <c r="AV25" i="10" s="1"/>
  <c r="C96" i="20"/>
  <c r="D20" i="20"/>
  <c r="D22" i="20"/>
  <c r="D24" i="20"/>
  <c r="D21" i="20"/>
  <c r="D23" i="20"/>
  <c r="B756" i="3"/>
  <c r="B747" i="3"/>
  <c r="B749" i="3"/>
  <c r="B752" i="3"/>
  <c r="B751" i="3"/>
  <c r="D23" i="22" l="1"/>
  <c r="D24" i="22"/>
  <c r="D22" i="22"/>
  <c r="D21" i="22"/>
  <c r="C93" i="22"/>
  <c r="C27" i="28"/>
  <c r="D93" i="20"/>
  <c r="D95" i="20"/>
  <c r="D94" i="20"/>
  <c r="D25" i="20"/>
  <c r="B746" i="3"/>
  <c r="D25" i="22" l="1"/>
  <c r="C96" i="22"/>
  <c r="D96" i="20"/>
  <c r="B758" i="3"/>
  <c r="A758" i="3"/>
  <c r="B757" i="3"/>
  <c r="A757" i="3"/>
  <c r="A756" i="3"/>
  <c r="B754" i="3"/>
  <c r="A752" i="3"/>
  <c r="B729" i="3"/>
  <c r="B745" i="3"/>
  <c r="B744" i="3"/>
  <c r="B742" i="3"/>
  <c r="B741" i="3"/>
  <c r="B740" i="3"/>
  <c r="B743" i="3"/>
  <c r="B739" i="3"/>
  <c r="A739" i="3"/>
  <c r="B738" i="3"/>
  <c r="A738" i="3"/>
  <c r="A737" i="3"/>
  <c r="B735" i="3"/>
  <c r="A733" i="3"/>
  <c r="C29" i="28" l="1"/>
  <c r="D95" i="22"/>
  <c r="D94" i="22"/>
  <c r="D93" i="22"/>
  <c r="B737" i="3"/>
  <c r="D96" i="22" l="1"/>
  <c r="B736" i="3"/>
  <c r="B731" i="3"/>
  <c r="B734" i="3"/>
  <c r="B730" i="3" l="1"/>
  <c r="B733" i="3"/>
  <c r="B732" i="3"/>
  <c r="B728" i="3" l="1"/>
  <c r="B727" i="3" l="1"/>
  <c r="B710" i="3" l="1"/>
  <c r="B709" i="3"/>
  <c r="B726" i="3"/>
  <c r="B725" i="3"/>
  <c r="B724" i="3"/>
  <c r="B722" i="3"/>
  <c r="B721" i="3"/>
  <c r="AF18" i="10" l="1"/>
  <c r="C20" i="19" s="1"/>
  <c r="B716" i="3"/>
  <c r="E20" i="19" l="1"/>
  <c r="E25" i="19" s="1"/>
  <c r="C59" i="28" s="1"/>
  <c r="C25" i="19"/>
  <c r="B65" i="10"/>
  <c r="B50" i="10"/>
  <c r="AG7" i="10"/>
  <c r="AG9" i="10"/>
  <c r="AG14" i="10"/>
  <c r="AG6" i="10"/>
  <c r="AG4" i="10"/>
  <c r="AG10" i="10"/>
  <c r="AG13" i="10"/>
  <c r="AG2" i="10"/>
  <c r="AG8" i="10"/>
  <c r="AG3" i="10"/>
  <c r="AG11" i="10"/>
  <c r="AG12" i="10"/>
  <c r="AG5" i="10"/>
  <c r="B718" i="3"/>
  <c r="D20" i="19" l="1"/>
  <c r="C91" i="19"/>
  <c r="D24" i="19"/>
  <c r="D23" i="19"/>
  <c r="D21" i="19"/>
  <c r="D22" i="19"/>
  <c r="AN18" i="10"/>
  <c r="B717" i="3"/>
  <c r="B712" i="3"/>
  <c r="B715" i="3"/>
  <c r="D25" i="19" l="1"/>
  <c r="C94" i="19"/>
  <c r="B719" i="3"/>
  <c r="B711" i="3"/>
  <c r="B714" i="3"/>
  <c r="B713" i="3"/>
  <c r="C26" i="28" l="1"/>
  <c r="D92" i="19"/>
  <c r="D93" i="19"/>
  <c r="D91" i="19"/>
  <c r="B708" i="3"/>
  <c r="D94" i="19" l="1"/>
  <c r="B723" i="3"/>
  <c r="B720" i="3"/>
  <c r="A720" i="3"/>
  <c r="A719" i="3"/>
  <c r="A718" i="3"/>
  <c r="A714" i="3"/>
  <c r="B691" i="3"/>
  <c r="B707" i="3"/>
  <c r="B706" i="3"/>
  <c r="B705" i="3"/>
  <c r="B703" i="3"/>
  <c r="B702" i="3"/>
  <c r="B704" i="3"/>
  <c r="A701" i="3"/>
  <c r="A700" i="3"/>
  <c r="A699" i="3"/>
  <c r="A695" i="3"/>
  <c r="B687" i="3"/>
  <c r="B686" i="3"/>
  <c r="B685" i="3"/>
  <c r="B684" i="3"/>
  <c r="B683" i="3"/>
  <c r="A682" i="3"/>
  <c r="B681" i="3"/>
  <c r="A681" i="3"/>
  <c r="B680" i="3"/>
  <c r="A680" i="3"/>
  <c r="B679" i="3"/>
  <c r="B678" i="3"/>
  <c r="B677" i="3"/>
  <c r="A676" i="3"/>
  <c r="G82" i="10"/>
  <c r="G83" i="10"/>
  <c r="G81" i="10"/>
  <c r="C83" i="10"/>
  <c r="E83" i="10" s="1"/>
  <c r="F83" i="10" s="1"/>
  <c r="D82" i="10" l="1"/>
  <c r="C25" i="17" l="1"/>
  <c r="E20" i="17"/>
  <c r="E25" i="17" s="1"/>
  <c r="C57" i="28" s="1"/>
  <c r="AG18" i="10"/>
  <c r="B63" i="10"/>
  <c r="B48" i="10"/>
  <c r="B49" i="10"/>
  <c r="C82" i="10"/>
  <c r="E82" i="10" s="1"/>
  <c r="F82" i="10" s="1"/>
  <c r="D20" i="17" l="1"/>
  <c r="D22" i="17"/>
  <c r="D23" i="17"/>
  <c r="D21" i="17"/>
  <c r="D24" i="17"/>
  <c r="C92" i="17"/>
  <c r="C81" i="10"/>
  <c r="D25" i="17" l="1"/>
  <c r="C95" i="17"/>
  <c r="D81" i="10"/>
  <c r="E81" i="10" s="1"/>
  <c r="F81" i="10" s="1"/>
  <c r="C24" i="28" l="1"/>
  <c r="D93" i="17"/>
  <c r="D94" i="17"/>
  <c r="D92" i="17"/>
  <c r="D95" i="17" l="1"/>
  <c r="B668" i="3"/>
  <c r="B667" i="3"/>
  <c r="B665" i="3"/>
  <c r="B664" i="3"/>
  <c r="B654" i="3" l="1"/>
  <c r="B656" i="3"/>
  <c r="B662" i="3"/>
  <c r="B657" i="3"/>
  <c r="B658" i="3"/>
  <c r="B659" i="3"/>
  <c r="B661" i="3"/>
  <c r="B651" i="3"/>
  <c r="B652" i="3" l="1"/>
  <c r="B666" i="3" l="1"/>
  <c r="A663" i="3"/>
  <c r="A662" i="3"/>
  <c r="A661" i="3"/>
  <c r="A657" i="3"/>
  <c r="B649" i="3"/>
  <c r="B648" i="3"/>
  <c r="B647" i="3"/>
  <c r="B646" i="3"/>
  <c r="B645" i="3"/>
  <c r="B639" i="3" l="1"/>
  <c r="B640" i="3" l="1"/>
  <c r="B641" i="3" l="1"/>
  <c r="B642" i="3"/>
  <c r="B633" i="3" l="1"/>
  <c r="B638" i="3"/>
  <c r="B643" i="3"/>
  <c r="B637" i="3"/>
  <c r="B635" i="3"/>
  <c r="B632" i="3" l="1"/>
  <c r="A644" i="3" l="1"/>
  <c r="A643" i="3"/>
  <c r="A642" i="3"/>
  <c r="A638" i="3"/>
  <c r="B630" i="3"/>
  <c r="B628" i="3"/>
  <c r="B627" i="3"/>
  <c r="B626" i="3"/>
  <c r="B625" i="3"/>
  <c r="A624" i="3"/>
  <c r="A623" i="3"/>
  <c r="A622" i="3"/>
  <c r="A618" i="3"/>
  <c r="B606" i="3"/>
  <c r="B605" i="3"/>
  <c r="B593" i="3"/>
  <c r="B607" i="3"/>
  <c r="A604" i="3"/>
  <c r="A603" i="3"/>
  <c r="A602" i="3"/>
  <c r="A598" i="3"/>
  <c r="B587" i="3"/>
  <c r="B586" i="3"/>
  <c r="B585" i="3"/>
  <c r="B573" i="3"/>
  <c r="B572" i="3"/>
  <c r="A584" i="3"/>
  <c r="A583" i="3"/>
  <c r="A582" i="3"/>
  <c r="A578" i="3"/>
  <c r="B567" i="3"/>
  <c r="B566" i="3"/>
  <c r="B565" i="3"/>
  <c r="B553" i="3"/>
  <c r="A564" i="3"/>
  <c r="A563" i="3"/>
  <c r="A562" i="3"/>
  <c r="A558" i="3"/>
  <c r="B534" i="3"/>
  <c r="B547" i="3"/>
  <c r="B548" i="3"/>
  <c r="B546" i="3"/>
  <c r="B545" i="3"/>
  <c r="B536" i="3"/>
  <c r="C17" i="10" l="1"/>
  <c r="B538" i="3"/>
  <c r="B540" i="3"/>
  <c r="B535" i="3"/>
  <c r="B537" i="3"/>
  <c r="B543" i="3"/>
  <c r="B539" i="3"/>
  <c r="B541" i="3"/>
  <c r="B542" i="3"/>
  <c r="D3" i="10" l="1"/>
  <c r="D4" i="10"/>
  <c r="D9" i="10"/>
  <c r="D12" i="10"/>
  <c r="D5" i="10"/>
  <c r="D6" i="10"/>
  <c r="D7" i="10"/>
  <c r="D8" i="10"/>
  <c r="D2" i="10"/>
  <c r="D11" i="10"/>
  <c r="D10" i="10"/>
  <c r="B45" i="10"/>
  <c r="E20" i="13"/>
  <c r="B60" i="10"/>
  <c r="B533" i="3"/>
  <c r="D17" i="10" l="1"/>
  <c r="B532" i="3"/>
  <c r="B514" i="3" l="1"/>
  <c r="B544" i="3"/>
  <c r="A544" i="3"/>
  <c r="A543" i="3"/>
  <c r="A542" i="3"/>
  <c r="A538" i="3"/>
  <c r="B513" i="3"/>
  <c r="B527" i="3"/>
  <c r="B526" i="3"/>
  <c r="B525" i="3"/>
  <c r="B523" i="3"/>
  <c r="B522" i="3"/>
  <c r="B521" i="3"/>
  <c r="B520" i="3"/>
  <c r="B519" i="3"/>
  <c r="B518" i="3"/>
  <c r="B517" i="3"/>
  <c r="B516" i="3"/>
  <c r="B515" i="3"/>
  <c r="B512" i="3"/>
  <c r="B528" i="3" l="1"/>
  <c r="B524" i="3"/>
  <c r="A524" i="3"/>
  <c r="A523" i="3"/>
  <c r="A522" i="3"/>
  <c r="A518" i="3"/>
  <c r="B494" i="3"/>
  <c r="B511" i="3"/>
  <c r="B510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3" i="3"/>
  <c r="B492" i="3"/>
  <c r="A504" i="3" l="1"/>
  <c r="A503" i="3"/>
  <c r="A502" i="3"/>
  <c r="A498" i="3"/>
  <c r="B490" i="3"/>
  <c r="B474" i="3"/>
  <c r="B491" i="3"/>
  <c r="B488" i="3" l="1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3" i="3"/>
  <c r="B472" i="3"/>
  <c r="A484" i="3" l="1"/>
  <c r="A483" i="3"/>
  <c r="A482" i="3"/>
  <c r="A478" i="3"/>
  <c r="B455" i="3" l="1"/>
  <c r="B454" i="3"/>
  <c r="B471" i="3"/>
  <c r="B469" i="3"/>
  <c r="B468" i="3"/>
  <c r="B467" i="3"/>
  <c r="B466" i="3"/>
  <c r="B465" i="3"/>
  <c r="B462" i="3"/>
  <c r="B458" i="3"/>
  <c r="B456" i="3"/>
  <c r="B464" i="3"/>
  <c r="B459" i="3"/>
  <c r="B457" i="3"/>
  <c r="B460" i="3"/>
  <c r="B463" i="3"/>
  <c r="B461" i="3" l="1"/>
  <c r="B453" i="3" l="1"/>
  <c r="B436" i="3" l="1"/>
  <c r="A465" i="3"/>
  <c r="A464" i="3"/>
  <c r="A463" i="3"/>
  <c r="A459" i="3"/>
  <c r="B452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5" i="3"/>
  <c r="B434" i="3"/>
  <c r="A446" i="3"/>
  <c r="A445" i="3"/>
  <c r="A444" i="3"/>
  <c r="A440" i="3"/>
  <c r="B398" i="3" l="1"/>
  <c r="B417" i="3" l="1"/>
  <c r="B420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19" i="3"/>
  <c r="B418" i="3"/>
  <c r="B416" i="3"/>
  <c r="B415" i="3"/>
  <c r="B405" i="3" l="1"/>
  <c r="B396" i="3"/>
  <c r="B397" i="3"/>
  <c r="B414" i="3"/>
  <c r="B413" i="3"/>
  <c r="B412" i="3"/>
  <c r="B411" i="3"/>
  <c r="B410" i="3"/>
  <c r="B409" i="3"/>
  <c r="B399" i="3"/>
  <c r="B401" i="3"/>
  <c r="B402" i="3"/>
  <c r="B400" i="3"/>
  <c r="B403" i="3"/>
  <c r="B404" i="3"/>
  <c r="B406" i="3"/>
  <c r="B407" i="3"/>
  <c r="B408" i="3"/>
  <c r="A408" i="3" l="1"/>
  <c r="A407" i="3"/>
  <c r="A406" i="3"/>
  <c r="A402" i="3"/>
  <c r="B395" i="3"/>
  <c r="B393" i="3"/>
  <c r="A427" i="3" l="1"/>
  <c r="A426" i="3"/>
  <c r="A425" i="3"/>
  <c r="A421" i="3"/>
  <c r="B378" i="3"/>
  <c r="B394" i="3"/>
  <c r="B392" i="3"/>
  <c r="B391" i="3"/>
  <c r="B390" i="3"/>
  <c r="B389" i="3"/>
  <c r="B377" i="3"/>
  <c r="B379" i="3"/>
  <c r="B381" i="3"/>
  <c r="B382" i="3"/>
  <c r="B380" i="3"/>
  <c r="B383" i="3"/>
  <c r="B384" i="3"/>
  <c r="B385" i="3"/>
  <c r="B386" i="3"/>
  <c r="B387" i="3"/>
  <c r="B388" i="3"/>
  <c r="B376" i="3" l="1"/>
  <c r="A388" i="3" l="1"/>
  <c r="A387" i="3"/>
  <c r="A386" i="3"/>
  <c r="A382" i="3"/>
  <c r="B375" i="3"/>
  <c r="B374" i="3"/>
  <c r="B373" i="3"/>
  <c r="B372" i="3"/>
  <c r="B371" i="3"/>
  <c r="B366" i="3" l="1"/>
  <c r="B367" i="3"/>
  <c r="B364" i="3"/>
  <c r="B369" i="3"/>
  <c r="B365" i="3"/>
  <c r="B362" i="3"/>
  <c r="B361" i="3"/>
  <c r="B359" i="3" l="1"/>
  <c r="B368" i="3"/>
  <c r="B370" i="3"/>
  <c r="B363" i="3"/>
  <c r="B358" i="3" l="1"/>
  <c r="B360" i="3" l="1"/>
  <c r="B357" i="3" l="1"/>
  <c r="B349" i="3"/>
  <c r="B356" i="3"/>
  <c r="B355" i="3"/>
  <c r="B354" i="3"/>
  <c r="B353" i="3"/>
  <c r="B352" i="3"/>
  <c r="B351" i="3"/>
  <c r="B350" i="3"/>
  <c r="B348" i="3"/>
  <c r="B347" i="3"/>
  <c r="B346" i="3"/>
  <c r="B345" i="3"/>
  <c r="B344" i="3"/>
  <c r="B343" i="3"/>
  <c r="B341" i="3"/>
  <c r="B340" i="3"/>
  <c r="B342" i="3"/>
  <c r="A370" i="3" l="1"/>
  <c r="A369" i="3"/>
  <c r="A368" i="3"/>
  <c r="A364" i="3"/>
  <c r="A352" i="3"/>
  <c r="A351" i="3"/>
  <c r="A350" i="3"/>
  <c r="A346" i="3"/>
  <c r="B323" i="3"/>
  <c r="B339" i="3" l="1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2" i="3"/>
  <c r="B321" i="3"/>
  <c r="A333" i="3" l="1"/>
  <c r="A332" i="3"/>
  <c r="A331" i="3"/>
  <c r="A327" i="3"/>
  <c r="B320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A314" i="3"/>
  <c r="A313" i="3"/>
  <c r="A312" i="3"/>
  <c r="A308" i="3"/>
  <c r="B277" i="3" l="1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301" i="3" l="1"/>
  <c r="B300" i="3"/>
  <c r="B299" i="3"/>
  <c r="B298" i="3"/>
  <c r="B297" i="3"/>
  <c r="B296" i="3"/>
  <c r="B295" i="3"/>
  <c r="A295" i="3"/>
  <c r="B294" i="3"/>
  <c r="A294" i="3"/>
  <c r="B293" i="3"/>
  <c r="A293" i="3"/>
  <c r="B292" i="3"/>
  <c r="B291" i="3"/>
  <c r="B290" i="3"/>
  <c r="B289" i="3"/>
  <c r="A289" i="3"/>
  <c r="B288" i="3"/>
  <c r="B287" i="3"/>
  <c r="B286" i="3"/>
  <c r="B285" i="3"/>
  <c r="B284" i="3"/>
  <c r="B283" i="3"/>
  <c r="B282" i="3"/>
  <c r="B281" i="3"/>
  <c r="B280" i="3"/>
  <c r="B279" i="3"/>
  <c r="B278" i="3"/>
  <c r="A276" i="3"/>
  <c r="A275" i="3"/>
  <c r="A274" i="3"/>
  <c r="A270" i="3"/>
  <c r="B247" i="3"/>
  <c r="B263" i="3"/>
  <c r="B261" i="3"/>
  <c r="B260" i="3"/>
  <c r="B259" i="3"/>
  <c r="B258" i="3"/>
  <c r="B257" i="3"/>
  <c r="B252" i="3"/>
  <c r="B256" i="3"/>
  <c r="B255" i="3"/>
  <c r="B254" i="3"/>
  <c r="B253" i="3"/>
  <c r="B251" i="3"/>
  <c r="B250" i="3"/>
  <c r="B249" i="3"/>
  <c r="B248" i="3"/>
  <c r="B246" i="3"/>
  <c r="B245" i="3"/>
  <c r="B262" i="3" l="1"/>
  <c r="A257" i="3"/>
  <c r="A256" i="3"/>
  <c r="A255" i="3"/>
  <c r="A251" i="3"/>
  <c r="B244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7" i="3"/>
  <c r="B226" i="3"/>
  <c r="B243" i="3"/>
  <c r="A238" i="3"/>
  <c r="A237" i="3"/>
  <c r="A236" i="3"/>
  <c r="A232" i="3"/>
  <c r="B225" i="3" l="1"/>
  <c r="B224" i="3"/>
  <c r="B223" i="3"/>
  <c r="B222" i="3"/>
  <c r="B221" i="3"/>
  <c r="B220" i="3"/>
  <c r="B219" i="3"/>
  <c r="B218" i="3"/>
  <c r="B217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A220" i="3"/>
  <c r="A219" i="3"/>
  <c r="A218" i="3"/>
  <c r="A214" i="3"/>
  <c r="A201" i="3"/>
  <c r="A200" i="3"/>
  <c r="A199" i="3"/>
  <c r="A195" i="3"/>
  <c r="B188" i="3" l="1"/>
  <c r="B187" i="3"/>
  <c r="B186" i="3"/>
  <c r="B185" i="3"/>
  <c r="B184" i="3"/>
  <c r="B172" i="3" l="1"/>
  <c r="B183" i="3"/>
  <c r="A183" i="3"/>
  <c r="B182" i="3"/>
  <c r="B181" i="3"/>
  <c r="B180" i="3"/>
  <c r="A182" i="3"/>
  <c r="A181" i="3"/>
  <c r="A180" i="3"/>
  <c r="B179" i="3"/>
  <c r="B178" i="3"/>
  <c r="B177" i="3"/>
  <c r="B176" i="3"/>
  <c r="A176" i="3"/>
  <c r="B175" i="3"/>
  <c r="B174" i="3"/>
  <c r="B173" i="3"/>
  <c r="B171" i="3"/>
  <c r="B170" i="3"/>
  <c r="I28" i="3"/>
  <c r="I27" i="3"/>
  <c r="I26" i="3"/>
  <c r="I24" i="3"/>
  <c r="I23" i="3"/>
  <c r="J4" i="3"/>
  <c r="J5" i="3"/>
  <c r="J6" i="3"/>
  <c r="J7" i="3"/>
  <c r="J3" i="3"/>
  <c r="B169" i="3"/>
  <c r="B168" i="3"/>
  <c r="B167" i="3"/>
  <c r="B166" i="3"/>
  <c r="B165" i="3"/>
  <c r="B155" i="3"/>
  <c r="B164" i="3"/>
  <c r="B161" i="3"/>
  <c r="B163" i="3"/>
  <c r="B162" i="3"/>
  <c r="B160" i="3"/>
  <c r="B159" i="3"/>
  <c r="B158" i="3"/>
  <c r="B157" i="3"/>
  <c r="B156" i="3"/>
  <c r="B154" i="3"/>
  <c r="B153" i="3"/>
  <c r="J28" i="3"/>
  <c r="K4" i="3"/>
  <c r="K6" i="3"/>
  <c r="K3" i="3"/>
  <c r="J27" i="3"/>
  <c r="J24" i="3"/>
  <c r="K5" i="3"/>
  <c r="K7" i="3"/>
  <c r="J25" i="3"/>
  <c r="J23" i="3"/>
  <c r="J26" i="3"/>
  <c r="F156" i="3" l="1"/>
  <c r="F175" i="3"/>
  <c r="B152" i="3"/>
  <c r="B151" i="3"/>
  <c r="B150" i="3"/>
  <c r="B149" i="3"/>
  <c r="B148" i="3"/>
  <c r="B147" i="3"/>
  <c r="B146" i="3"/>
  <c r="B144" i="3"/>
  <c r="B145" i="3"/>
  <c r="B143" i="3"/>
  <c r="B142" i="3"/>
  <c r="B141" i="3"/>
  <c r="B140" i="3"/>
  <c r="B139" i="3"/>
  <c r="B138" i="3"/>
  <c r="B137" i="3"/>
  <c r="B136" i="3"/>
  <c r="B135" i="3"/>
  <c r="B134" i="3"/>
  <c r="B133" i="3"/>
  <c r="F141" i="3" l="1"/>
  <c r="B131" i="3"/>
  <c r="B130" i="3"/>
  <c r="B129" i="3"/>
  <c r="B128" i="3"/>
  <c r="B127" i="3"/>
  <c r="B126" i="3"/>
  <c r="B125" i="3"/>
  <c r="B123" i="3"/>
  <c r="B124" i="3"/>
  <c r="B122" i="3"/>
  <c r="B121" i="3"/>
  <c r="B120" i="3"/>
  <c r="B119" i="3"/>
  <c r="B118" i="3"/>
  <c r="B117" i="3"/>
  <c r="B116" i="3"/>
  <c r="B115" i="3"/>
  <c r="B114" i="3"/>
  <c r="B113" i="3"/>
  <c r="B112" i="3"/>
  <c r="G113" i="3" s="1"/>
  <c r="B111" i="3" l="1"/>
  <c r="B75" i="3" l="1"/>
  <c r="B74" i="3"/>
  <c r="B57" i="3" l="1"/>
  <c r="B56" i="3" l="1"/>
  <c r="B38" i="3" l="1"/>
  <c r="B37" i="3"/>
  <c r="B35" i="3"/>
  <c r="B16" i="3" l="1"/>
  <c r="B19" i="3"/>
  <c r="B18" i="3"/>
  <c r="B107" i="3" l="1"/>
  <c r="B110" i="3"/>
  <c r="B109" i="3"/>
  <c r="B108" i="3"/>
  <c r="B106" i="3"/>
  <c r="B103" i="3"/>
  <c r="B105" i="3"/>
  <c r="B102" i="3"/>
  <c r="B104" i="3"/>
  <c r="B101" i="3"/>
  <c r="B100" i="3"/>
  <c r="B99" i="3"/>
  <c r="B98" i="3"/>
  <c r="B97" i="3"/>
  <c r="B96" i="3"/>
  <c r="B95" i="3"/>
  <c r="B94" i="3"/>
  <c r="B93" i="3" l="1"/>
  <c r="B92" i="3"/>
  <c r="B58" i="3"/>
  <c r="B39" i="3"/>
  <c r="B40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53" i="3" l="1"/>
  <c r="B54" i="3"/>
  <c r="B73" i="3" l="1"/>
  <c r="B72" i="3"/>
  <c r="B71" i="3"/>
  <c r="B70" i="3"/>
  <c r="B69" i="3"/>
  <c r="B68" i="3"/>
  <c r="B67" i="3"/>
  <c r="B66" i="3"/>
  <c r="B64" i="3"/>
  <c r="B65" i="3"/>
  <c r="B63" i="3"/>
  <c r="B62" i="3"/>
  <c r="B61" i="3"/>
  <c r="B60" i="3"/>
  <c r="B59" i="3"/>
  <c r="C25" i="16" l="1"/>
  <c r="C93" i="16" s="1"/>
  <c r="E20" i="16"/>
  <c r="E25" i="16" s="1"/>
  <c r="B62" i="10"/>
  <c r="B47" i="10"/>
  <c r="B55" i="3"/>
  <c r="B52" i="3"/>
  <c r="B51" i="3"/>
  <c r="B50" i="3"/>
  <c r="B49" i="3"/>
  <c r="B48" i="3"/>
  <c r="B47" i="3"/>
  <c r="B46" i="3"/>
  <c r="B45" i="3"/>
  <c r="B44" i="3"/>
  <c r="B43" i="3"/>
  <c r="B42" i="3"/>
  <c r="B41" i="3"/>
  <c r="D20" i="16" l="1"/>
  <c r="D24" i="16"/>
  <c r="D21" i="16"/>
  <c r="D23" i="16"/>
  <c r="D22" i="16"/>
  <c r="B36" i="3"/>
  <c r="B33" i="3"/>
  <c r="B32" i="3"/>
  <c r="B30" i="3"/>
  <c r="B29" i="3"/>
  <c r="B27" i="3"/>
  <c r="B28" i="3"/>
  <c r="B26" i="3"/>
  <c r="B25" i="3"/>
  <c r="B24" i="3"/>
  <c r="B23" i="3"/>
  <c r="B22" i="3"/>
  <c r="B21" i="3"/>
  <c r="B20" i="3"/>
  <c r="D25" i="16" l="1"/>
  <c r="B31" i="3"/>
  <c r="B17" i="3"/>
  <c r="B14" i="3"/>
  <c r="B12" i="3"/>
  <c r="B13" i="3"/>
  <c r="B11" i="3"/>
  <c r="B10" i="3"/>
  <c r="B8" i="3"/>
  <c r="B9" i="3"/>
  <c r="B7" i="3"/>
  <c r="B6" i="3"/>
  <c r="B5" i="3"/>
  <c r="B4" i="3"/>
  <c r="B3" i="3"/>
  <c r="B2" i="3"/>
  <c r="B620" i="3" l="1"/>
  <c r="B619" i="3"/>
  <c r="B621" i="3"/>
  <c r="B622" i="3" l="1"/>
  <c r="B623" i="3" l="1"/>
  <c r="B618" i="3"/>
  <c r="B617" i="3" l="1"/>
  <c r="B615" i="3"/>
  <c r="B613" i="3" l="1"/>
  <c r="B612" i="3" l="1"/>
  <c r="B46" i="10" l="1"/>
  <c r="B61" i="10"/>
  <c r="E20" i="14" l="1"/>
  <c r="E25" i="14" s="1"/>
  <c r="C55" i="28" s="1"/>
  <c r="C25" i="14"/>
  <c r="C92" i="14" s="1"/>
  <c r="D20" i="14" l="1"/>
  <c r="C95" i="14"/>
  <c r="D21" i="14"/>
  <c r="D23" i="14"/>
  <c r="D22" i="14"/>
  <c r="D24" i="14"/>
  <c r="B701" i="3"/>
  <c r="B697" i="3"/>
  <c r="C22" i="28" l="1"/>
  <c r="D92" i="14"/>
  <c r="D25" i="14"/>
  <c r="D93" i="14"/>
  <c r="D94" i="14"/>
  <c r="B699" i="3"/>
  <c r="D95" i="14" l="1"/>
  <c r="B693" i="3"/>
  <c r="B698" i="3"/>
  <c r="B696" i="3" l="1"/>
  <c r="B700" i="3" l="1"/>
  <c r="B692" i="3"/>
  <c r="B695" i="3"/>
  <c r="B694" i="3"/>
  <c r="B690" i="3" l="1"/>
  <c r="B689" i="3" l="1"/>
  <c r="C25" i="18" l="1"/>
  <c r="E20" i="18"/>
  <c r="E25" i="18" s="1"/>
  <c r="C58" i="28" s="1"/>
  <c r="B64" i="10"/>
  <c r="B72" i="10" s="1"/>
  <c r="C93" i="18" l="1"/>
  <c r="D21" i="18"/>
  <c r="D20" i="18"/>
  <c r="C96" i="18"/>
  <c r="C25" i="28" s="1"/>
  <c r="D24" i="18"/>
  <c r="D22" i="18"/>
  <c r="D23" i="18"/>
  <c r="E24" i="13"/>
  <c r="D93" i="18" l="1"/>
  <c r="D25" i="18"/>
  <c r="D94" i="18"/>
  <c r="D95" i="18"/>
  <c r="E21" i="13"/>
  <c r="C25" i="13"/>
  <c r="E22" i="13"/>
  <c r="E23" i="13"/>
  <c r="D96" i="18" l="1"/>
  <c r="D20" i="13"/>
  <c r="C90" i="13"/>
  <c r="E25" i="13"/>
  <c r="D24" i="13"/>
  <c r="D23" i="13"/>
  <c r="D22" i="13"/>
  <c r="D21" i="13"/>
  <c r="D25" i="13" l="1"/>
  <c r="E54" i="13"/>
  <c r="E59" i="13" s="1"/>
  <c r="C54" i="28" s="1"/>
  <c r="C59" i="13"/>
  <c r="D57" i="13" s="1"/>
  <c r="D56" i="13" l="1"/>
  <c r="D58" i="13"/>
  <c r="D55" i="13"/>
  <c r="D54" i="13"/>
  <c r="C91" i="13"/>
  <c r="C93" i="13" s="1"/>
  <c r="C21" i="28" s="1"/>
  <c r="D59" i="13" l="1"/>
  <c r="D90" i="13"/>
  <c r="D92" i="13"/>
  <c r="D91" i="13"/>
  <c r="D93" i="13" l="1"/>
  <c r="C55" i="16" l="1"/>
  <c r="E55" i="16" s="1"/>
  <c r="E59" i="16" s="1"/>
  <c r="C56" i="28" s="1"/>
  <c r="C59" i="16" l="1"/>
  <c r="D55" i="16" s="1"/>
  <c r="C94" i="16" l="1"/>
  <c r="D57" i="16"/>
  <c r="D54" i="16"/>
  <c r="D56" i="16"/>
  <c r="D58" i="16"/>
  <c r="D59" i="16" l="1"/>
  <c r="C96" i="16"/>
  <c r="D95" i="16" l="1"/>
  <c r="C23" i="28"/>
  <c r="D93" i="16"/>
  <c r="D94" i="16"/>
  <c r="D96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G26" authorId="0" shapeId="0" xr:uid="{010B6ACC-62E8-4504-BC78-6CEBF600F67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COSTO VARIABLE UNITARIO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G26" authorId="0" shapeId="0" xr:uid="{FF84171E-2C19-4E17-8694-3FE3C1C5E82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COSTO VARIABLE UNITARIO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G26" authorId="0" shapeId="0" xr:uid="{0E45D0AF-6EEA-4531-8448-4FEE8D7C488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COSTO VARIABLE UNITARIO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G26" authorId="0" shapeId="0" xr:uid="{74F9CB38-3A6C-4258-98E2-B9186A44782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COSTO VARIABLE UNITARIO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G26" authorId="0" shapeId="0" xr:uid="{BF790DDD-109E-4530-B33A-5A1165BB60D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COSTO VARIABLE UNITARIO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G26" authorId="0" shapeId="0" xr:uid="{833D74FE-C221-4013-B21D-8558EB7682D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COSTO VARIABLE UNITARIO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G26" authorId="0" shapeId="0" xr:uid="{05B38281-0730-41A1-91D2-1990F8E7A77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COSTO VARIABLE UNITARIO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G26" authorId="0" shapeId="0" xr:uid="{B2382DFE-0446-4F5B-85BE-0C772FFC46A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COSTO VARIABLE UNITARIO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G26" authorId="0" shapeId="0" xr:uid="{D52BF2F2-6051-4C27-8C73-3D46FBF7067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COSTO VARIABLE UNITARIO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G26" authorId="0" shapeId="0" xr:uid="{27A3DB91-61C9-41E5-8CDD-14C4B643747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COSTO VARIABLE UNITARIO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G26" authorId="0" shapeId="0" xr:uid="{E681D8A0-FA54-4CC2-A4FB-433812BDDDEC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COSTO VARIABLE UNITARIO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G26" authorId="0" shapeId="0" xr:uid="{7C1A899E-5FA9-4EDC-926D-0F0EE9F5459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COSTO VARIABLE UNITARIO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G26" authorId="0" shapeId="0" xr:uid="{36603D09-EE03-46AF-9F5F-C79A9FA040F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COSTO VARIABLE UNITARIO</t>
        </r>
      </text>
    </comment>
  </commentList>
</comments>
</file>

<file path=xl/sharedStrings.xml><?xml version="1.0" encoding="utf-8"?>
<sst xmlns="http://schemas.openxmlformats.org/spreadsheetml/2006/main" count="1857" uniqueCount="170">
  <si>
    <t>ALEMANA</t>
  </si>
  <si>
    <t>ALIMENTACION</t>
  </si>
  <si>
    <t>REFORCE</t>
  </si>
  <si>
    <t>CANASTA</t>
  </si>
  <si>
    <t>TRAMO</t>
  </si>
  <si>
    <t>TURNO</t>
  </si>
  <si>
    <t>LIMPIEZA DE TRAMO</t>
  </si>
  <si>
    <t>LIMPIEZA POZO</t>
  </si>
  <si>
    <t xml:space="preserve">PUERTA DE INCLIANDO </t>
  </si>
  <si>
    <t>METRO DE ROCA</t>
  </si>
  <si>
    <t>LIMPIEZA DE ESCALERAS</t>
  </si>
  <si>
    <t>LABOR</t>
  </si>
  <si>
    <t>QUINCENA</t>
  </si>
  <si>
    <t>COSTO</t>
  </si>
  <si>
    <t>PICADA</t>
  </si>
  <si>
    <t>AVANCE</t>
  </si>
  <si>
    <t>GUAYERO</t>
  </si>
  <si>
    <t>METRO DESPATE</t>
  </si>
  <si>
    <t>METRTO INTERCALACION</t>
  </si>
  <si>
    <t>TURNO TMABOR 4</t>
  </si>
  <si>
    <t>FECHA  LIQUIDACION</t>
  </si>
  <si>
    <t>MALACATEROS</t>
  </si>
  <si>
    <t>PATIEROS</t>
  </si>
  <si>
    <t>PAJARITA</t>
  </si>
  <si>
    <t>LIMPIEZA DE POZO</t>
  </si>
  <si>
    <t>PUERTA DERRUMBRE</t>
  </si>
  <si>
    <t>INSTALACION DE ARCO</t>
  </si>
  <si>
    <t>DESPATE</t>
  </si>
  <si>
    <t>METRO ROCA</t>
  </si>
  <si>
    <t>TABIQUES</t>
  </si>
  <si>
    <t>METRO INTERCALACION</t>
  </si>
  <si>
    <t>CARGUE DE VOLQUETA</t>
  </si>
  <si>
    <t>TURNO DE BOMBEO</t>
  </si>
  <si>
    <t>SOLDADORES</t>
  </si>
  <si>
    <t>REUBICADO (EVARISTO)</t>
  </si>
  <si>
    <t>COCHES DE ROCA</t>
  </si>
  <si>
    <t>ARCOS DE ACERO</t>
  </si>
  <si>
    <t>TURNO DICIEMBRE</t>
  </si>
  <si>
    <t>PUERTA INCLIANDO</t>
  </si>
  <si>
    <t>PLACA MALACATE INTER</t>
  </si>
  <si>
    <t>Suma de COSTO</t>
  </si>
  <si>
    <t>Etiquetas de fila</t>
  </si>
  <si>
    <t>Total general</t>
  </si>
  <si>
    <t>2024</t>
  </si>
  <si>
    <t>COSTOS OPERATIVOS MES A MES</t>
  </si>
  <si>
    <t>Años (FECHA  LIQUIDACION)</t>
  </si>
  <si>
    <t>TOP COSTOS POR LABOR 2024</t>
  </si>
  <si>
    <t>METRO DE roca</t>
  </si>
  <si>
    <t>COCHE ROCA</t>
  </si>
  <si>
    <t>limpieza de escaleras</t>
  </si>
  <si>
    <t>coches guayados</t>
  </si>
  <si>
    <t>ARCO DE ACERO</t>
  </si>
  <si>
    <t>coche de basura y madera</t>
  </si>
  <si>
    <t>ene</t>
  </si>
  <si>
    <t>BON -ALIMENTACION</t>
  </si>
  <si>
    <t>MES</t>
  </si>
  <si>
    <t>ENERO</t>
  </si>
  <si>
    <t>OCTUBRE</t>
  </si>
  <si>
    <t>NOVIEMBRE</t>
  </si>
  <si>
    <t>DICIEMBRE</t>
  </si>
  <si>
    <t>FEBRERO</t>
  </si>
  <si>
    <t>SOSTENIMIENTO</t>
  </si>
  <si>
    <t xml:space="preserve">INSTALADA DE TRAMO RIEL </t>
  </si>
  <si>
    <t>TURNOS</t>
  </si>
  <si>
    <t>MOVIEMIENTO ROCA</t>
  </si>
  <si>
    <t>TURNO BOMBEO</t>
  </si>
  <si>
    <t>BONO ALIMENTACION</t>
  </si>
  <si>
    <t>PERSONAL DE APOYO</t>
  </si>
  <si>
    <t>%</t>
  </si>
  <si>
    <t>TOTAL MES</t>
  </si>
  <si>
    <t>MOVIMIENTO DE ROCA</t>
  </si>
  <si>
    <t>COCHES GUAYADOS</t>
  </si>
  <si>
    <t>INSTALADA TRAMO RIEL</t>
  </si>
  <si>
    <t xml:space="preserve">BONO ALIMENTACION </t>
  </si>
  <si>
    <t>nov</t>
  </si>
  <si>
    <t>COSTOS LABORES</t>
  </si>
  <si>
    <t>TONELADAS</t>
  </si>
  <si>
    <t>oct</t>
  </si>
  <si>
    <t>dic</t>
  </si>
  <si>
    <t>OTROS(TURNOS)</t>
  </si>
  <si>
    <t>MARZO</t>
  </si>
  <si>
    <t>ABRIL</t>
  </si>
  <si>
    <t>OTROS TURNOS</t>
  </si>
  <si>
    <t>MAYO</t>
  </si>
  <si>
    <t>JUNIO</t>
  </si>
  <si>
    <t>JULIO</t>
  </si>
  <si>
    <t>AGOSTO</t>
  </si>
  <si>
    <t>SEPTIEMBRE</t>
  </si>
  <si>
    <t>LILIANA</t>
  </si>
  <si>
    <t>mes</t>
  </si>
  <si>
    <t xml:space="preserve"> $</t>
  </si>
  <si>
    <t>1Q</t>
  </si>
  <si>
    <t>BONIFICACION</t>
  </si>
  <si>
    <t>precio tonelada 2025</t>
  </si>
  <si>
    <t>PROMEDIO</t>
  </si>
  <si>
    <t>RESUMEN ADMON</t>
  </si>
  <si>
    <t>2Q</t>
  </si>
  <si>
    <t>CM.O ADMON</t>
  </si>
  <si>
    <t>TOTAL</t>
  </si>
  <si>
    <t>PRODUCCION</t>
  </si>
  <si>
    <t>PRECIO VTA</t>
  </si>
  <si>
    <t>INGRESOS TOTALES</t>
  </si>
  <si>
    <t>ITEM</t>
  </si>
  <si>
    <t>COSTO POR TONELADA</t>
  </si>
  <si>
    <t>COSTOS NOMINA 2025</t>
  </si>
  <si>
    <t>NOMINA OPERATIVA BAJO TIERRA</t>
  </si>
  <si>
    <t>TOTAL PERSONAL</t>
  </si>
  <si>
    <t>TOTAL OPERATIVOS</t>
  </si>
  <si>
    <t>TOTAL ADMINISTRATIVOS</t>
  </si>
  <si>
    <t>ADMINISTRADORES OPERATIVOS</t>
  </si>
  <si>
    <t>PERSONAL ADTIVO MANTENIMIENTO</t>
  </si>
  <si>
    <t>PERSONAL ADMINISTRATIVO</t>
  </si>
  <si>
    <t>ALTA GERENCIA</t>
  </si>
  <si>
    <t>COSTO TONELADA</t>
  </si>
  <si>
    <t>SEGURIDAD SOCIAL</t>
  </si>
  <si>
    <t>SEG SOCIAL OPERATIVA BAJO TIERRA</t>
  </si>
  <si>
    <t>SEG SOCIAL ADMINISTRADORES OPERATIVOS</t>
  </si>
  <si>
    <t>SEG SOCIAL PERSONAL ADTIVO MANTENIMIENTO</t>
  </si>
  <si>
    <t>SEG SOCIAL PERSONAL ADMINISTRATIVO</t>
  </si>
  <si>
    <t>TOTAL ALTA GERENCIA</t>
  </si>
  <si>
    <t>PRESTACIONES SOCIALES</t>
  </si>
  <si>
    <t>PRESTACIONES SOCIALES  OPERATIVA BAJO TIERRA</t>
  </si>
  <si>
    <t>PRESTACIONES SOCIALES ADMINISTRADORES OPERATIVOS</t>
  </si>
  <si>
    <t>PRESTACIONES SOCIALES PERSONAL ADTIVO MANTENIMIENTO</t>
  </si>
  <si>
    <t>PRESTACIONES SOCIALES PERSONAL ADMINISTRATIVO</t>
  </si>
  <si>
    <t>PRESTACIONES SOCIALES ALTA GERENCIA</t>
  </si>
  <si>
    <t>NOMINA</t>
  </si>
  <si>
    <t>PRODUCCION MES</t>
  </si>
  <si>
    <t xml:space="preserve">PRODUCCION </t>
  </si>
  <si>
    <t>metro despate</t>
  </si>
  <si>
    <t>MOVIEMIENTO DE ROCA</t>
  </si>
  <si>
    <t>ACTIVIDAD</t>
  </si>
  <si>
    <t xml:space="preserve">MES </t>
  </si>
  <si>
    <t xml:space="preserve"> TOP 3 cotos generales 2024</t>
  </si>
  <si>
    <t>A</t>
  </si>
  <si>
    <t>TOTALES MES ENERO</t>
  </si>
  <si>
    <t>NOMINA MES DE ENERO</t>
  </si>
  <si>
    <t>TOTALES</t>
  </si>
  <si>
    <t>TOTALES MES FEBRERO</t>
  </si>
  <si>
    <t>NOMINA MES DE FEBRERO</t>
  </si>
  <si>
    <t>NOMINA MES DE MARZO</t>
  </si>
  <si>
    <t>TOTALES MES MARZO</t>
  </si>
  <si>
    <t>TOTALES MES ABRIL</t>
  </si>
  <si>
    <t>NOMINA MES DE ABRIL</t>
  </si>
  <si>
    <t>NOMINA MES DE MAYO</t>
  </si>
  <si>
    <t>TOTALES MES MAYO</t>
  </si>
  <si>
    <t>TOTALES MES JUNIO</t>
  </si>
  <si>
    <t>NOMINA MES DE JUNIO</t>
  </si>
  <si>
    <t>TOTALES MES JULIO</t>
  </si>
  <si>
    <t>NOMINA MES DE JULIO</t>
  </si>
  <si>
    <t>TOTALES MES AGOSTO</t>
  </si>
  <si>
    <t>NOMINA MES DE AGOSTO</t>
  </si>
  <si>
    <t>TOTALES MES SEPTIEMBRE</t>
  </si>
  <si>
    <t>TOTAL PRODICCION AÑO PRODUCCION</t>
  </si>
  <si>
    <t xml:space="preserve">PRECIO PROMEDIO </t>
  </si>
  <si>
    <t>TOTAL PERSONAL PROMEDIO</t>
  </si>
  <si>
    <t>COSTOS POR NOMINA</t>
  </si>
  <si>
    <t xml:space="preserve">MARZO </t>
  </si>
  <si>
    <t>NOMINA MES DE NOVIEMBRE</t>
  </si>
  <si>
    <t>NOMINA MES DE OCTUBRE</t>
  </si>
  <si>
    <t>TOTALES MES NOVIEMBRE</t>
  </si>
  <si>
    <t>TOTALES MES OCTUBRE</t>
  </si>
  <si>
    <t>ventana</t>
  </si>
  <si>
    <t>puerta de inclinado</t>
  </si>
  <si>
    <t>TOLVEROS</t>
  </si>
  <si>
    <t>DOMINICALES</t>
  </si>
  <si>
    <t>TOTAL ADMONOSTRATIVOS</t>
  </si>
  <si>
    <t>COSTOS NOMINA 2026</t>
  </si>
  <si>
    <t>VENTANA</t>
  </si>
  <si>
    <t>PUERTA DE INCLINADO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</si>
</sst>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0.0"/>
    <numFmt numFmtId="166" formatCode="_-&quot;$&quot;* #,##0_-;\-&quot;$&quot;* #,##0_-;_-&quot;$&quot;* &quot;-&quot;_-;_-@_-"/>
    <numFmt numFmtId="167" formatCode="_-* #,##0.00\ &quot;$&quot;_-;\-* #,##0.00\ &quot;$&quot;_-;_-* &quot;-&quot;??\ &quot;$&quot;_-;_-@_-"/>
    <numFmt numFmtId="168" formatCode="_(&quot;$&quot;\ * #,##0.00_);_(&quot;$&quot;\ * \(#,##0.00\);_(&quot;$&quot;\ * &quot;-&quot;??_);_(@_)"/>
    <numFmt numFmtId="169" formatCode="_-* #,##0_-;\-* #,##0_-;_-* &quot;-&quot;??_-;_-@_-"/>
    <numFmt numFmtId="170" formatCode="_-* #,##0.00_-;\-* #,##0.00_-;_-* &quot;-&quot;_-;_-@_-"/>
    <numFmt numFmtId="171" formatCode="&quot;$&quot;\ #,##0"/>
    <numFmt numFmtId="172" formatCode="[$$-240A]\ #,##0;\-[$$-240A]\ #,##0"/>
    <numFmt numFmtId="173" formatCode="_-* #,##0.00\ _€_-;\-* #,##0.00\ _€_-;_-* &quot;-&quot;??\ _€_-;_-@_-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9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ECECEC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CECEC"/>
        <bgColor rgb="FFECECEC"/>
      </patternFill>
    </fill>
    <fill>
      <patternFill patternType="solid">
        <fgColor theme="0"/>
        <bgColor indexed="64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0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0" fontId="10" fillId="0" borderId="0"/>
    <xf numFmtId="0" fontId="1" fillId="0" borderId="0"/>
    <xf numFmtId="44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0" borderId="0"/>
    <xf numFmtId="0" fontId="13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4" fillId="0" borderId="0"/>
    <xf numFmtId="0" fontId="8" fillId="0" borderId="0"/>
    <xf numFmtId="168" fontId="1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3" fillId="0" borderId="0"/>
    <xf numFmtId="44" fontId="13" fillId="0" borderId="0" applyFont="0" applyFill="0" applyBorder="0" applyAlignment="0" applyProtection="0"/>
    <xf numFmtId="0" fontId="1" fillId="0" borderId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0" fillId="0" borderId="0"/>
  </cellStyleXfs>
  <cellXfs count="214">
    <xf numFmtId="0" fontId="0" fillId="0" borderId="0" xfId="0"/>
    <xf numFmtId="164" fontId="0" fillId="0" borderId="1" xfId="1" applyNumberFormat="1" applyFont="1" applyBorder="1"/>
    <xf numFmtId="164" fontId="0" fillId="0" borderId="0" xfId="1" applyNumberFormat="1" applyFont="1"/>
    <xf numFmtId="0" fontId="5" fillId="0" borderId="0" xfId="0" applyFont="1" applyAlignment="1">
      <alignment wrapText="1"/>
    </xf>
    <xf numFmtId="0" fontId="0" fillId="0" borderId="1" xfId="0" applyBorder="1"/>
    <xf numFmtId="164" fontId="0" fillId="0" borderId="2" xfId="1" applyNumberFormat="1" applyFont="1" applyBorder="1"/>
    <xf numFmtId="41" fontId="2" fillId="2" borderId="4" xfId="0" applyNumberFormat="1" applyFont="1" applyFill="1" applyBorder="1" applyAlignment="1">
      <alignment horizontal="center" vertical="center" wrapText="1"/>
    </xf>
    <xf numFmtId="14" fontId="0" fillId="0" borderId="5" xfId="0" applyNumberFormat="1" applyBorder="1"/>
    <xf numFmtId="0" fontId="4" fillId="3" borderId="6" xfId="0" applyFont="1" applyFill="1" applyBorder="1" applyAlignment="1">
      <alignment horizontal="center" vertical="center" wrapText="1"/>
    </xf>
    <xf numFmtId="164" fontId="3" fillId="3" borderId="3" xfId="1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41" fontId="2" fillId="2" borderId="8" xfId="0" applyNumberFormat="1" applyFont="1" applyFill="1" applyBorder="1" applyAlignment="1">
      <alignment horizontal="center" vertical="center" wrapText="1"/>
    </xf>
    <xf numFmtId="0" fontId="0" fillId="0" borderId="2" xfId="0" applyBorder="1"/>
    <xf numFmtId="14" fontId="0" fillId="0" borderId="9" xfId="0" applyNumberFormat="1" applyBorder="1"/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10" xfId="0" applyBorder="1"/>
    <xf numFmtId="0" fontId="0" fillId="0" borderId="11" xfId="0" applyBorder="1"/>
    <xf numFmtId="41" fontId="2" fillId="5" borderId="1" xfId="0" applyNumberFormat="1" applyFont="1" applyFill="1" applyBorder="1" applyAlignment="1">
      <alignment horizontal="center" vertical="center" wrapText="1"/>
    </xf>
    <xf numFmtId="164" fontId="1" fillId="0" borderId="2" xfId="0" applyNumberFormat="1" applyFont="1" applyBorder="1"/>
    <xf numFmtId="41" fontId="6" fillId="0" borderId="1" xfId="0" applyNumberFormat="1" applyFont="1" applyBorder="1" applyAlignment="1">
      <alignment horizontal="center" wrapText="1"/>
    </xf>
    <xf numFmtId="0" fontId="0" fillId="0" borderId="0" xfId="0" applyAlignment="1">
      <alignment horizontal="left" indent="1"/>
    </xf>
    <xf numFmtId="164" fontId="0" fillId="0" borderId="15" xfId="1" applyNumberFormat="1" applyFont="1" applyBorder="1"/>
    <xf numFmtId="0" fontId="0" fillId="0" borderId="1" xfId="0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164" fontId="7" fillId="0" borderId="12" xfId="1" applyNumberFormat="1" applyFont="1" applyBorder="1" applyAlignment="1">
      <alignment horizontal="center" vertical="center"/>
    </xf>
    <xf numFmtId="2" fontId="0" fillId="0" borderId="0" xfId="0" applyNumberFormat="1"/>
    <xf numFmtId="0" fontId="7" fillId="0" borderId="1" xfId="0" applyFont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2" fontId="0" fillId="0" borderId="1" xfId="0" applyNumberFormat="1" applyBorder="1"/>
    <xf numFmtId="2" fontId="0" fillId="0" borderId="16" xfId="0" applyNumberFormat="1" applyBorder="1"/>
    <xf numFmtId="0" fontId="7" fillId="0" borderId="11" xfId="0" applyFont="1" applyBorder="1" applyAlignment="1">
      <alignment horizontal="center"/>
    </xf>
    <xf numFmtId="164" fontId="0" fillId="0" borderId="1" xfId="0" applyNumberFormat="1" applyBorder="1"/>
    <xf numFmtId="2" fontId="0" fillId="0" borderId="13" xfId="0" applyNumberFormat="1" applyBorder="1"/>
    <xf numFmtId="164" fontId="0" fillId="0" borderId="15" xfId="0" applyNumberFormat="1" applyBorder="1"/>
    <xf numFmtId="164" fontId="0" fillId="0" borderId="16" xfId="0" applyNumberFormat="1" applyBorder="1"/>
    <xf numFmtId="2" fontId="7" fillId="0" borderId="1" xfId="0" applyNumberFormat="1" applyFont="1" applyBorder="1" applyAlignment="1">
      <alignment horizontal="center"/>
    </xf>
    <xf numFmtId="2" fontId="0" fillId="6" borderId="13" xfId="2" applyNumberFormat="1" applyFont="1" applyFill="1" applyBorder="1"/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164" fontId="0" fillId="6" borderId="1" xfId="1" applyNumberFormat="1" applyFont="1" applyFill="1" applyBorder="1"/>
    <xf numFmtId="0" fontId="0" fillId="0" borderId="0" xfId="0" applyAlignment="1">
      <alignment horizontal="center"/>
    </xf>
    <xf numFmtId="44" fontId="0" fillId="0" borderId="1" xfId="1" applyFont="1" applyBorder="1"/>
    <xf numFmtId="41" fontId="2" fillId="0" borderId="1" xfId="4" applyNumberFormat="1" applyFont="1" applyBorder="1"/>
    <xf numFmtId="0" fontId="0" fillId="0" borderId="19" xfId="0" applyBorder="1"/>
    <xf numFmtId="3" fontId="0" fillId="0" borderId="0" xfId="0" applyNumberFormat="1"/>
    <xf numFmtId="44" fontId="0" fillId="0" borderId="0" xfId="1" applyFont="1"/>
    <xf numFmtId="165" fontId="0" fillId="0" borderId="0" xfId="0" applyNumberFormat="1"/>
    <xf numFmtId="14" fontId="0" fillId="0" borderId="5" xfId="0" applyNumberFormat="1" applyBorder="1" applyAlignment="1">
      <alignment horizontal="right"/>
    </xf>
    <xf numFmtId="0" fontId="17" fillId="6" borderId="0" xfId="0" applyFont="1" applyFill="1"/>
    <xf numFmtId="0" fontId="17" fillId="6" borderId="0" xfId="0" applyFont="1" applyFill="1" applyAlignment="1">
      <alignment horizontal="center"/>
    </xf>
    <xf numFmtId="41" fontId="18" fillId="6" borderId="1" xfId="68" applyFont="1" applyFill="1" applyBorder="1"/>
    <xf numFmtId="169" fontId="18" fillId="6" borderId="1" xfId="67" applyNumberFormat="1" applyFont="1" applyFill="1" applyBorder="1" applyAlignment="1">
      <alignment wrapText="1"/>
    </xf>
    <xf numFmtId="0" fontId="18" fillId="6" borderId="0" xfId="0" applyFont="1" applyFill="1"/>
    <xf numFmtId="170" fontId="18" fillId="6" borderId="1" xfId="68" applyNumberFormat="1" applyFont="1" applyFill="1" applyBorder="1"/>
    <xf numFmtId="169" fontId="18" fillId="6" borderId="1" xfId="67" applyNumberFormat="1" applyFont="1" applyFill="1" applyBorder="1"/>
    <xf numFmtId="169" fontId="18" fillId="6" borderId="1" xfId="0" applyNumberFormat="1" applyFont="1" applyFill="1" applyBorder="1"/>
    <xf numFmtId="169" fontId="17" fillId="6" borderId="0" xfId="0" applyNumberFormat="1" applyFont="1" applyFill="1"/>
    <xf numFmtId="41" fontId="17" fillId="6" borderId="0" xfId="68" applyFont="1" applyFill="1"/>
    <xf numFmtId="169" fontId="17" fillId="6" borderId="0" xfId="67" applyNumberFormat="1" applyFont="1" applyFill="1"/>
    <xf numFmtId="0" fontId="19" fillId="6" borderId="10" xfId="0" applyFont="1" applyFill="1" applyBorder="1"/>
    <xf numFmtId="0" fontId="18" fillId="6" borderId="12" xfId="0" applyFont="1" applyFill="1" applyBorder="1"/>
    <xf numFmtId="0" fontId="18" fillId="6" borderId="12" xfId="0" applyFont="1" applyFill="1" applyBorder="1" applyAlignment="1">
      <alignment wrapText="1"/>
    </xf>
    <xf numFmtId="171" fontId="17" fillId="6" borderId="3" xfId="0" applyNumberFormat="1" applyFont="1" applyFill="1" applyBorder="1"/>
    <xf numFmtId="9" fontId="17" fillId="6" borderId="1" xfId="2" applyFont="1" applyFill="1" applyBorder="1"/>
    <xf numFmtId="172" fontId="17" fillId="6" borderId="1" xfId="67" applyNumberFormat="1" applyFont="1" applyFill="1" applyBorder="1"/>
    <xf numFmtId="0" fontId="18" fillId="6" borderId="12" xfId="0" applyFont="1" applyFill="1" applyBorder="1" applyAlignment="1">
      <alignment horizontal="center" vertical="center"/>
    </xf>
    <xf numFmtId="0" fontId="20" fillId="6" borderId="1" xfId="0" applyFont="1" applyFill="1" applyBorder="1"/>
    <xf numFmtId="10" fontId="17" fillId="6" borderId="1" xfId="2" applyNumberFormat="1" applyFont="1" applyFill="1" applyBorder="1"/>
    <xf numFmtId="169" fontId="18" fillId="6" borderId="1" xfId="67" applyNumberFormat="1" applyFont="1" applyFill="1" applyBorder="1" applyAlignment="1">
      <alignment horizontal="center"/>
    </xf>
    <xf numFmtId="0" fontId="20" fillId="6" borderId="3" xfId="0" applyFont="1" applyFill="1" applyBorder="1" applyAlignment="1">
      <alignment wrapText="1"/>
    </xf>
    <xf numFmtId="170" fontId="18" fillId="6" borderId="23" xfId="0" applyNumberFormat="1" applyFont="1" applyFill="1" applyBorder="1" applyAlignment="1">
      <alignment horizontal="center" vertical="center" wrapText="1"/>
    </xf>
    <xf numFmtId="1" fontId="17" fillId="6" borderId="11" xfId="0" applyNumberFormat="1" applyFont="1" applyFill="1" applyBorder="1"/>
    <xf numFmtId="0" fontId="19" fillId="6" borderId="24" xfId="0" applyFont="1" applyFill="1" applyBorder="1" applyAlignment="1">
      <alignment horizontal="center" vertical="center" wrapText="1"/>
    </xf>
    <xf numFmtId="0" fontId="21" fillId="6" borderId="24" xfId="0" applyFont="1" applyFill="1" applyBorder="1" applyAlignment="1">
      <alignment horizontal="center" vertical="center" wrapText="1"/>
    </xf>
    <xf numFmtId="1" fontId="17" fillId="6" borderId="12" xfId="0" applyNumberFormat="1" applyFont="1" applyFill="1" applyBorder="1"/>
    <xf numFmtId="0" fontId="20" fillId="6" borderId="3" xfId="0" applyFont="1" applyFill="1" applyBorder="1"/>
    <xf numFmtId="172" fontId="17" fillId="6" borderId="3" xfId="67" applyNumberFormat="1" applyFont="1" applyFill="1" applyBorder="1"/>
    <xf numFmtId="169" fontId="18" fillId="6" borderId="1" xfId="67" applyNumberFormat="1" applyFont="1" applyFill="1" applyBorder="1" applyAlignment="1">
      <alignment horizontal="center" vertical="center"/>
    </xf>
    <xf numFmtId="1" fontId="17" fillId="6" borderId="1" xfId="0" applyNumberFormat="1" applyFont="1" applyFill="1" applyBorder="1"/>
    <xf numFmtId="1" fontId="17" fillId="6" borderId="13" xfId="0" applyNumberFormat="1" applyFont="1" applyFill="1" applyBorder="1"/>
    <xf numFmtId="41" fontId="18" fillId="6" borderId="0" xfId="68" applyFont="1" applyFill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169" fontId="18" fillId="6" borderId="0" xfId="67" applyNumberFormat="1" applyFont="1" applyFill="1" applyAlignment="1">
      <alignment horizontal="center" vertical="center"/>
    </xf>
    <xf numFmtId="0" fontId="18" fillId="6" borderId="0" xfId="0" applyFont="1" applyFill="1" applyAlignment="1">
      <alignment horizontal="center"/>
    </xf>
    <xf numFmtId="173" fontId="17" fillId="6" borderId="0" xfId="0" applyNumberFormat="1" applyFont="1" applyFill="1" applyAlignment="1">
      <alignment horizontal="center"/>
    </xf>
    <xf numFmtId="0" fontId="18" fillId="6" borderId="1" xfId="0" applyFont="1" applyFill="1" applyBorder="1" applyAlignment="1">
      <alignment wrapText="1"/>
    </xf>
    <xf numFmtId="0" fontId="17" fillId="9" borderId="1" xfId="0" applyFont="1" applyFill="1" applyBorder="1"/>
    <xf numFmtId="172" fontId="17" fillId="9" borderId="1" xfId="68" applyNumberFormat="1" applyFont="1" applyFill="1" applyBorder="1"/>
    <xf numFmtId="9" fontId="17" fillId="9" borderId="1" xfId="0" applyNumberFormat="1" applyFont="1" applyFill="1" applyBorder="1"/>
    <xf numFmtId="169" fontId="17" fillId="9" borderId="1" xfId="67" applyNumberFormat="1" applyFont="1" applyFill="1" applyBorder="1"/>
    <xf numFmtId="171" fontId="17" fillId="9" borderId="1" xfId="0" applyNumberFormat="1" applyFont="1" applyFill="1" applyBorder="1"/>
    <xf numFmtId="0" fontId="22" fillId="6" borderId="3" xfId="0" applyFont="1" applyFill="1" applyBorder="1" applyAlignment="1">
      <alignment wrapText="1"/>
    </xf>
    <xf numFmtId="0" fontId="22" fillId="6" borderId="1" xfId="0" applyFont="1" applyFill="1" applyBorder="1"/>
    <xf numFmtId="0" fontId="22" fillId="6" borderId="1" xfId="0" applyFont="1" applyFill="1" applyBorder="1" applyAlignment="1">
      <alignment wrapText="1"/>
    </xf>
    <xf numFmtId="0" fontId="23" fillId="6" borderId="0" xfId="0" applyFont="1" applyFill="1"/>
    <xf numFmtId="0" fontId="24" fillId="6" borderId="0" xfId="0" applyFont="1" applyFill="1"/>
    <xf numFmtId="0" fontId="22" fillId="6" borderId="3" xfId="0" applyFont="1" applyFill="1" applyBorder="1"/>
    <xf numFmtId="0" fontId="20" fillId="0" borderId="0" xfId="69"/>
    <xf numFmtId="0" fontId="19" fillId="0" borderId="25" xfId="69" applyFont="1" applyBorder="1" applyAlignment="1">
      <alignment horizontal="center"/>
    </xf>
    <xf numFmtId="0" fontId="20" fillId="0" borderId="26" xfId="69" applyBorder="1"/>
    <xf numFmtId="0" fontId="20" fillId="0" borderId="28" xfId="69" applyBorder="1"/>
    <xf numFmtId="0" fontId="20" fillId="0" borderId="18" xfId="69" applyBorder="1"/>
    <xf numFmtId="0" fontId="18" fillId="0" borderId="29" xfId="69" applyFont="1" applyBorder="1"/>
    <xf numFmtId="0" fontId="18" fillId="0" borderId="30" xfId="69" applyFont="1" applyBorder="1"/>
    <xf numFmtId="41" fontId="7" fillId="6" borderId="1" xfId="68" applyFont="1" applyFill="1" applyBorder="1"/>
    <xf numFmtId="169" fontId="7" fillId="6" borderId="1" xfId="67" applyNumberFormat="1" applyFont="1" applyFill="1" applyBorder="1" applyAlignment="1">
      <alignment wrapText="1"/>
    </xf>
    <xf numFmtId="170" fontId="7" fillId="6" borderId="1" xfId="68" applyNumberFormat="1" applyFont="1" applyFill="1" applyBorder="1"/>
    <xf numFmtId="169" fontId="7" fillId="6" borderId="1" xfId="67" applyNumberFormat="1" applyFont="1" applyFill="1" applyBorder="1"/>
    <xf numFmtId="169" fontId="7" fillId="6" borderId="1" xfId="0" applyNumberFormat="1" applyFont="1" applyFill="1" applyBorder="1"/>
    <xf numFmtId="41" fontId="25" fillId="6" borderId="10" xfId="68" applyFont="1" applyFill="1" applyBorder="1" applyAlignment="1">
      <alignment wrapText="1"/>
    </xf>
    <xf numFmtId="169" fontId="7" fillId="6" borderId="12" xfId="67" applyNumberFormat="1" applyFont="1" applyFill="1" applyBorder="1" applyAlignment="1">
      <alignment wrapText="1"/>
    </xf>
    <xf numFmtId="170" fontId="7" fillId="6" borderId="14" xfId="68" applyNumberFormat="1" applyFont="1" applyFill="1" applyBorder="1"/>
    <xf numFmtId="169" fontId="7" fillId="6" borderId="15" xfId="67" applyNumberFormat="1" applyFont="1" applyFill="1" applyBorder="1"/>
    <xf numFmtId="169" fontId="7" fillId="6" borderId="15" xfId="0" applyNumberFormat="1" applyFont="1" applyFill="1" applyBorder="1"/>
    <xf numFmtId="1" fontId="18" fillId="6" borderId="12" xfId="0" applyNumberFormat="1" applyFont="1" applyFill="1" applyBorder="1" applyAlignment="1">
      <alignment horizontal="center" vertical="center"/>
    </xf>
    <xf numFmtId="1" fontId="17" fillId="6" borderId="0" xfId="0" applyNumberFormat="1" applyFont="1" applyFill="1"/>
    <xf numFmtId="0" fontId="0" fillId="0" borderId="0" xfId="0" applyAlignment="1">
      <alignment horizontal="center" vertical="center"/>
    </xf>
    <xf numFmtId="164" fontId="0" fillId="6" borderId="0" xfId="1" applyNumberFormat="1" applyFont="1" applyFill="1" applyBorder="1"/>
    <xf numFmtId="164" fontId="0" fillId="0" borderId="3" xfId="1" applyNumberFormat="1" applyFont="1" applyBorder="1"/>
    <xf numFmtId="2" fontId="0" fillId="0" borderId="3" xfId="0" applyNumberFormat="1" applyBorder="1"/>
    <xf numFmtId="169" fontId="18" fillId="6" borderId="0" xfId="67" applyNumberFormat="1" applyFont="1" applyFill="1" applyBorder="1"/>
    <xf numFmtId="169" fontId="18" fillId="6" borderId="0" xfId="0" applyNumberFormat="1" applyFont="1" applyFill="1"/>
    <xf numFmtId="170" fontId="18" fillId="6" borderId="0" xfId="68" applyNumberFormat="1" applyFont="1" applyFill="1" applyBorder="1"/>
    <xf numFmtId="169" fontId="17" fillId="6" borderId="0" xfId="67" applyNumberFormat="1" applyFont="1" applyFill="1" applyBorder="1"/>
    <xf numFmtId="41" fontId="18" fillId="6" borderId="10" xfId="68" applyFont="1" applyFill="1" applyBorder="1"/>
    <xf numFmtId="169" fontId="18" fillId="6" borderId="12" xfId="67" applyNumberFormat="1" applyFont="1" applyFill="1" applyBorder="1" applyAlignment="1">
      <alignment wrapText="1"/>
    </xf>
    <xf numFmtId="0" fontId="18" fillId="6" borderId="11" xfId="0" applyFont="1" applyFill="1" applyBorder="1" applyAlignment="1">
      <alignment wrapText="1"/>
    </xf>
    <xf numFmtId="170" fontId="18" fillId="6" borderId="14" xfId="68" applyNumberFormat="1" applyFont="1" applyFill="1" applyBorder="1"/>
    <xf numFmtId="169" fontId="18" fillId="6" borderId="15" xfId="67" applyNumberFormat="1" applyFont="1" applyFill="1" applyBorder="1"/>
    <xf numFmtId="169" fontId="18" fillId="6" borderId="15" xfId="0" applyNumberFormat="1" applyFont="1" applyFill="1" applyBorder="1"/>
    <xf numFmtId="169" fontId="18" fillId="6" borderId="16" xfId="0" applyNumberFormat="1" applyFont="1" applyFill="1" applyBorder="1"/>
    <xf numFmtId="0" fontId="17" fillId="6" borderId="28" xfId="0" applyFont="1" applyFill="1" applyBorder="1"/>
    <xf numFmtId="0" fontId="17" fillId="6" borderId="14" xfId="0" applyFont="1" applyFill="1" applyBorder="1"/>
    <xf numFmtId="172" fontId="17" fillId="6" borderId="5" xfId="68" applyNumberFormat="1" applyFont="1" applyFill="1" applyBorder="1"/>
    <xf numFmtId="172" fontId="17" fillId="6" borderId="32" xfId="68" applyNumberFormat="1" applyFont="1" applyFill="1" applyBorder="1"/>
    <xf numFmtId="9" fontId="17" fillId="6" borderId="13" xfId="2" applyFont="1" applyFill="1" applyBorder="1"/>
    <xf numFmtId="9" fontId="17" fillId="6" borderId="16" xfId="2" applyFont="1" applyFill="1" applyBorder="1"/>
    <xf numFmtId="0" fontId="18" fillId="6" borderId="25" xfId="0" applyFont="1" applyFill="1" applyBorder="1"/>
    <xf numFmtId="172" fontId="18" fillId="6" borderId="36" xfId="68" applyNumberFormat="1" applyFont="1" applyFill="1" applyBorder="1"/>
    <xf numFmtId="9" fontId="18" fillId="6" borderId="37" xfId="0" applyNumberFormat="1" applyFont="1" applyFill="1" applyBorder="1"/>
    <xf numFmtId="41" fontId="17" fillId="6" borderId="0" xfId="68" applyFont="1" applyFill="1" applyBorder="1"/>
    <xf numFmtId="0" fontId="19" fillId="6" borderId="0" xfId="0" applyFont="1" applyFill="1"/>
    <xf numFmtId="0" fontId="18" fillId="6" borderId="0" xfId="0" applyFont="1" applyFill="1" applyAlignment="1">
      <alignment wrapText="1"/>
    </xf>
    <xf numFmtId="0" fontId="19" fillId="6" borderId="0" xfId="0" applyFont="1" applyFill="1" applyAlignment="1">
      <alignment horizontal="center" vertical="center" wrapText="1"/>
    </xf>
    <xf numFmtId="0" fontId="21" fillId="6" borderId="0" xfId="0" applyFont="1" applyFill="1" applyAlignment="1">
      <alignment horizontal="center" vertical="center" wrapText="1"/>
    </xf>
    <xf numFmtId="170" fontId="18" fillId="6" borderId="0" xfId="0" applyNumberFormat="1" applyFont="1" applyFill="1" applyAlignment="1">
      <alignment horizontal="center" vertical="center" wrapText="1"/>
    </xf>
    <xf numFmtId="171" fontId="17" fillId="6" borderId="0" xfId="0" applyNumberFormat="1" applyFont="1" applyFill="1"/>
    <xf numFmtId="9" fontId="17" fillId="6" borderId="0" xfId="2" applyFont="1" applyFill="1" applyBorder="1"/>
    <xf numFmtId="172" fontId="17" fillId="6" borderId="0" xfId="67" applyNumberFormat="1" applyFont="1" applyFill="1" applyBorder="1"/>
    <xf numFmtId="1" fontId="18" fillId="6" borderId="0" xfId="0" applyNumberFormat="1" applyFont="1" applyFill="1" applyAlignment="1">
      <alignment horizontal="center" vertical="center"/>
    </xf>
    <xf numFmtId="169" fontId="18" fillId="6" borderId="0" xfId="67" applyNumberFormat="1" applyFont="1" applyFill="1" applyBorder="1" applyAlignment="1">
      <alignment horizontal="center" vertical="center"/>
    </xf>
    <xf numFmtId="10" fontId="17" fillId="6" borderId="0" xfId="2" applyNumberFormat="1" applyFont="1" applyFill="1" applyBorder="1"/>
    <xf numFmtId="169" fontId="18" fillId="6" borderId="0" xfId="67" applyNumberFormat="1" applyFont="1" applyFill="1" applyBorder="1" applyAlignment="1">
      <alignment horizontal="center"/>
    </xf>
    <xf numFmtId="41" fontId="18" fillId="6" borderId="0" xfId="68" applyFont="1" applyFill="1" applyBorder="1" applyAlignment="1">
      <alignment horizontal="center" vertical="center"/>
    </xf>
    <xf numFmtId="41" fontId="18" fillId="6" borderId="0" xfId="68" applyFont="1" applyFill="1" applyBorder="1"/>
    <xf numFmtId="169" fontId="18" fillId="6" borderId="0" xfId="67" applyNumberFormat="1" applyFont="1" applyFill="1" applyBorder="1" applyAlignment="1">
      <alignment wrapText="1"/>
    </xf>
    <xf numFmtId="172" fontId="17" fillId="6" borderId="0" xfId="68" applyNumberFormat="1" applyFont="1" applyFill="1" applyBorder="1"/>
    <xf numFmtId="172" fontId="18" fillId="6" borderId="0" xfId="68" applyNumberFormat="1" applyFont="1" applyFill="1" applyBorder="1"/>
    <xf numFmtId="9" fontId="18" fillId="6" borderId="0" xfId="0" applyNumberFormat="1" applyFont="1" applyFill="1"/>
    <xf numFmtId="2" fontId="20" fillId="6" borderId="27" xfId="69" applyNumberFormat="1" applyFill="1" applyBorder="1"/>
    <xf numFmtId="0" fontId="20" fillId="6" borderId="28" xfId="0" applyFont="1" applyFill="1" applyBorder="1"/>
    <xf numFmtId="9" fontId="17" fillId="6" borderId="0" xfId="0" applyNumberFormat="1" applyFont="1" applyFill="1"/>
    <xf numFmtId="0" fontId="20" fillId="6" borderId="26" xfId="0" applyFont="1" applyFill="1" applyBorder="1"/>
    <xf numFmtId="0" fontId="19" fillId="6" borderId="0" xfId="69" applyFont="1" applyFill="1" applyAlignment="1">
      <alignment horizontal="center"/>
    </xf>
    <xf numFmtId="0" fontId="20" fillId="6" borderId="0" xfId="69" applyFill="1"/>
    <xf numFmtId="2" fontId="20" fillId="6" borderId="0" xfId="69" applyNumberFormat="1" applyFill="1"/>
    <xf numFmtId="44" fontId="18" fillId="6" borderId="1" xfId="1" applyFont="1" applyFill="1" applyBorder="1" applyAlignment="1">
      <alignment horizontal="center" vertical="center"/>
    </xf>
    <xf numFmtId="44" fontId="17" fillId="6" borderId="3" xfId="1" applyFont="1" applyFill="1" applyBorder="1"/>
    <xf numFmtId="44" fontId="17" fillId="6" borderId="1" xfId="1" applyFont="1" applyFill="1" applyBorder="1"/>
    <xf numFmtId="44" fontId="17" fillId="6" borderId="1" xfId="1" applyFont="1" applyFill="1" applyBorder="1" applyAlignment="1">
      <alignment horizontal="center" vertical="center"/>
    </xf>
    <xf numFmtId="44" fontId="18" fillId="6" borderId="15" xfId="1" applyFont="1" applyFill="1" applyBorder="1" applyAlignment="1">
      <alignment horizontal="center" vertical="center"/>
    </xf>
    <xf numFmtId="0" fontId="19" fillId="10" borderId="30" xfId="69" applyFont="1" applyFill="1" applyBorder="1" applyAlignment="1">
      <alignment horizontal="center"/>
    </xf>
    <xf numFmtId="164" fontId="17" fillId="6" borderId="3" xfId="1" applyNumberFormat="1" applyFont="1" applyFill="1" applyBorder="1"/>
    <xf numFmtId="164" fontId="17" fillId="6" borderId="1" xfId="1" applyNumberFormat="1" applyFont="1" applyFill="1" applyBorder="1"/>
    <xf numFmtId="164" fontId="17" fillId="6" borderId="1" xfId="1" applyNumberFormat="1" applyFont="1" applyFill="1" applyBorder="1" applyAlignment="1">
      <alignment horizontal="center" vertical="center"/>
    </xf>
    <xf numFmtId="172" fontId="17" fillId="6" borderId="0" xfId="0" applyNumberFormat="1" applyFont="1" applyFill="1"/>
    <xf numFmtId="2" fontId="0" fillId="0" borderId="27" xfId="0" applyNumberFormat="1" applyBorder="1"/>
    <xf numFmtId="2" fontId="0" fillId="0" borderId="22" xfId="0" applyNumberFormat="1" applyBorder="1"/>
    <xf numFmtId="9" fontId="0" fillId="0" borderId="0" xfId="2" applyFont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7" fillId="6" borderId="0" xfId="0" applyFont="1" applyFill="1" applyAlignment="1">
      <alignment horizontal="center"/>
    </xf>
    <xf numFmtId="0" fontId="18" fillId="6" borderId="33" xfId="0" applyFont="1" applyFill="1" applyBorder="1" applyAlignment="1">
      <alignment horizontal="center" wrapText="1"/>
    </xf>
    <xf numFmtId="0" fontId="18" fillId="6" borderId="34" xfId="0" applyFont="1" applyFill="1" applyBorder="1" applyAlignment="1">
      <alignment horizontal="center" wrapText="1"/>
    </xf>
    <xf numFmtId="0" fontId="18" fillId="6" borderId="35" xfId="0" applyFont="1" applyFill="1" applyBorder="1" applyAlignment="1">
      <alignment horizontal="center" wrapText="1"/>
    </xf>
    <xf numFmtId="0" fontId="19" fillId="10" borderId="29" xfId="0" applyFont="1" applyFill="1" applyBorder="1" applyAlignment="1">
      <alignment horizontal="center" wrapText="1"/>
    </xf>
    <xf numFmtId="0" fontId="19" fillId="10" borderId="24" xfId="0" applyFont="1" applyFill="1" applyBorder="1" applyAlignment="1">
      <alignment horizontal="center" wrapText="1"/>
    </xf>
    <xf numFmtId="0" fontId="18" fillId="6" borderId="0" xfId="0" applyFont="1" applyFill="1" applyAlignment="1">
      <alignment horizontal="center" wrapText="1"/>
    </xf>
    <xf numFmtId="0" fontId="7" fillId="0" borderId="1" xfId="18" applyFont="1" applyBorder="1" applyAlignment="1">
      <alignment horizontal="center" vertical="center"/>
    </xf>
    <xf numFmtId="164" fontId="7" fillId="0" borderId="1" xfId="6" applyNumberFormat="1" applyFont="1" applyBorder="1" applyAlignment="1">
      <alignment horizontal="center" vertical="center"/>
    </xf>
    <xf numFmtId="2" fontId="7" fillId="0" borderId="1" xfId="18" applyNumberFormat="1" applyFont="1" applyBorder="1" applyAlignment="1">
      <alignment horizontal="center"/>
    </xf>
    <xf numFmtId="0" fontId="1" fillId="0" borderId="2" xfId="18" applyBorder="1" applyAlignment="1">
      <alignment horizontal="center" vertical="center"/>
    </xf>
    <xf numFmtId="0" fontId="1" fillId="0" borderId="1" xfId="18" applyBorder="1"/>
    <xf numFmtId="164" fontId="0" fillId="6" borderId="1" xfId="6" applyNumberFormat="1" applyFont="1" applyFill="1" applyBorder="1"/>
    <xf numFmtId="2" fontId="1" fillId="0" borderId="1" xfId="18" applyNumberFormat="1" applyBorder="1"/>
    <xf numFmtId="0" fontId="1" fillId="0" borderId="19" xfId="18" applyBorder="1" applyAlignment="1">
      <alignment horizontal="center" vertical="center"/>
    </xf>
    <xf numFmtId="0" fontId="1" fillId="0" borderId="3" xfId="18" applyBorder="1" applyAlignment="1">
      <alignment horizontal="center" vertical="center"/>
    </xf>
    <xf numFmtId="0" fontId="1" fillId="0" borderId="0" xfId="18"/>
    <xf numFmtId="0" fontId="1" fillId="0" borderId="1" xfId="18" applyBorder="1" applyAlignment="1">
      <alignment horizontal="center"/>
    </xf>
    <xf numFmtId="164" fontId="1" fillId="0" borderId="1" xfId="18" applyNumberFormat="1" applyBorder="1"/>
  </cellXfs>
  <cellStyles count="70">
    <cellStyle name="Énfasis5 2" xfId="64" xr:uid="{D0F039A0-CCC9-4029-9911-2B66267AE6CD}"/>
    <cellStyle name="Énfasis6 2" xfId="65" xr:uid="{759D56F1-B362-4A64-9214-B1BEA503DE08}"/>
    <cellStyle name="Hipervínculo 2" xfId="7" xr:uid="{D1E33B67-8162-4AD7-BFD5-C785A6ABBAC1}"/>
    <cellStyle name="Millares" xfId="67" builtinId="3"/>
    <cellStyle name="Millares [0]" xfId="68" builtinId="6"/>
    <cellStyle name="Millares [0] 2" xfId="34" xr:uid="{25A56020-4C9B-46EC-BE17-36C1E5DBC3F3}"/>
    <cellStyle name="Millares [0] 3" xfId="39" xr:uid="{CE54E2AA-B98F-4C4C-95A0-55736549D84C}"/>
    <cellStyle name="Millares [0] 4" xfId="41" xr:uid="{4DCAEABC-85EE-498E-89F8-BCA90571ACAD}"/>
    <cellStyle name="Millares [0] 5" xfId="44" xr:uid="{61FF322D-BAAE-43FB-9C57-2FAF45C6F235}"/>
    <cellStyle name="Millares [0] 5 2" xfId="47" xr:uid="{4C479022-2B2F-4F9B-B370-7F72C6707649}"/>
    <cellStyle name="Millares [0] 6" xfId="31" xr:uid="{DC70C577-91E3-481F-A7CD-502B24E0EBBA}"/>
    <cellStyle name="Millares 2" xfId="8" xr:uid="{B876B5EF-94E1-440F-A2A7-6B787D09EAFB}"/>
    <cellStyle name="Millares 2 2" xfId="20" xr:uid="{B47C0686-81AC-439F-BF1A-83F3EE273D67}"/>
    <cellStyle name="Millares 2 3 2" xfId="58" xr:uid="{66EF4DA4-83FE-4A78-AB09-5FC97510E2FD}"/>
    <cellStyle name="Millares 3" xfId="16" xr:uid="{474641B2-A49E-4EBC-A411-2BA3AC7565F5}"/>
    <cellStyle name="Millares 3 2 2 2" xfId="59" xr:uid="{BB5A2C7A-C2D9-4EE3-9B67-9FAD2144F896}"/>
    <cellStyle name="Millares 4" xfId="26" xr:uid="{BC60AC08-BE70-43E7-BDC7-51C0B68B2ABB}"/>
    <cellStyle name="Moneda" xfId="1" builtinId="4"/>
    <cellStyle name="Moneda [0] 2" xfId="38" xr:uid="{16F468C7-A2EF-4D80-9564-4526DAC9323D}"/>
    <cellStyle name="Moneda [0] 3" xfId="66" xr:uid="{CAD21E36-907B-4E2E-BC50-C84B05720488}"/>
    <cellStyle name="Moneda [0] 4" xfId="35" xr:uid="{8DE1034E-0FAC-4003-B73C-2ACF6773D374}"/>
    <cellStyle name="Moneda 10" xfId="13" xr:uid="{9E6DE1D2-571C-4450-9C70-8DF18B15DEE8}"/>
    <cellStyle name="Moneda 2" xfId="6" xr:uid="{1A1F88BC-D5A5-4367-A5CA-5B755FF8CE1F}"/>
    <cellStyle name="Moneda 2 2" xfId="19" xr:uid="{46C9051A-4E93-48B6-84CD-7BA3D03E0A7F}"/>
    <cellStyle name="Moneda 3" xfId="9" xr:uid="{B78D74E1-D149-4977-9522-7E66EE6A252C}"/>
    <cellStyle name="Moneda 3 2" xfId="21" xr:uid="{0B423DD2-C116-4406-A749-E53EFE2820C4}"/>
    <cellStyle name="Moneda 3 2 2" xfId="56" xr:uid="{6728C613-E1B6-4B73-B8EC-6AF5F4160E51}"/>
    <cellStyle name="Moneda 4" xfId="11" xr:uid="{F695C639-3C2B-4524-86D3-2CE8D85AE690}"/>
    <cellStyle name="Moneda 4 2" xfId="23" xr:uid="{0B276683-35E4-4882-A6A9-149245FC06D6}"/>
    <cellStyle name="Moneda 5" xfId="15" xr:uid="{3244F2EF-588D-496B-A151-A1F72DD99994}"/>
    <cellStyle name="Moneda 6" xfId="25" xr:uid="{B1BB010F-F3EB-4A27-B9C1-22C501E0FE28}"/>
    <cellStyle name="Moneda 7" xfId="42" xr:uid="{93AB9E2F-0953-4FBE-A5F5-7481FED132F0}"/>
    <cellStyle name="Moneda 7 2" xfId="45" xr:uid="{82066030-7EB9-44B5-B08E-030F81A28C85}"/>
    <cellStyle name="Moneda 8" xfId="50" xr:uid="{F9589286-3676-45FD-A8B4-C29644E7E5BD}"/>
    <cellStyle name="Moneda 9" xfId="62" xr:uid="{474B5049-422C-439F-A9EB-5FCDA25E6CD4}"/>
    <cellStyle name="Normal" xfId="0" builtinId="0"/>
    <cellStyle name="Normal 10" xfId="36" xr:uid="{D1803C83-369C-478E-8596-96DE9706E3FF}"/>
    <cellStyle name="Normal 11" xfId="37" xr:uid="{CAE9F12E-7C0A-429F-B622-42075F619514}"/>
    <cellStyle name="Normal 11 2" xfId="51" xr:uid="{E363B672-D2ED-418D-8CA7-32EBB97BB972}"/>
    <cellStyle name="Normal 12" xfId="40" xr:uid="{33CA828F-9CCF-4F24-8A4A-2DE8FC4E9070}"/>
    <cellStyle name="Normal 13" xfId="43" xr:uid="{A561B149-BD30-43EC-87BB-7F87693F96AF}"/>
    <cellStyle name="Normal 13 2" xfId="46" xr:uid="{F947086A-C9A9-4C0C-ACD0-6DD233057FE4}"/>
    <cellStyle name="Normal 14" xfId="48" xr:uid="{92A7136C-5E94-4D14-ABF5-7127D592E614}"/>
    <cellStyle name="Normal 14 2" xfId="52" xr:uid="{DCB38D65-55F7-4AC0-B8F9-CA23AF72696A}"/>
    <cellStyle name="Normal 15" xfId="49" xr:uid="{3C8726B3-D28D-4AE6-AD85-2DF5059322BC}"/>
    <cellStyle name="Normal 16" xfId="61" xr:uid="{67F9C6FD-5408-4405-8B0C-2C5BB1A6FAB5}"/>
    <cellStyle name="Normal 17" xfId="63" xr:uid="{79A40453-969E-49CE-97BD-139BB9969BDA}"/>
    <cellStyle name="Normal 18" xfId="4" xr:uid="{21E3DBE5-921B-4FAA-AFCC-A7FD9A621836}"/>
    <cellStyle name="Normal 2" xfId="3" xr:uid="{12A57ED2-E0C4-4E6E-8485-D6EF405BE994}"/>
    <cellStyle name="Normal 2 2" xfId="18" xr:uid="{AC7F23A5-60B2-4F35-AF49-5ADD30A38A0E}"/>
    <cellStyle name="Normal 2 2 2" xfId="60" xr:uid="{FB8A594D-C8DC-4F2C-940A-64829EB4DA79}"/>
    <cellStyle name="Normal 2 2 2 2" xfId="55" xr:uid="{A45FBA0C-4BFC-4D86-8E80-335BC9E54CE0}"/>
    <cellStyle name="Normal 2 3" xfId="5" xr:uid="{87588473-ABE0-4BED-A9D7-4F977F4DDDAC}"/>
    <cellStyle name="Normal 2 3 2 2" xfId="57" xr:uid="{D05304B1-D067-42AA-9C8F-6E0B64E29D48}"/>
    <cellStyle name="Normal 3" xfId="10" xr:uid="{E9CC4DB5-403A-49AB-9053-B09ACB2BA08C}"/>
    <cellStyle name="Normal 3 2" xfId="22" xr:uid="{45DDEB0B-1F94-40AD-A2E3-D1ABDBC1FE72}"/>
    <cellStyle name="Normal 3 2 2" xfId="54" xr:uid="{344C7C86-38A1-4979-A88F-D74340523429}"/>
    <cellStyle name="Normal 3 3" xfId="27" xr:uid="{FCC08C0D-5252-4299-A615-1D20B7D2300B}"/>
    <cellStyle name="Normal 3 4" xfId="69" xr:uid="{17BBED71-CAE4-4229-A061-5E42BB0CB7AC}"/>
    <cellStyle name="Normal 4" xfId="12" xr:uid="{3EC268EE-52EA-4182-9F92-9FC4CBF8C610}"/>
    <cellStyle name="Normal 4 2" xfId="24" xr:uid="{44369144-8ABA-4084-8FDA-4DE6E8FD2A0F}"/>
    <cellStyle name="Normal 4 3" xfId="28" xr:uid="{7173A70B-08F8-4B5B-81B6-735508622F97}"/>
    <cellStyle name="Normal 5" xfId="14" xr:uid="{F4B6A754-E2D1-4BAD-91FE-300F865FDA57}"/>
    <cellStyle name="Normal 6" xfId="17" xr:uid="{341C12F7-F9CE-4E0C-915F-B6937699EC4B}"/>
    <cellStyle name="Normal 7" xfId="29" xr:uid="{33620CC0-9F84-4091-8468-5707D47FDE3E}"/>
    <cellStyle name="Normal 7 2" xfId="53" xr:uid="{3A42AABE-9701-4CA2-A626-D58A7B3D913A}"/>
    <cellStyle name="Normal 8" xfId="30" xr:uid="{9B1AC898-C7C2-4B32-8BA3-1AEBC59713DD}"/>
    <cellStyle name="Normal 9" xfId="32" xr:uid="{B44D09C4-1E6A-41E2-90A2-070E0FE5D7D0}"/>
    <cellStyle name="Normal 9 2" xfId="33" xr:uid="{12083D95-25F8-4A6B-9F0E-32C08D70C694}"/>
    <cellStyle name="Porcentaje" xfId="2" builtinId="5"/>
  </cellStyles>
  <dxfs count="10">
    <dxf>
      <numFmt numFmtId="19" formatCode="d/mm/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\ * #,##0_-;\-&quot;$&quot;\ * #,##0_-;_-&quot;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3" formatCode="_-* #,##0_-;\-* #,##0_-;_-* &quot;-&quot;_-;_-@_-"/>
      <fill>
        <patternFill patternType="solid">
          <fgColor rgb="FFECECEC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164" formatCode="_-&quot;$&quot;\ * #,##0_-;\-&quot;$&quot;\ * #,##0_-;_-&quot;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8.xml"/><Relationship Id="rId21" Type="http://schemas.openxmlformats.org/officeDocument/2006/relationships/externalLink" Target="externalLinks/externalLink3.xml"/><Relationship Id="rId42" Type="http://schemas.openxmlformats.org/officeDocument/2006/relationships/externalLink" Target="externalLinks/externalLink24.xml"/><Relationship Id="rId47" Type="http://schemas.openxmlformats.org/officeDocument/2006/relationships/externalLink" Target="externalLinks/externalLink29.xml"/><Relationship Id="rId63" Type="http://schemas.openxmlformats.org/officeDocument/2006/relationships/externalLink" Target="externalLinks/externalLink45.xml"/><Relationship Id="rId68" Type="http://schemas.openxmlformats.org/officeDocument/2006/relationships/externalLink" Target="externalLinks/externalLink50.xml"/><Relationship Id="rId84" Type="http://schemas.microsoft.com/office/2007/relationships/slicerCache" Target="slicerCaches/slicerCache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4.xml"/><Relationship Id="rId37" Type="http://schemas.openxmlformats.org/officeDocument/2006/relationships/externalLink" Target="externalLinks/externalLink19.xml"/><Relationship Id="rId53" Type="http://schemas.openxmlformats.org/officeDocument/2006/relationships/externalLink" Target="externalLinks/externalLink35.xml"/><Relationship Id="rId58" Type="http://schemas.openxmlformats.org/officeDocument/2006/relationships/externalLink" Target="externalLinks/externalLink40.xml"/><Relationship Id="rId74" Type="http://schemas.openxmlformats.org/officeDocument/2006/relationships/externalLink" Target="externalLinks/externalLink56.xml"/><Relationship Id="rId79" Type="http://schemas.openxmlformats.org/officeDocument/2006/relationships/externalLink" Target="externalLinks/externalLink61.xml"/><Relationship Id="rId5" Type="http://schemas.openxmlformats.org/officeDocument/2006/relationships/worksheet" Target="worksheets/sheet5.xml"/><Relationship Id="rId19" Type="http://schemas.openxmlformats.org/officeDocument/2006/relationships/externalLink" Target="externalLinks/externalLink1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Relationship Id="rId43" Type="http://schemas.openxmlformats.org/officeDocument/2006/relationships/externalLink" Target="externalLinks/externalLink25.xml"/><Relationship Id="rId48" Type="http://schemas.openxmlformats.org/officeDocument/2006/relationships/externalLink" Target="externalLinks/externalLink30.xml"/><Relationship Id="rId56" Type="http://schemas.openxmlformats.org/officeDocument/2006/relationships/externalLink" Target="externalLinks/externalLink38.xml"/><Relationship Id="rId64" Type="http://schemas.openxmlformats.org/officeDocument/2006/relationships/externalLink" Target="externalLinks/externalLink46.xml"/><Relationship Id="rId69" Type="http://schemas.openxmlformats.org/officeDocument/2006/relationships/externalLink" Target="externalLinks/externalLink51.xml"/><Relationship Id="rId77" Type="http://schemas.openxmlformats.org/officeDocument/2006/relationships/externalLink" Target="externalLinks/externalLink59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3.xml"/><Relationship Id="rId72" Type="http://schemas.openxmlformats.org/officeDocument/2006/relationships/externalLink" Target="externalLinks/externalLink54.xml"/><Relationship Id="rId80" Type="http://schemas.openxmlformats.org/officeDocument/2006/relationships/externalLink" Target="externalLinks/externalLink62.xml"/><Relationship Id="rId85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externalLink" Target="externalLinks/externalLink20.xml"/><Relationship Id="rId46" Type="http://schemas.openxmlformats.org/officeDocument/2006/relationships/externalLink" Target="externalLinks/externalLink28.xml"/><Relationship Id="rId59" Type="http://schemas.openxmlformats.org/officeDocument/2006/relationships/externalLink" Target="externalLinks/externalLink41.xml"/><Relationship Id="rId67" Type="http://schemas.openxmlformats.org/officeDocument/2006/relationships/externalLink" Target="externalLinks/externalLink49.xml"/><Relationship Id="rId20" Type="http://schemas.openxmlformats.org/officeDocument/2006/relationships/externalLink" Target="externalLinks/externalLink2.xml"/><Relationship Id="rId41" Type="http://schemas.openxmlformats.org/officeDocument/2006/relationships/externalLink" Target="externalLinks/externalLink23.xml"/><Relationship Id="rId54" Type="http://schemas.openxmlformats.org/officeDocument/2006/relationships/externalLink" Target="externalLinks/externalLink36.xml"/><Relationship Id="rId62" Type="http://schemas.openxmlformats.org/officeDocument/2006/relationships/externalLink" Target="externalLinks/externalLink44.xml"/><Relationship Id="rId70" Type="http://schemas.openxmlformats.org/officeDocument/2006/relationships/externalLink" Target="externalLinks/externalLink52.xml"/><Relationship Id="rId75" Type="http://schemas.openxmlformats.org/officeDocument/2006/relationships/externalLink" Target="externalLinks/externalLink57.xml"/><Relationship Id="rId83" Type="http://schemas.openxmlformats.org/officeDocument/2006/relationships/pivotCacheDefinition" Target="pivotCache/pivotCacheDefinition1.xml"/><Relationship Id="rId88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49" Type="http://schemas.openxmlformats.org/officeDocument/2006/relationships/externalLink" Target="externalLinks/externalLink31.xml"/><Relationship Id="rId57" Type="http://schemas.openxmlformats.org/officeDocument/2006/relationships/externalLink" Target="externalLinks/externalLink39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3.xml"/><Relationship Id="rId44" Type="http://schemas.openxmlformats.org/officeDocument/2006/relationships/externalLink" Target="externalLinks/externalLink26.xml"/><Relationship Id="rId52" Type="http://schemas.openxmlformats.org/officeDocument/2006/relationships/externalLink" Target="externalLinks/externalLink34.xml"/><Relationship Id="rId60" Type="http://schemas.openxmlformats.org/officeDocument/2006/relationships/externalLink" Target="externalLinks/externalLink42.xml"/><Relationship Id="rId65" Type="http://schemas.openxmlformats.org/officeDocument/2006/relationships/externalLink" Target="externalLinks/externalLink47.xml"/><Relationship Id="rId73" Type="http://schemas.openxmlformats.org/officeDocument/2006/relationships/externalLink" Target="externalLinks/externalLink55.xml"/><Relationship Id="rId78" Type="http://schemas.openxmlformats.org/officeDocument/2006/relationships/externalLink" Target="externalLinks/externalLink60.xml"/><Relationship Id="rId81" Type="http://schemas.openxmlformats.org/officeDocument/2006/relationships/externalLink" Target="externalLinks/externalLink63.xml"/><Relationship Id="rId86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21.xml"/><Relationship Id="rId34" Type="http://schemas.openxmlformats.org/officeDocument/2006/relationships/externalLink" Target="externalLinks/externalLink16.xml"/><Relationship Id="rId50" Type="http://schemas.openxmlformats.org/officeDocument/2006/relationships/externalLink" Target="externalLinks/externalLink32.xml"/><Relationship Id="rId55" Type="http://schemas.openxmlformats.org/officeDocument/2006/relationships/externalLink" Target="externalLinks/externalLink37.xml"/><Relationship Id="rId76" Type="http://schemas.openxmlformats.org/officeDocument/2006/relationships/externalLink" Target="externalLinks/externalLink58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3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1.xml"/><Relationship Id="rId24" Type="http://schemas.openxmlformats.org/officeDocument/2006/relationships/externalLink" Target="externalLinks/externalLink6.xml"/><Relationship Id="rId40" Type="http://schemas.openxmlformats.org/officeDocument/2006/relationships/externalLink" Target="externalLinks/externalLink22.xml"/><Relationship Id="rId45" Type="http://schemas.openxmlformats.org/officeDocument/2006/relationships/externalLink" Target="externalLinks/externalLink27.xml"/><Relationship Id="rId66" Type="http://schemas.openxmlformats.org/officeDocument/2006/relationships/externalLink" Target="externalLinks/externalLink48.xml"/><Relationship Id="rId87" Type="http://schemas.openxmlformats.org/officeDocument/2006/relationships/sharedStrings" Target="sharedStrings.xml"/><Relationship Id="rId61" Type="http://schemas.openxmlformats.org/officeDocument/2006/relationships/externalLink" Target="externalLinks/externalLink43.xml"/><Relationship Id="rId82" Type="http://schemas.openxmlformats.org/officeDocument/2006/relationships/externalLink" Target="externalLinks/externalLink6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numFmt formatCode="_(&quot;$&quot;* #,##0.00_);_(&quot;$&quot;* \(#,##0.00\);_(&quot;$&quot;* &quot;-&quot;??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'CONSOLIDADO LABOR A LABOR'!$J$3:$J$7</c:f>
            </c:multiLvlStrRef>
          </c:cat>
          <c:val>
            <c:numRef>
              <c:f>'CONSOLIDADO LABOR A LABOR'!$K$3:$K$7</c:f>
            </c:numRef>
          </c:val>
          <c:extLst>
            <c:ext xmlns:c16="http://schemas.microsoft.com/office/drawing/2014/chart" uri="{C3380CC4-5D6E-409C-BE32-E72D297353CC}">
              <c16:uniqueId val="{00000000-E21A-4315-97D8-2DC0A23F236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90556319"/>
        <c:axId val="1163116096"/>
        <c:axId val="0"/>
      </c:bar3DChart>
      <c:catAx>
        <c:axId val="129055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3116096"/>
        <c:crosses val="autoZero"/>
        <c:auto val="1"/>
        <c:lblAlgn val="ctr"/>
        <c:lblOffset val="100"/>
        <c:noMultiLvlLbl val="0"/>
      </c:catAx>
      <c:valAx>
        <c:axId val="11631160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9055631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044385343672664E-2"/>
          <c:y val="5.6550853678501448E-2"/>
          <c:w val="0.89664159167604052"/>
          <c:h val="0.55188388336703809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'CONSOLIDADO LABOR A LABOR'!$I$23:$I$28</c:f>
              <c:strCache>
                <c:ptCount val="1"/>
                <c:pt idx="0">
                  <c:v>TURNO</c:v>
                </c:pt>
              </c:strCache>
            </c:strRef>
          </c:cat>
          <c:val>
            <c:numRef>
              <c:f>'CONSOLIDADO LABOR A LABOR'!$J$23:$J$28</c:f>
              <c:numCache>
                <c:formatCode>_-"$"\ * #,##0_-;\-"$"\ * #,##0_-;_-"$"\ * "-"??_-;_-@_-</c:formatCode>
                <c:ptCount val="1"/>
                <c:pt idx="0">
                  <c:v>11651700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C7-4A7C-8935-3B4025121E8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90543839"/>
        <c:axId val="1163151312"/>
      </c:lineChart>
      <c:catAx>
        <c:axId val="1290543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3151312"/>
        <c:crosses val="autoZero"/>
        <c:auto val="1"/>
        <c:lblAlgn val="ctr"/>
        <c:lblOffset val="100"/>
        <c:noMultiLvlLbl val="0"/>
      </c:catAx>
      <c:valAx>
        <c:axId val="1163151312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29054383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[30_04_26 Costos nomina Tonelada 2026.xlsx]CONSOLIDADO LABOR A LABOR!TablaDinámica7</c:name>
    <c:fmtId val="13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ofPieChart>
        <c:ofPieType val="pie"/>
        <c:varyColors val="1"/>
        <c:ser>
          <c:idx val="0"/>
          <c:order val="0"/>
          <c:tx>
            <c:strRef>
              <c:f>'CONSOLIDADO LABOR A LABOR'!$J$43</c:f>
              <c:strCache>
                <c:ptCount val="1"/>
                <c:pt idx="0">
                  <c:v>Total</c:v>
                </c:pt>
              </c:strCache>
            </c:strRef>
          </c:tx>
          <c:explosion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A45-4FEC-BDF5-99999B46BCC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A45-4FEC-BDF5-99999B46BCC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A45-4FEC-BDF5-99999B46BCC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A45-4FEC-BDF5-99999B46BCC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A45-4FEC-BDF5-99999B46BCC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A45-4FEC-BDF5-99999B46BCC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A45-4FEC-BDF5-99999B46BCCB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A45-4FEC-BDF5-99999B46BCCB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8A45-4FEC-BDF5-99999B46BCCB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8A45-4FEC-BDF5-99999B46BCCB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8A45-4FEC-BDF5-99999B46BCCB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8A45-4FEC-BDF5-99999B46BCCB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8A45-4FEC-BDF5-99999B46BCCB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8A45-4FEC-BDF5-99999B46BCCB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8A45-4FEC-BDF5-99999B46BCCB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8A45-4FEC-BDF5-99999B46BCCB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8A45-4FEC-BDF5-99999B46BCCB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8A45-4FEC-BDF5-99999B46BCCB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8A45-4FEC-BDF5-99999B46BCCB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8A45-4FEC-BDF5-99999B46BCCB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8A45-4FEC-BDF5-99999B46BCCB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DD54-468F-963D-6DA8E21FDC6A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DD54-468F-963D-6DA8E21FDC6A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DD54-468F-963D-6DA8E21FDC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'CONSOLIDADO LABOR A LABOR'!$I$44:$I$88</c:f>
              <c:multiLvlStrCache>
                <c:ptCount val="22"/>
                <c:lvl>
                  <c:pt idx="0">
                    <c:v>ene</c:v>
                  </c:pt>
                  <c:pt idx="1">
                    <c:v>ene</c:v>
                  </c:pt>
                  <c:pt idx="2">
                    <c:v>ene</c:v>
                  </c:pt>
                  <c:pt idx="3">
                    <c:v>ene</c:v>
                  </c:pt>
                  <c:pt idx="4">
                    <c:v>ene</c:v>
                  </c:pt>
                  <c:pt idx="5">
                    <c:v>ene</c:v>
                  </c:pt>
                  <c:pt idx="6">
                    <c:v>ene</c:v>
                  </c:pt>
                  <c:pt idx="7">
                    <c:v>ene</c:v>
                  </c:pt>
                  <c:pt idx="8">
                    <c:v>ene</c:v>
                  </c:pt>
                  <c:pt idx="9">
                    <c:v>ene</c:v>
                  </c:pt>
                  <c:pt idx="10">
                    <c:v>ene</c:v>
                  </c:pt>
                  <c:pt idx="11">
                    <c:v>ene</c:v>
                  </c:pt>
                  <c:pt idx="12">
                    <c:v>ene</c:v>
                  </c:pt>
                  <c:pt idx="13">
                    <c:v>ene</c:v>
                  </c:pt>
                  <c:pt idx="14">
                    <c:v>ene</c:v>
                  </c:pt>
                  <c:pt idx="15">
                    <c:v>ene</c:v>
                  </c:pt>
                  <c:pt idx="16">
                    <c:v>ene</c:v>
                  </c:pt>
                  <c:pt idx="17">
                    <c:v>ene</c:v>
                  </c:pt>
                  <c:pt idx="18">
                    <c:v>ene</c:v>
                  </c:pt>
                  <c:pt idx="19">
                    <c:v>ene</c:v>
                  </c:pt>
                  <c:pt idx="20">
                    <c:v>ene</c:v>
                  </c:pt>
                  <c:pt idx="21">
                    <c:v>ene</c:v>
                  </c:pt>
                </c:lvl>
                <c:lvl>
                  <c:pt idx="0">
                    <c:v>ALEMANA</c:v>
                  </c:pt>
                  <c:pt idx="1">
                    <c:v>ALIMENTACION</c:v>
                  </c:pt>
                  <c:pt idx="2">
                    <c:v>ARCOS DE ACERO</c:v>
                  </c:pt>
                  <c:pt idx="3">
                    <c:v>CANASTA</c:v>
                  </c:pt>
                  <c:pt idx="4">
                    <c:v>COCHES DE ROCA</c:v>
                  </c:pt>
                  <c:pt idx="5">
                    <c:v>GUAYERO</c:v>
                  </c:pt>
                  <c:pt idx="6">
                    <c:v>LIMPIEZA DE ESCALERAS</c:v>
                  </c:pt>
                  <c:pt idx="7">
                    <c:v>LIMPIEZA DE POZO</c:v>
                  </c:pt>
                  <c:pt idx="8">
                    <c:v>LIMPIEZA DE TRAMO</c:v>
                  </c:pt>
                  <c:pt idx="9">
                    <c:v>MALACATEROS</c:v>
                  </c:pt>
                  <c:pt idx="10">
                    <c:v>METRO DESPATE</c:v>
                  </c:pt>
                  <c:pt idx="11">
                    <c:v>PAJARITA</c:v>
                  </c:pt>
                  <c:pt idx="12">
                    <c:v>PATIEROS</c:v>
                  </c:pt>
                  <c:pt idx="13">
                    <c:v>PICADA</c:v>
                  </c:pt>
                  <c:pt idx="14">
                    <c:v>PLACA MALACATE INTER</c:v>
                  </c:pt>
                  <c:pt idx="15">
                    <c:v>PUERTA INCLIANDO</c:v>
                  </c:pt>
                  <c:pt idx="16">
                    <c:v>REFORCE</c:v>
                  </c:pt>
                  <c:pt idx="17">
                    <c:v>REUBICADO (EVARISTO)</c:v>
                  </c:pt>
                  <c:pt idx="18">
                    <c:v>SOLDADORES</c:v>
                  </c:pt>
                  <c:pt idx="19">
                    <c:v>TRAMO</c:v>
                  </c:pt>
                  <c:pt idx="20">
                    <c:v>TURNO</c:v>
                  </c:pt>
                  <c:pt idx="21">
                    <c:v>TURNO DICIEMBRE</c:v>
                  </c:pt>
                </c:lvl>
              </c:multiLvlStrCache>
            </c:multiLvlStrRef>
          </c:cat>
          <c:val>
            <c:numRef>
              <c:f>'CONSOLIDADO LABOR A LABOR'!$J$44:$J$88</c:f>
              <c:numCache>
                <c:formatCode>General</c:formatCode>
                <c:ptCount val="22"/>
                <c:pt idx="0">
                  <c:v>12749100</c:v>
                </c:pt>
                <c:pt idx="1">
                  <c:v>23256000</c:v>
                </c:pt>
                <c:pt idx="2">
                  <c:v>5507160</c:v>
                </c:pt>
                <c:pt idx="3">
                  <c:v>1741000</c:v>
                </c:pt>
                <c:pt idx="4">
                  <c:v>2036890</c:v>
                </c:pt>
                <c:pt idx="5">
                  <c:v>4133500</c:v>
                </c:pt>
                <c:pt idx="6">
                  <c:v>683305</c:v>
                </c:pt>
                <c:pt idx="7">
                  <c:v>600000</c:v>
                </c:pt>
                <c:pt idx="8">
                  <c:v>836800</c:v>
                </c:pt>
                <c:pt idx="9">
                  <c:v>5133595.5549999997</c:v>
                </c:pt>
                <c:pt idx="10">
                  <c:v>9621400</c:v>
                </c:pt>
                <c:pt idx="11">
                  <c:v>2639711.5625</c:v>
                </c:pt>
                <c:pt idx="12">
                  <c:v>2758295.92</c:v>
                </c:pt>
                <c:pt idx="13">
                  <c:v>53085371.5</c:v>
                </c:pt>
                <c:pt idx="14">
                  <c:v>150000</c:v>
                </c:pt>
                <c:pt idx="15">
                  <c:v>332000</c:v>
                </c:pt>
                <c:pt idx="16">
                  <c:v>5845070</c:v>
                </c:pt>
                <c:pt idx="17">
                  <c:v>1177320.125</c:v>
                </c:pt>
                <c:pt idx="18">
                  <c:v>5469200</c:v>
                </c:pt>
                <c:pt idx="19">
                  <c:v>4341900</c:v>
                </c:pt>
                <c:pt idx="20">
                  <c:v>5995000</c:v>
                </c:pt>
                <c:pt idx="21">
                  <c:v>360000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8A45-4FEC-BDF5-99999B46B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621835957449068"/>
          <c:y val="3.1869182088927951E-2"/>
          <c:w val="0.22877969332240103"/>
          <c:h val="0.881287215024161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TOP 3 COSTOS MANO DE OBRA MES AMES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'resumen trimestral'!$G$4:$G$27</c:f>
              <c:strCache>
                <c:ptCount val="24"/>
                <c:pt idx="0">
                  <c:v> PICADA </c:v>
                </c:pt>
                <c:pt idx="1">
                  <c:v> BONO ALIMENTACION </c:v>
                </c:pt>
                <c:pt idx="2">
                  <c:v> SOSTENIMIENTO </c:v>
                </c:pt>
                <c:pt idx="3">
                  <c:v> PICADA </c:v>
                </c:pt>
                <c:pt idx="4">
                  <c:v> BONO ALIMENTACION </c:v>
                </c:pt>
                <c:pt idx="5">
                  <c:v> MOVIMIENTO DE ROCA </c:v>
                </c:pt>
                <c:pt idx="6">
                  <c:v> PICADA </c:v>
                </c:pt>
                <c:pt idx="7">
                  <c:v> BONO ALIMENTACION </c:v>
                </c:pt>
                <c:pt idx="8">
                  <c:v> SOSTENIMIENTO </c:v>
                </c:pt>
                <c:pt idx="9">
                  <c:v> PICADA </c:v>
                </c:pt>
                <c:pt idx="10">
                  <c:v> BONO ALIMENTACION </c:v>
                </c:pt>
                <c:pt idx="11">
                  <c:v>PERSONAL DE APOYO</c:v>
                </c:pt>
                <c:pt idx="12">
                  <c:v> PICADA </c:v>
                </c:pt>
                <c:pt idx="13">
                  <c:v> BONO ALIMENTACION </c:v>
                </c:pt>
                <c:pt idx="14">
                  <c:v> PERSONAL DE APOYO </c:v>
                </c:pt>
                <c:pt idx="15">
                  <c:v> PICADA </c:v>
                </c:pt>
                <c:pt idx="16">
                  <c:v> BONO ALIMENTACION </c:v>
                </c:pt>
                <c:pt idx="17">
                  <c:v> PERSONAL DE APOYO </c:v>
                </c:pt>
                <c:pt idx="18">
                  <c:v> PICADA </c:v>
                </c:pt>
                <c:pt idx="19">
                  <c:v> BONO ALIMENTACION </c:v>
                </c:pt>
                <c:pt idx="20">
                  <c:v> MOVIEMIENTO DE ROCA </c:v>
                </c:pt>
                <c:pt idx="21">
                  <c:v> PICADA </c:v>
                </c:pt>
                <c:pt idx="22">
                  <c:v> BONO ALIMENTACION </c:v>
                </c:pt>
                <c:pt idx="23">
                  <c:v> PERSONAL DE APOYO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invertIfNegative val="0"/>
          <c:cat>
            <c:strRef>
              <c:f>'resumen trimestral'!$E$4:$E$30</c:f>
              <c:strCache>
                <c:ptCount val="25"/>
                <c:pt idx="0">
                  <c:v>ENERO</c:v>
                </c:pt>
                <c:pt idx="3">
                  <c:v>FEBRERO</c:v>
                </c:pt>
                <c:pt idx="6">
                  <c:v>MARZO</c:v>
                </c:pt>
                <c:pt idx="9">
                  <c:v>MAYO</c:v>
                </c:pt>
                <c:pt idx="12">
                  <c:v>JUNIO</c:v>
                </c:pt>
                <c:pt idx="15">
                  <c:v>JULIO</c:v>
                </c:pt>
                <c:pt idx="18">
                  <c:v>AGOSTO</c:v>
                </c:pt>
                <c:pt idx="21">
                  <c:v>SEPTIEMBRE</c:v>
                </c:pt>
                <c:pt idx="24">
                  <c:v>OCTUBRE</c:v>
                </c:pt>
              </c:strCache>
            </c:strRef>
          </c:cat>
          <c:val>
            <c:numRef>
              <c:f>'resumen trimestral'!$F$4:$F$30</c:f>
              <c:numCache>
                <c:formatCode>0.00</c:formatCode>
                <c:ptCount val="27"/>
                <c:pt idx="0">
                  <c:v>36.65</c:v>
                </c:pt>
                <c:pt idx="1">
                  <c:v>8.0483969457919233</c:v>
                </c:pt>
                <c:pt idx="2">
                  <c:v>6.4108268666838084</c:v>
                </c:pt>
                <c:pt idx="3">
                  <c:v>46.035395229224989</c:v>
                </c:pt>
                <c:pt idx="4">
                  <c:v>16.47391433513134</c:v>
                </c:pt>
                <c:pt idx="5">
                  <c:v>9.987738651260937</c:v>
                </c:pt>
                <c:pt idx="6">
                  <c:v>44.297287569746061</c:v>
                </c:pt>
                <c:pt idx="7">
                  <c:v>16.20945292087438</c:v>
                </c:pt>
                <c:pt idx="8">
                  <c:v>10.7355146456604</c:v>
                </c:pt>
                <c:pt idx="9">
                  <c:v>48.501536571885175</c:v>
                </c:pt>
                <c:pt idx="10">
                  <c:v>11.907314458283691</c:v>
                </c:pt>
                <c:pt idx="11">
                  <c:v>10.161380573857024</c:v>
                </c:pt>
                <c:pt idx="12">
                  <c:v>51.241717620334818</c:v>
                </c:pt>
                <c:pt idx="13">
                  <c:v>12.222267844894759</c:v>
                </c:pt>
                <c:pt idx="14">
                  <c:v>7.7</c:v>
                </c:pt>
                <c:pt idx="15">
                  <c:v>47.963940918386406</c:v>
                </c:pt>
                <c:pt idx="16">
                  <c:v>12.599434579410966</c:v>
                </c:pt>
                <c:pt idx="17">
                  <c:v>7.5247089011075481</c:v>
                </c:pt>
                <c:pt idx="18">
                  <c:v>51.885364508225798</c:v>
                </c:pt>
                <c:pt idx="19">
                  <c:v>14.012362802292156</c:v>
                </c:pt>
                <c:pt idx="20">
                  <c:v>6.7886316123639174</c:v>
                </c:pt>
                <c:pt idx="21">
                  <c:v>45.89143806505885</c:v>
                </c:pt>
                <c:pt idx="22">
                  <c:v>16.841179802069068</c:v>
                </c:pt>
                <c:pt idx="23">
                  <c:v>9.9049592886152489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7D-4454-82D3-40ADC5D84934}"/>
            </c:ext>
          </c:extLst>
        </c:ser>
        <c:ser>
          <c:idx val="1"/>
          <c:order val="1"/>
          <c:tx>
            <c:strRef>
              <c:f>'resumen trimestral'!$G$2:$G$3</c:f>
              <c:strCache>
                <c:ptCount val="2"/>
                <c:pt idx="0">
                  <c:v> TOP 3 cotos generales 2024</c:v>
                </c:pt>
                <c:pt idx="1">
                  <c:v>ACTIVIDAD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invertIfNegative val="0"/>
          <c:cat>
            <c:strRef>
              <c:f>'resumen trimestral'!$E$4:$E$30</c:f>
              <c:strCache>
                <c:ptCount val="25"/>
                <c:pt idx="0">
                  <c:v>ENERO</c:v>
                </c:pt>
                <c:pt idx="3">
                  <c:v>FEBRERO</c:v>
                </c:pt>
                <c:pt idx="6">
                  <c:v>MARZO</c:v>
                </c:pt>
                <c:pt idx="9">
                  <c:v>MAYO</c:v>
                </c:pt>
                <c:pt idx="12">
                  <c:v>JUNIO</c:v>
                </c:pt>
                <c:pt idx="15">
                  <c:v>JULIO</c:v>
                </c:pt>
                <c:pt idx="18">
                  <c:v>AGOSTO</c:v>
                </c:pt>
                <c:pt idx="21">
                  <c:v>SEPTIEMBRE</c:v>
                </c:pt>
                <c:pt idx="24">
                  <c:v>OCTUBRE</c:v>
                </c:pt>
              </c:strCache>
            </c:strRef>
          </c:cat>
          <c:val>
            <c:numRef>
              <c:f>'resumen trimestral'!$G$4:$G$30</c:f>
              <c:numCache>
                <c:formatCode>_-"$"\ * #,##0_-;\-"$"\ * #,##0_-;_-"$"\ * "-"??_-;_-@_-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General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7D-4454-82D3-40ADC5D84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04027664"/>
        <c:axId val="1104010384"/>
        <c:axId val="0"/>
      </c:bar3DChart>
      <c:catAx>
        <c:axId val="110402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04010384"/>
        <c:crosses val="autoZero"/>
        <c:auto val="1"/>
        <c:lblAlgn val="ctr"/>
        <c:lblOffset val="100"/>
        <c:noMultiLvlLbl val="0"/>
      </c:catAx>
      <c:valAx>
        <c:axId val="110401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0402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 ACUMULADA'!$B$4</c:f>
              <c:strCache>
                <c:ptCount val="1"/>
                <c:pt idx="0">
                  <c:v>PRODUCCION 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 ACUMULADA'!$A$5:$A$16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'PRODUC ACUMULADA'!$B$5:$B$16</c:f>
              <c:numCache>
                <c:formatCode>0.00</c:formatCode>
                <c:ptCount val="12"/>
                <c:pt idx="0">
                  <c:v>1698.66</c:v>
                </c:pt>
                <c:pt idx="1">
                  <c:v>1830.15</c:v>
                </c:pt>
                <c:pt idx="2">
                  <c:v>1898.77</c:v>
                </c:pt>
                <c:pt idx="3">
                  <c:v>1800.91</c:v>
                </c:pt>
                <c:pt idx="4">
                  <c:v>1964.1099999999997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8E-4322-BE0F-F95E0FAEE69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-908330432"/>
        <c:axId val="-908335872"/>
      </c:barChart>
      <c:catAx>
        <c:axId val="-9083304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908335872"/>
        <c:crosses val="autoZero"/>
        <c:auto val="1"/>
        <c:lblAlgn val="ctr"/>
        <c:lblOffset val="100"/>
        <c:noMultiLvlLbl val="0"/>
      </c:catAx>
      <c:valAx>
        <c:axId val="-9083358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90833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200" baseline="0">
                <a:solidFill>
                  <a:schemeClr val="tx1"/>
                </a:solidFill>
              </a:rPr>
              <a:t>PORCENTAJE DE COSTOS  ENERO 2025 </a:t>
            </a:r>
          </a:p>
        </c:rich>
      </c:tx>
      <c:layout>
        <c:manualLayout>
          <c:xMode val="edge"/>
          <c:yMode val="edge"/>
          <c:x val="0.1978699951662668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31334054617218648"/>
          <c:y val="0.14349739895958383"/>
          <c:w val="0.66209878885621221"/>
          <c:h val="0.81955698334318383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'RESUMEN 2026'!$B$2:$B$16</c:f>
              <c:strCache>
                <c:ptCount val="11"/>
                <c:pt idx="0">
                  <c:v> PICADA </c:v>
                </c:pt>
                <c:pt idx="1">
                  <c:v> BONO ALIMENTACION </c:v>
                </c:pt>
                <c:pt idx="2">
                  <c:v> PERSONAL DE APOYO </c:v>
                </c:pt>
                <c:pt idx="3">
                  <c:v> MOVIEMIENTO ROCA </c:v>
                </c:pt>
                <c:pt idx="4">
                  <c:v> MALACATEROS </c:v>
                </c:pt>
                <c:pt idx="5">
                  <c:v> MOVIMIENTO DE ROCA </c:v>
                </c:pt>
                <c:pt idx="6">
                  <c:v> SOSTENIMIENTO </c:v>
                </c:pt>
                <c:pt idx="7">
                  <c:v> TURNOS </c:v>
                </c:pt>
                <c:pt idx="8">
                  <c:v> BONIFICACION </c:v>
                </c:pt>
                <c:pt idx="9">
                  <c:v> LIMPIEZA DE ESCALERAS </c:v>
                </c:pt>
                <c:pt idx="10">
                  <c:v> LIMPIEZA DE POZO </c:v>
                </c:pt>
              </c:strCache>
            </c:strRef>
          </c:cat>
          <c:val>
            <c:numRef>
              <c:f>'RESUMEN 2026'!$D$2:$D$16</c:f>
              <c:numCache>
                <c:formatCode>0.00</c:formatCode>
                <c:ptCount val="15"/>
                <c:pt idx="0">
                  <c:v>45.834563051884501</c:v>
                </c:pt>
                <c:pt idx="1">
                  <c:v>24.880072117060426</c:v>
                </c:pt>
                <c:pt idx="2">
                  <c:v>7.5066342055746986</c:v>
                </c:pt>
                <c:pt idx="3">
                  <c:v>4.8229790794203682</c:v>
                </c:pt>
                <c:pt idx="4">
                  <c:v>3.9639109723046015</c:v>
                </c:pt>
                <c:pt idx="5">
                  <c:v>3.7129590112745472</c:v>
                </c:pt>
                <c:pt idx="6">
                  <c:v>3.6811847206592971</c:v>
                </c:pt>
                <c:pt idx="7">
                  <c:v>2.7955757784181356</c:v>
                </c:pt>
                <c:pt idx="8">
                  <c:v>2.7165157983706392</c:v>
                </c:pt>
                <c:pt idx="9">
                  <c:v>8.5605265032787162E-2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A2-45CA-B86F-A74F0381B0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35504544"/>
        <c:axId val="235501664"/>
      </c:barChart>
      <c:catAx>
        <c:axId val="23550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35501664"/>
        <c:crosses val="autoZero"/>
        <c:auto val="1"/>
        <c:lblAlgn val="ctr"/>
        <c:lblOffset val="100"/>
        <c:noMultiLvlLbl val="0"/>
      </c:catAx>
      <c:valAx>
        <c:axId val="235501664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23550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200" baseline="0">
                <a:solidFill>
                  <a:schemeClr val="tx1"/>
                </a:solidFill>
              </a:rPr>
              <a:t>PORCENTAJE- COSTOS  FEBRERO 2025</a:t>
            </a:r>
          </a:p>
        </c:rich>
      </c:tx>
      <c:layout>
        <c:manualLayout>
          <c:xMode val="edge"/>
          <c:yMode val="edge"/>
          <c:x val="0.19325287131661734"/>
          <c:y val="4.084967320261438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31334054617218648"/>
          <c:y val="0.14349739895958383"/>
          <c:w val="0.66209878885621221"/>
          <c:h val="0.81955698334318383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'RESUMEN 2026'!$G$2:$G$17</c:f>
              <c:strCache>
                <c:ptCount val="11"/>
                <c:pt idx="0">
                  <c:v> PICADA </c:v>
                </c:pt>
                <c:pt idx="1">
                  <c:v> BONO ALIMENTACION </c:v>
                </c:pt>
                <c:pt idx="2">
                  <c:v> PERSONAL DE APOYO </c:v>
                </c:pt>
                <c:pt idx="3">
                  <c:v> MALACATEROS </c:v>
                </c:pt>
                <c:pt idx="4">
                  <c:v> COCHES GUAYADOS </c:v>
                </c:pt>
                <c:pt idx="5">
                  <c:v> BONIFICACION </c:v>
                </c:pt>
                <c:pt idx="6">
                  <c:v> MOVIMIENTO DE ROCA </c:v>
                </c:pt>
                <c:pt idx="7">
                  <c:v> TURNOS </c:v>
                </c:pt>
                <c:pt idx="8">
                  <c:v> SOSTENIMIENTO </c:v>
                </c:pt>
                <c:pt idx="9">
                  <c:v> INSTALADA DE TRAMO RIEL  </c:v>
                </c:pt>
                <c:pt idx="10">
                  <c:v> LIMPIEZA DE ESCALERAS </c:v>
                </c:pt>
              </c:strCache>
            </c:strRef>
          </c:cat>
          <c:val>
            <c:numRef>
              <c:f>'RESUMEN 2026'!$I$2:$I$17</c:f>
              <c:numCache>
                <c:formatCode>0.00</c:formatCode>
                <c:ptCount val="16"/>
                <c:pt idx="0">
                  <c:v>49.04646043645301</c:v>
                </c:pt>
                <c:pt idx="1">
                  <c:v>19.12732654066658</c:v>
                </c:pt>
                <c:pt idx="2">
                  <c:v>9.9766990440113119</c:v>
                </c:pt>
                <c:pt idx="3">
                  <c:v>4.7649663840371268</c:v>
                </c:pt>
                <c:pt idx="4">
                  <c:v>4.4271284214987103</c:v>
                </c:pt>
                <c:pt idx="5">
                  <c:v>3.5883182118147658</c:v>
                </c:pt>
                <c:pt idx="6">
                  <c:v>3.0791257697131362</c:v>
                </c:pt>
                <c:pt idx="7">
                  <c:v>2.5208432227474771</c:v>
                </c:pt>
                <c:pt idx="8">
                  <c:v>2.3631302666560696</c:v>
                </c:pt>
                <c:pt idx="9">
                  <c:v>0.94203657808083929</c:v>
                </c:pt>
                <c:pt idx="10">
                  <c:v>0.16396512432097704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79-4025-B9DC-212736A1A2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35504544"/>
        <c:axId val="235501664"/>
      </c:barChart>
      <c:catAx>
        <c:axId val="23550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35501664"/>
        <c:crosses val="autoZero"/>
        <c:auto val="1"/>
        <c:lblAlgn val="ctr"/>
        <c:lblOffset val="100"/>
        <c:noMultiLvlLbl val="0"/>
      </c:catAx>
      <c:valAx>
        <c:axId val="235501664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23550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200" baseline="0">
                <a:solidFill>
                  <a:schemeClr val="tx1"/>
                </a:solidFill>
              </a:rPr>
              <a:t>PORCENTAJE- COSTOS  MARZO 2025 </a:t>
            </a:r>
          </a:p>
        </c:rich>
      </c:tx>
      <c:layout>
        <c:manualLayout>
          <c:xMode val="edge"/>
          <c:yMode val="edge"/>
          <c:x val="0.19325287131661734"/>
          <c:y val="4.084967320261438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33588372809240263"/>
          <c:y val="0.16686198395761279"/>
          <c:w val="0.66209878885621221"/>
          <c:h val="0.81955698334318383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5.6306306306305271E-3"/>
                  <c:y val="-2.831715210355987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56D-4475-A07B-F91C34C548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'RESUMEN 2026'!$L$2:$L$16</c:f>
              <c:strCache>
                <c:ptCount val="15"/>
                <c:pt idx="0">
                  <c:v>PICADA</c:v>
                </c:pt>
                <c:pt idx="1">
                  <c:v>ALEMANA</c:v>
                </c:pt>
                <c:pt idx="2">
                  <c:v>ALIMENTACION</c:v>
                </c:pt>
                <c:pt idx="3">
                  <c:v>REFORCE</c:v>
                </c:pt>
                <c:pt idx="4">
                  <c:v>ventana</c:v>
                </c:pt>
                <c:pt idx="5">
                  <c:v>puerta de inclinado</c:v>
                </c:pt>
                <c:pt idx="6">
                  <c:v>TRAMO</c:v>
                </c:pt>
                <c:pt idx="7">
                  <c:v>TURNO</c:v>
                </c:pt>
                <c:pt idx="8">
                  <c:v>METRO DE roca</c:v>
                </c:pt>
                <c:pt idx="9">
                  <c:v>TOLVEROS</c:v>
                </c:pt>
                <c:pt idx="10">
                  <c:v>coches guayados</c:v>
                </c:pt>
                <c:pt idx="11">
                  <c:v>DOMINICALES</c:v>
                </c:pt>
                <c:pt idx="12">
                  <c:v>MALACATEROS</c:v>
                </c:pt>
                <c:pt idx="13">
                  <c:v>PATIEROS</c:v>
                </c:pt>
                <c:pt idx="14">
                  <c:v>SOLDADORES</c:v>
                </c:pt>
              </c:strCache>
            </c:strRef>
          </c:cat>
          <c:val>
            <c:numRef>
              <c:f>'RESUMEN 2026'!$N$2:$N$16</c:f>
              <c:numCache>
                <c:formatCode>0.00</c:formatCode>
                <c:ptCount val="15"/>
                <c:pt idx="0">
                  <c:v>40.340043755694275</c:v>
                </c:pt>
                <c:pt idx="1">
                  <c:v>4.7543567018645412</c:v>
                </c:pt>
                <c:pt idx="2">
                  <c:v>14.423821639334372</c:v>
                </c:pt>
                <c:pt idx="3">
                  <c:v>2.1881649384515205</c:v>
                </c:pt>
                <c:pt idx="4">
                  <c:v>2.9573883765221516</c:v>
                </c:pt>
                <c:pt idx="5">
                  <c:v>0.21380573694811281</c:v>
                </c:pt>
                <c:pt idx="6">
                  <c:v>1.5405640973653629</c:v>
                </c:pt>
                <c:pt idx="7">
                  <c:v>3.2235869370952419</c:v>
                </c:pt>
                <c:pt idx="8">
                  <c:v>4.0597548938707835</c:v>
                </c:pt>
                <c:pt idx="9">
                  <c:v>3.1402672245227836</c:v>
                </c:pt>
                <c:pt idx="10">
                  <c:v>5.3303564818202096</c:v>
                </c:pt>
                <c:pt idx="11">
                  <c:v>8.9440014374996188</c:v>
                </c:pt>
                <c:pt idx="12">
                  <c:v>2.7049483932371081</c:v>
                </c:pt>
                <c:pt idx="13">
                  <c:v>2.4472839145314502</c:v>
                </c:pt>
                <c:pt idx="14">
                  <c:v>1.9303680494026407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6D-4475-A07B-F91C34C548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35504544"/>
        <c:axId val="235501664"/>
      </c:barChart>
      <c:catAx>
        <c:axId val="23550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35501664"/>
        <c:crosses val="autoZero"/>
        <c:auto val="1"/>
        <c:lblAlgn val="ctr"/>
        <c:lblOffset val="100"/>
        <c:noMultiLvlLbl val="0"/>
      </c:catAx>
      <c:valAx>
        <c:axId val="235501664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23550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baseline="0">
                <a:solidFill>
                  <a:schemeClr val="tx1"/>
                </a:solidFill>
              </a:rPr>
              <a:t>COSTO TONELADA VS PRODUCCIÓN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'RESUMEN 2026'!$C$59</c:f>
              <c:strCache>
                <c:ptCount val="1"/>
                <c:pt idx="0">
                  <c:v>TONELADAS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'RESUMEN 2026'!$A$60:$A$72</c:f>
              <c:strCache>
                <c:ptCount val="1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2">
                  <c:v>PROMEDIO</c:v>
                </c:pt>
              </c:strCache>
            </c:strRef>
          </c:cat>
          <c:val>
            <c:numRef>
              <c:f>'RESUMEN 2026'!$C$60:$C$72</c:f>
              <c:numCache>
                <c:formatCode>0.00</c:formatCode>
                <c:ptCount val="13"/>
                <c:pt idx="0">
                  <c:v>1707</c:v>
                </c:pt>
                <c:pt idx="1">
                  <c:v>1994</c:v>
                </c:pt>
                <c:pt idx="2">
                  <c:v>1929</c:v>
                </c:pt>
                <c:pt idx="3">
                  <c:v>1841</c:v>
                </c:pt>
                <c:pt idx="4">
                  <c:v>2466</c:v>
                </c:pt>
                <c:pt idx="5">
                  <c:v>2030</c:v>
                </c:pt>
                <c:pt idx="6">
                  <c:v>2001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E2-4170-B047-E97C77BAB71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16666816"/>
        <c:axId val="1816654816"/>
      </c:barChart>
      <c:lineChart>
        <c:grouping val="stacked"/>
        <c:varyColors val="0"/>
        <c:ser>
          <c:idx val="0"/>
          <c:order val="0"/>
          <c:tx>
            <c:strRef>
              <c:f>'RESUMEN 2026'!$B$59</c:f>
              <c:strCache>
                <c:ptCount val="1"/>
                <c:pt idx="0">
                  <c:v> $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716563619820407E-3"/>
                  <c:y val="-2.71332026603358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3E-428C-BF5F-697665FDBBD1}"/>
                </c:ext>
              </c:extLst>
            </c:dLbl>
            <c:dLbl>
              <c:idx val="2"/>
              <c:layout>
                <c:manualLayout>
                  <c:x val="-2.6980054960440212E-17"/>
                  <c:y val="-3.01480029559286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3E-428C-BF5F-697665FDBBD1}"/>
                </c:ext>
              </c:extLst>
            </c:dLbl>
            <c:dLbl>
              <c:idx val="3"/>
              <c:layout>
                <c:manualLayout>
                  <c:x val="0"/>
                  <c:y val="-2.71332026603357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3E-428C-BF5F-697665FDBBD1}"/>
                </c:ext>
              </c:extLst>
            </c:dLbl>
            <c:dLbl>
              <c:idx val="4"/>
              <c:layout>
                <c:manualLayout>
                  <c:x val="-2.9433127239641352E-3"/>
                  <c:y val="-3.01480029559286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3E-428C-BF5F-697665FDBBD1}"/>
                </c:ext>
              </c:extLst>
            </c:dLbl>
            <c:dLbl>
              <c:idx val="5"/>
              <c:layout>
                <c:manualLayout>
                  <c:x val="-5.3960109920880423E-17"/>
                  <c:y val="-2.71332026603358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3E-428C-BF5F-697665FDBB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'RESUMEN 2026'!$A$60:$A$72</c:f>
              <c:strCache>
                <c:ptCount val="1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2">
                  <c:v>PROMEDIO</c:v>
                </c:pt>
              </c:strCache>
            </c:strRef>
          </c:cat>
          <c:val>
            <c:numRef>
              <c:f>'RESUMEN 2026'!$B$60:$B$72</c:f>
              <c:numCache>
                <c:formatCode>_("$"* #,##0.00_);_("$"* \(#,##0.00\);_("$"* "-"??_);_(@_)</c:formatCode>
                <c:ptCount val="13"/>
                <c:pt idx="0">
                  <c:v>802.9320152314001</c:v>
                </c:pt>
                <c:pt idx="1">
                  <c:v>672.82576301822132</c:v>
                </c:pt>
                <c:pt idx="2">
                  <c:v>771.28003083579574</c:v>
                </c:pt>
                <c:pt idx="3">
                  <c:v>0</c:v>
                </c:pt>
                <c:pt idx="4">
                  <c:v>9.5453649635036495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 formatCode="_-&quot;$&quot;\ * #,##0_-;\-&quot;$&quot;\ * #,##0_-;_-&quot;$&quot;\ * &quot;-&quot;??_-;_-@_-">
                  <c:v>322.36902486413157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E2-4170-B047-E97C77BAB71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16666816"/>
        <c:axId val="1816654816"/>
      </c:lineChart>
      <c:catAx>
        <c:axId val="181666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6654816"/>
        <c:crosses val="autoZero"/>
        <c:auto val="1"/>
        <c:lblAlgn val="ctr"/>
        <c:lblOffset val="100"/>
        <c:noMultiLvlLbl val="0"/>
      </c:catAx>
      <c:valAx>
        <c:axId val="1816654816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81666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baseline="0">
                <a:solidFill>
                  <a:schemeClr val="tx1"/>
                </a:solidFill>
              </a:rPr>
              <a:t>COSTO MO /ADMON/ PRODUCCION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'RESUMEN 2026'!$G$80</c:f>
              <c:strCache>
                <c:ptCount val="1"/>
                <c:pt idx="0">
                  <c:v>TONELADAS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'RESUMEN 2026'!$G$81:$G$83</c:f>
              <c:numCache>
                <c:formatCode>0.00</c:formatCode>
                <c:ptCount val="3"/>
                <c:pt idx="0">
                  <c:v>1707</c:v>
                </c:pt>
                <c:pt idx="1">
                  <c:v>1994</c:v>
                </c:pt>
                <c:pt idx="2">
                  <c:v>1929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2B-41FD-8FFB-3E32EA771D7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581616272"/>
        <c:axId val="581619152"/>
      </c:barChart>
      <c:lineChart>
        <c:grouping val="standard"/>
        <c:varyColors val="0"/>
        <c:ser>
          <c:idx val="0"/>
          <c:order val="0"/>
          <c:tx>
            <c:strRef>
              <c:f>'RESUMEN 2026'!$F$80</c:f>
              <c:strCache>
                <c:ptCount val="1"/>
                <c:pt idx="0">
                  <c:v>CM.O ADMON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'RESUMEN 2026'!$F$81:$F$83</c:f>
              <c:numCache>
                <c:formatCode>0.0</c:formatCode>
                <c:ptCount val="3"/>
                <c:pt idx="0">
                  <c:v>319.41896472809282</c:v>
                </c:pt>
                <c:pt idx="1">
                  <c:v>279.85738769183604</c:v>
                </c:pt>
                <c:pt idx="2">
                  <c:v>264.33632452047692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2B-41FD-8FFB-3E32EA771D7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81616272"/>
        <c:axId val="581619152"/>
      </c:lineChart>
      <c:catAx>
        <c:axId val="581616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81619152"/>
        <c:crosses val="autoZero"/>
        <c:auto val="1"/>
        <c:lblAlgn val="ctr"/>
        <c:lblOffset val="100"/>
        <c:noMultiLvlLbl val="0"/>
      </c:catAx>
      <c:valAx>
        <c:axId val="5816191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58161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200" baseline="0">
                <a:solidFill>
                  <a:schemeClr val="tx1"/>
                </a:solidFill>
              </a:rPr>
              <a:t>PORCENTAJE- COSTOS  ABRIL 2025 </a:t>
            </a:r>
          </a:p>
        </c:rich>
      </c:tx>
      <c:layout>
        <c:manualLayout>
          <c:xMode val="edge"/>
          <c:yMode val="edge"/>
          <c:x val="0.19325287131661734"/>
          <c:y val="4.084967320261438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31334054617218648"/>
          <c:y val="0.14349739895958383"/>
          <c:w val="0.66209878885621221"/>
          <c:h val="0.81955698334318383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'RESUMEN 2026'!$L$2:$L$16</c:f>
              <c:strCache>
                <c:ptCount val="15"/>
                <c:pt idx="0">
                  <c:v>PICADA</c:v>
                </c:pt>
                <c:pt idx="1">
                  <c:v>ALEMANA</c:v>
                </c:pt>
                <c:pt idx="2">
                  <c:v>ALIMENTACION</c:v>
                </c:pt>
                <c:pt idx="3">
                  <c:v>REFORCE</c:v>
                </c:pt>
                <c:pt idx="4">
                  <c:v>ventana</c:v>
                </c:pt>
                <c:pt idx="5">
                  <c:v>puerta de inclinado</c:v>
                </c:pt>
                <c:pt idx="6">
                  <c:v>TRAMO</c:v>
                </c:pt>
                <c:pt idx="7">
                  <c:v>TURNO</c:v>
                </c:pt>
                <c:pt idx="8">
                  <c:v>METRO DE roca</c:v>
                </c:pt>
                <c:pt idx="9">
                  <c:v>TOLVEROS</c:v>
                </c:pt>
                <c:pt idx="10">
                  <c:v>coches guayados</c:v>
                </c:pt>
                <c:pt idx="11">
                  <c:v>DOMINICALES</c:v>
                </c:pt>
                <c:pt idx="12">
                  <c:v>MALACATEROS</c:v>
                </c:pt>
                <c:pt idx="13">
                  <c:v>PATIEROS</c:v>
                </c:pt>
                <c:pt idx="14">
                  <c:v>SOLDADORES</c:v>
                </c:pt>
              </c:strCache>
            </c:strRef>
          </c:cat>
          <c:val>
            <c:numRef>
              <c:f>'RESUMEN 2026'!$T$2:$T$16</c:f>
              <c:numCache>
                <c:formatCode>0.00</c:formatCode>
                <c:ptCount val="15"/>
                <c:pt idx="0">
                  <c:v>38.061669023430646</c:v>
                </c:pt>
                <c:pt idx="1">
                  <c:v>5.281634097639671</c:v>
                </c:pt>
                <c:pt idx="2">
                  <c:v>19.86235508123055</c:v>
                </c:pt>
                <c:pt idx="3">
                  <c:v>0.73112301479398101</c:v>
                </c:pt>
                <c:pt idx="4">
                  <c:v>2.9756337200345397</c:v>
                </c:pt>
                <c:pt idx="5">
                  <c:v>0.486238169416633</c:v>
                </c:pt>
                <c:pt idx="6">
                  <c:v>1.1439513193592123</c:v>
                </c:pt>
                <c:pt idx="7">
                  <c:v>3.7547104455962863</c:v>
                </c:pt>
                <c:pt idx="8">
                  <c:v>3.0572511020697726</c:v>
                </c:pt>
                <c:pt idx="9">
                  <c:v>1.6794260900682059</c:v>
                </c:pt>
                <c:pt idx="10">
                  <c:v>4.8159487284251314</c:v>
                </c:pt>
                <c:pt idx="11">
                  <c:v>8.2620935761841334</c:v>
                </c:pt>
                <c:pt idx="12">
                  <c:v>3.6645090142641865</c:v>
                </c:pt>
                <c:pt idx="13">
                  <c:v>2.4404846340711672</c:v>
                </c:pt>
                <c:pt idx="14">
                  <c:v>1.8782461635031205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B0-4AD8-894F-AC6E890FD7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35504544"/>
        <c:axId val="235501664"/>
      </c:barChart>
      <c:catAx>
        <c:axId val="23550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35501664"/>
        <c:crosses val="autoZero"/>
        <c:auto val="1"/>
        <c:lblAlgn val="ctr"/>
        <c:lblOffset val="100"/>
        <c:noMultiLvlLbl val="0"/>
      </c:catAx>
      <c:valAx>
        <c:axId val="235501664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23550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200" baseline="0">
                <a:solidFill>
                  <a:schemeClr val="tx1"/>
                </a:solidFill>
              </a:rPr>
              <a:t>PORCENTAJE- COSTOS  MAYO 2025 </a:t>
            </a:r>
          </a:p>
        </c:rich>
      </c:tx>
      <c:layout>
        <c:manualLayout>
          <c:xMode val="edge"/>
          <c:yMode val="edge"/>
          <c:x val="0.19325287131661734"/>
          <c:y val="4.084967320261438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31334054617218648"/>
          <c:y val="0.14349739895958383"/>
          <c:w val="0.66209878885621221"/>
          <c:h val="0.81955698334318383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'RESUMEN 2026'!$L$2:$L$16</c:f>
              <c:strCache>
                <c:ptCount val="15"/>
                <c:pt idx="0">
                  <c:v>PICADA</c:v>
                </c:pt>
                <c:pt idx="1">
                  <c:v>ALEMANA</c:v>
                </c:pt>
                <c:pt idx="2">
                  <c:v>ALIMENTACION</c:v>
                </c:pt>
                <c:pt idx="3">
                  <c:v>REFORCE</c:v>
                </c:pt>
                <c:pt idx="4">
                  <c:v>ventana</c:v>
                </c:pt>
                <c:pt idx="5">
                  <c:v>puerta de inclinado</c:v>
                </c:pt>
                <c:pt idx="6">
                  <c:v>TRAMO</c:v>
                </c:pt>
                <c:pt idx="7">
                  <c:v>TURNO</c:v>
                </c:pt>
                <c:pt idx="8">
                  <c:v>METRO DE roca</c:v>
                </c:pt>
                <c:pt idx="9">
                  <c:v>TOLVEROS</c:v>
                </c:pt>
                <c:pt idx="10">
                  <c:v>coches guayados</c:v>
                </c:pt>
                <c:pt idx="11">
                  <c:v>DOMINICALES</c:v>
                </c:pt>
                <c:pt idx="12">
                  <c:v>MALACATEROS</c:v>
                </c:pt>
                <c:pt idx="13">
                  <c:v>PATIEROS</c:v>
                </c:pt>
                <c:pt idx="14">
                  <c:v>SOLDADORES</c:v>
                </c:pt>
              </c:strCache>
            </c:strRef>
          </c:cat>
          <c:val>
            <c:numRef>
              <c:f>'RESUMEN 2026'!$Z$2:$Z$16</c:f>
              <c:numCache>
                <c:formatCode>0.00</c:formatCode>
                <c:ptCount val="15"/>
                <c:pt idx="0">
                  <c:v>68.388283396269287</c:v>
                </c:pt>
                <c:pt idx="1">
                  <c:v>11.138196120169614</c:v>
                </c:pt>
                <c:pt idx="2">
                  <c:v>0.64246748898968231</c:v>
                </c:pt>
                <c:pt idx="3">
                  <c:v>5.2413580787503742</c:v>
                </c:pt>
                <c:pt idx="4">
                  <c:v>0</c:v>
                </c:pt>
                <c:pt idx="5">
                  <c:v>1.96968097269611</c:v>
                </c:pt>
                <c:pt idx="6">
                  <c:v>1.8755504602614095</c:v>
                </c:pt>
                <c:pt idx="7">
                  <c:v>3.1964799834973809</c:v>
                </c:pt>
                <c:pt idx="8">
                  <c:v>7.1988448714265338</c:v>
                </c:pt>
                <c:pt idx="11">
                  <c:v>16.044973710460333</c:v>
                </c:pt>
                <c:pt idx="12">
                  <c:v>16.566702772278799</c:v>
                </c:pt>
                <c:pt idx="13">
                  <c:v>2.9943493624531836</c:v>
                </c:pt>
                <c:pt idx="14">
                  <c:v>6.3295437059350474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60-4EE2-8516-AD94A90CD0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35504544"/>
        <c:axId val="235501664"/>
      </c:barChart>
      <c:catAx>
        <c:axId val="23550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35501664"/>
        <c:crosses val="autoZero"/>
        <c:auto val="1"/>
        <c:lblAlgn val="ctr"/>
        <c:lblOffset val="100"/>
        <c:noMultiLvlLbl val="0"/>
      </c:catAx>
      <c:valAx>
        <c:axId val="235501664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23550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200" baseline="0">
                <a:solidFill>
                  <a:schemeClr val="tx1"/>
                </a:solidFill>
              </a:rPr>
              <a:t>PORCENTAJE- COSTOS  JUNIO 2025 </a:t>
            </a:r>
          </a:p>
        </c:rich>
      </c:tx>
      <c:layout>
        <c:manualLayout>
          <c:xMode val="edge"/>
          <c:yMode val="edge"/>
          <c:x val="0.19602649266957084"/>
          <c:y val="4.085010207057451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31888759091376651"/>
          <c:y val="0.14349737532808399"/>
          <c:w val="0.66209878885621221"/>
          <c:h val="0.81955698334318383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'RESUMEN 2026'!$L$2:$L$16</c:f>
              <c:strCache>
                <c:ptCount val="15"/>
                <c:pt idx="0">
                  <c:v>PICADA</c:v>
                </c:pt>
                <c:pt idx="1">
                  <c:v>ALEMANA</c:v>
                </c:pt>
                <c:pt idx="2">
                  <c:v>ALIMENTACION</c:v>
                </c:pt>
                <c:pt idx="3">
                  <c:v>REFORCE</c:v>
                </c:pt>
                <c:pt idx="4">
                  <c:v>ventana</c:v>
                </c:pt>
                <c:pt idx="5">
                  <c:v>puerta de inclinado</c:v>
                </c:pt>
                <c:pt idx="6">
                  <c:v>TRAMO</c:v>
                </c:pt>
                <c:pt idx="7">
                  <c:v>TURNO</c:v>
                </c:pt>
                <c:pt idx="8">
                  <c:v>METRO DE roca</c:v>
                </c:pt>
                <c:pt idx="9">
                  <c:v>TOLVEROS</c:v>
                </c:pt>
                <c:pt idx="10">
                  <c:v>coches guayados</c:v>
                </c:pt>
                <c:pt idx="11">
                  <c:v>DOMINICALES</c:v>
                </c:pt>
                <c:pt idx="12">
                  <c:v>MALACATEROS</c:v>
                </c:pt>
                <c:pt idx="13">
                  <c:v>PATIEROS</c:v>
                </c:pt>
                <c:pt idx="14">
                  <c:v>SOLDADORES</c:v>
                </c:pt>
              </c:strCache>
            </c:strRef>
          </c:cat>
          <c:val>
            <c:numRef>
              <c:f>'RESUMEN 2026'!$AG$2:$AG$16</c:f>
              <c:numCache>
                <c:formatCode>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75-4BF5-9989-48CD08697B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35504544"/>
        <c:axId val="235501664"/>
      </c:barChart>
      <c:catAx>
        <c:axId val="23550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35501664"/>
        <c:crosses val="autoZero"/>
        <c:auto val="1"/>
        <c:lblAlgn val="ctr"/>
        <c:lblOffset val="100"/>
        <c:noMultiLvlLbl val="0"/>
      </c:catAx>
      <c:valAx>
        <c:axId val="235501664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23550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200" baseline="0">
                <a:solidFill>
                  <a:schemeClr val="tx1"/>
                </a:solidFill>
              </a:rPr>
              <a:t>PORCENTAJE- COSTOS  JULIO 2025 </a:t>
            </a:r>
          </a:p>
        </c:rich>
      </c:tx>
      <c:layout>
        <c:manualLayout>
          <c:xMode val="edge"/>
          <c:yMode val="edge"/>
          <c:x val="0.19602649266957084"/>
          <c:y val="4.085010207057451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31888759091376651"/>
          <c:y val="0.14349737532808399"/>
          <c:w val="0.66209878885621221"/>
          <c:h val="0.81955698334318383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'RESUMEN 2026'!$L$2:$L$16</c:f>
              <c:strCache>
                <c:ptCount val="15"/>
                <c:pt idx="0">
                  <c:v>PICADA</c:v>
                </c:pt>
                <c:pt idx="1">
                  <c:v>ALEMANA</c:v>
                </c:pt>
                <c:pt idx="2">
                  <c:v>ALIMENTACION</c:v>
                </c:pt>
                <c:pt idx="3">
                  <c:v>REFORCE</c:v>
                </c:pt>
                <c:pt idx="4">
                  <c:v>ventana</c:v>
                </c:pt>
                <c:pt idx="5">
                  <c:v>puerta de inclinado</c:v>
                </c:pt>
                <c:pt idx="6">
                  <c:v>TRAMO</c:v>
                </c:pt>
                <c:pt idx="7">
                  <c:v>TURNO</c:v>
                </c:pt>
                <c:pt idx="8">
                  <c:v>METRO DE roca</c:v>
                </c:pt>
                <c:pt idx="9">
                  <c:v>TOLVEROS</c:v>
                </c:pt>
                <c:pt idx="10">
                  <c:v>coches guayados</c:v>
                </c:pt>
                <c:pt idx="11">
                  <c:v>DOMINICALES</c:v>
                </c:pt>
                <c:pt idx="12">
                  <c:v>MALACATEROS</c:v>
                </c:pt>
                <c:pt idx="13">
                  <c:v>PATIEROS</c:v>
                </c:pt>
                <c:pt idx="14">
                  <c:v>SOLDADORES</c:v>
                </c:pt>
              </c:strCache>
            </c:strRef>
          </c:cat>
          <c:val>
            <c:numRef>
              <c:f>'RESUMEN 2026'!$AN$2:$AN$16</c:f>
              <c:numCache>
                <c:formatCode>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DB-49CB-8966-DA15D37DF8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35504544"/>
        <c:axId val="235501664"/>
      </c:barChart>
      <c:catAx>
        <c:axId val="23550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35501664"/>
        <c:crosses val="autoZero"/>
        <c:auto val="1"/>
        <c:lblAlgn val="ctr"/>
        <c:lblOffset val="100"/>
        <c:noMultiLvlLbl val="0"/>
      </c:catAx>
      <c:valAx>
        <c:axId val="235501664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23550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200" baseline="0">
                <a:solidFill>
                  <a:schemeClr val="tx1"/>
                </a:solidFill>
              </a:rPr>
              <a:t>PORCENTAJE- COSTOS  AGOSTO 2025 </a:t>
            </a:r>
          </a:p>
        </c:rich>
      </c:tx>
      <c:layout>
        <c:manualLayout>
          <c:xMode val="edge"/>
          <c:yMode val="edge"/>
          <c:x val="0.19602649266957084"/>
          <c:y val="4.085010207057451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31888759091376651"/>
          <c:y val="0.14349737532808399"/>
          <c:w val="0.66209878885621221"/>
          <c:h val="0.81955698334318383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'[51]RESUMEN 2025'!$L$2:$L$16</c:f>
              <c:strCache>
                <c:ptCount val="15"/>
                <c:pt idx="0">
                  <c:v>PICADA</c:v>
                </c:pt>
                <c:pt idx="1">
                  <c:v>BONO ALIMENTACION </c:v>
                </c:pt>
                <c:pt idx="2">
                  <c:v>PERSONAL DE APOYO</c:v>
                </c:pt>
                <c:pt idx="3">
                  <c:v>MALACATEROS</c:v>
                </c:pt>
                <c:pt idx="4">
                  <c:v>TURNOS</c:v>
                </c:pt>
                <c:pt idx="5">
                  <c:v>COCHES GUAYADOS</c:v>
                </c:pt>
                <c:pt idx="6">
                  <c:v>MOVIMIENTO DE ROCA</c:v>
                </c:pt>
                <c:pt idx="7">
                  <c:v>SOSTENIMIENTO</c:v>
                </c:pt>
                <c:pt idx="8">
                  <c:v>BONIFICACION</c:v>
                </c:pt>
                <c:pt idx="9">
                  <c:v>INSTALADA TRAMO RIEL</c:v>
                </c:pt>
                <c:pt idx="10">
                  <c:v>LIMPIEZA DE ESCALERAS</c:v>
                </c:pt>
                <c:pt idx="11">
                  <c:v>ARCO DE ACERO</c:v>
                </c:pt>
                <c:pt idx="12">
                  <c:v>TURNO BOMBEO</c:v>
                </c:pt>
              </c:strCache>
            </c:strRef>
          </c:cat>
          <c:val>
            <c:numRef>
              <c:f>'[51]RESUMEN 2025'!$AN$2:$AN$16</c:f>
              <c:numCache>
                <c:formatCode>General</c:formatCode>
                <c:ptCount val="15"/>
                <c:pt idx="0">
                  <c:v>46.804115832911307</c:v>
                </c:pt>
                <c:pt idx="1">
                  <c:v>18.156087267989541</c:v>
                </c:pt>
                <c:pt idx="2">
                  <c:v>8.7795078520806005</c:v>
                </c:pt>
                <c:pt idx="3">
                  <c:v>7.0843128277013001</c:v>
                </c:pt>
                <c:pt idx="4">
                  <c:v>5.337477748688694</c:v>
                </c:pt>
                <c:pt idx="5">
                  <c:v>4.4332796388073827</c:v>
                </c:pt>
                <c:pt idx="6">
                  <c:v>3.3356768738437306</c:v>
                </c:pt>
                <c:pt idx="7">
                  <c:v>3.2486291568120214</c:v>
                </c:pt>
                <c:pt idx="8">
                  <c:v>1.5522946060209277</c:v>
                </c:pt>
                <c:pt idx="9">
                  <c:v>0.88572524084579818</c:v>
                </c:pt>
                <c:pt idx="10">
                  <c:v>0.38289295429869269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DA-4C2B-8DE3-9C79B11383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35504544"/>
        <c:axId val="235501664"/>
      </c:barChart>
      <c:catAx>
        <c:axId val="23550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35501664"/>
        <c:crosses val="autoZero"/>
        <c:auto val="1"/>
        <c:lblAlgn val="ctr"/>
        <c:lblOffset val="100"/>
        <c:noMultiLvlLbl val="0"/>
      </c:catAx>
      <c:valAx>
        <c:axId val="2355016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3550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200" baseline="0">
                <a:solidFill>
                  <a:schemeClr val="tx1"/>
                </a:solidFill>
              </a:rPr>
              <a:t>PORCENTAJE- COSTOS  SEPTIEMBRE 2025 </a:t>
            </a:r>
          </a:p>
        </c:rich>
      </c:tx>
      <c:layout>
        <c:manualLayout>
          <c:xMode val="edge"/>
          <c:yMode val="edge"/>
          <c:x val="0.19602649266957084"/>
          <c:y val="4.085010207057451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31888759091376651"/>
          <c:y val="0.14349737532808399"/>
          <c:w val="0.66209878885621221"/>
          <c:h val="0.81955698334318383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'[51]RESUMEN 2025'!$L$2:$L$16</c:f>
              <c:strCache>
                <c:ptCount val="15"/>
                <c:pt idx="0">
                  <c:v>PICADA</c:v>
                </c:pt>
                <c:pt idx="1">
                  <c:v>BONO ALIMENTACION </c:v>
                </c:pt>
                <c:pt idx="2">
                  <c:v>PERSONAL DE APOYO</c:v>
                </c:pt>
                <c:pt idx="3">
                  <c:v>MALACATEROS</c:v>
                </c:pt>
                <c:pt idx="4">
                  <c:v>TURNOS</c:v>
                </c:pt>
                <c:pt idx="5">
                  <c:v>COCHES GUAYADOS</c:v>
                </c:pt>
                <c:pt idx="6">
                  <c:v>MOVIMIENTO DE ROCA</c:v>
                </c:pt>
                <c:pt idx="7">
                  <c:v>SOSTENIMIENTO</c:v>
                </c:pt>
                <c:pt idx="8">
                  <c:v>BONIFICACION</c:v>
                </c:pt>
                <c:pt idx="9">
                  <c:v>INSTALADA TRAMO RIEL</c:v>
                </c:pt>
                <c:pt idx="10">
                  <c:v>LIMPIEZA DE ESCALERAS</c:v>
                </c:pt>
                <c:pt idx="11">
                  <c:v>ARCO DE ACERO</c:v>
                </c:pt>
                <c:pt idx="12">
                  <c:v>TURNO BOMBEO</c:v>
                </c:pt>
              </c:strCache>
            </c:strRef>
          </c:cat>
          <c:val>
            <c:numRef>
              <c:f>'[51]RESUMEN 2025'!$AN$2:$AN$16</c:f>
              <c:numCache>
                <c:formatCode>General</c:formatCode>
                <c:ptCount val="15"/>
                <c:pt idx="0">
                  <c:v>46.804115832911307</c:v>
                </c:pt>
                <c:pt idx="1">
                  <c:v>18.156087267989541</c:v>
                </c:pt>
                <c:pt idx="2">
                  <c:v>8.7795078520806005</c:v>
                </c:pt>
                <c:pt idx="3">
                  <c:v>7.0843128277013001</c:v>
                </c:pt>
                <c:pt idx="4">
                  <c:v>5.337477748688694</c:v>
                </c:pt>
                <c:pt idx="5">
                  <c:v>4.4332796388073827</c:v>
                </c:pt>
                <c:pt idx="6">
                  <c:v>3.3356768738437306</c:v>
                </c:pt>
                <c:pt idx="7">
                  <c:v>3.2486291568120214</c:v>
                </c:pt>
                <c:pt idx="8">
                  <c:v>1.5522946060209277</c:v>
                </c:pt>
                <c:pt idx="9">
                  <c:v>0.88572524084579818</c:v>
                </c:pt>
                <c:pt idx="10">
                  <c:v>0.38289295429869269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65-4CFA-9FD6-0C3C4FBFAD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35504544"/>
        <c:axId val="235501664"/>
      </c:barChart>
      <c:catAx>
        <c:axId val="23550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35501664"/>
        <c:crosses val="autoZero"/>
        <c:auto val="1"/>
        <c:lblAlgn val="ctr"/>
        <c:lblOffset val="100"/>
        <c:noMultiLvlLbl val="0"/>
      </c:catAx>
      <c:valAx>
        <c:axId val="2355016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3550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200" baseline="0">
                <a:solidFill>
                  <a:schemeClr val="tx1"/>
                </a:solidFill>
              </a:rPr>
              <a:t>PORCENTAJE- COSTOS  OCTUBRE 2025 </a:t>
            </a:r>
          </a:p>
        </c:rich>
      </c:tx>
      <c:layout>
        <c:manualLayout>
          <c:xMode val="edge"/>
          <c:yMode val="edge"/>
          <c:x val="0.19602649266957084"/>
          <c:y val="4.085010207057451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31888759091376651"/>
          <c:y val="0.14349737532808399"/>
          <c:w val="0.66209878885621221"/>
          <c:h val="0.81955698334318383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'[45]2025'!$L$2:$L$21</c15:sqref>
                  </c15:fullRef>
                </c:ext>
              </c:extLst>
              <c:f>'[45]2025'!$L$2:$L$14</c:f>
              <c:strCache>
                <c:ptCount val="13"/>
                <c:pt idx="0">
                  <c:v>PICADA</c:v>
                </c:pt>
                <c:pt idx="1">
                  <c:v>BONO ALIMENTACION </c:v>
                </c:pt>
                <c:pt idx="2">
                  <c:v>PERSONAL DE APOYO</c:v>
                </c:pt>
                <c:pt idx="3">
                  <c:v>MALACATEROS</c:v>
                </c:pt>
                <c:pt idx="4">
                  <c:v>TURNOS</c:v>
                </c:pt>
                <c:pt idx="5">
                  <c:v>COCHES GUAYADOS</c:v>
                </c:pt>
                <c:pt idx="6">
                  <c:v>MOVIMIENTO DE ROCA</c:v>
                </c:pt>
                <c:pt idx="7">
                  <c:v>SOSTENIMIENTO</c:v>
                </c:pt>
                <c:pt idx="8">
                  <c:v>BONIFICACION</c:v>
                </c:pt>
                <c:pt idx="9">
                  <c:v>INSTALADA TRAMO RIEL</c:v>
                </c:pt>
                <c:pt idx="10">
                  <c:v>LIMPIEZA DE ESCALERAS</c:v>
                </c:pt>
                <c:pt idx="11">
                  <c:v>ARCO DE ACERO</c:v>
                </c:pt>
                <c:pt idx="12">
                  <c:v>TURNO BOMBEO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'[45]2025'!$BJ$2:$BJ$21</c15:sqref>
                  </c15:fullRef>
                </c:ext>
              </c:extLst>
              <c:f>'[45]2025'!$BJ$2:$BJ$14</c:f>
              <c:numCache>
                <c:formatCode>General</c:formatCode>
                <c:ptCount val="13"/>
                <c:pt idx="0">
                  <c:v>60348317</c:v>
                </c:pt>
                <c:pt idx="1">
                  <c:v>7458044</c:v>
                </c:pt>
                <c:pt idx="2">
                  <c:v>22642750</c:v>
                </c:pt>
                <c:pt idx="3">
                  <c:v>1923500</c:v>
                </c:pt>
                <c:pt idx="4">
                  <c:v>3600000</c:v>
                </c:pt>
                <c:pt idx="5">
                  <c:v>243600</c:v>
                </c:pt>
                <c:pt idx="6">
                  <c:v>3051350</c:v>
                </c:pt>
                <c:pt idx="7">
                  <c:v>6918850</c:v>
                </c:pt>
                <c:pt idx="8">
                  <c:v>11417000</c:v>
                </c:pt>
                <c:pt idx="9">
                  <c:v>0</c:v>
                </c:pt>
                <c:pt idx="10">
                  <c:v>559820</c:v>
                </c:pt>
                <c:pt idx="11">
                  <c:v>5218960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19-450A-9D89-D07CC9B5B5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35504544"/>
        <c:axId val="235501664"/>
      </c:barChart>
      <c:catAx>
        <c:axId val="23550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35501664"/>
        <c:crosses val="autoZero"/>
        <c:auto val="1"/>
        <c:lblAlgn val="ctr"/>
        <c:lblOffset val="100"/>
        <c:noMultiLvlLbl val="0"/>
      </c:catAx>
      <c:valAx>
        <c:axId val="2355016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3550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Costos</a:t>
            </a:r>
            <a:r>
              <a:rPr lang="es-CO" baseline="0"/>
              <a:t> Mano de Obra</a:t>
            </a:r>
            <a:r>
              <a:rPr lang="es-CO"/>
              <a:t> Octubre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8D-4190-8A82-E5B671059C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8D-4190-8A82-E5B671059C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8D-4190-8A82-E5B671059CD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8D-4190-8A82-E5B671059CD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8D-4190-8A82-E5B671059CD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8D-4190-8A82-E5B671059CD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8D-4190-8A82-E5B671059CD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8D-4190-8A82-E5B671059CD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8D-4190-8A82-E5B671059CD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8D-4190-8A82-E5B671059CD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8D-4190-8A82-E5B671059CD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8D-4190-8A82-E5B671059CD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CA8D-4190-8A82-E5B671059CD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CA8D-4190-8A82-E5B671059CD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CA8D-4190-8A82-E5B671059CDB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CA8D-4190-8A82-E5B671059CDB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CA8D-4190-8A82-E5B671059CDB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CA8D-4190-8A82-E5B671059CDB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CA8D-4190-8A82-E5B671059CDB}"/>
              </c:ext>
            </c:extLst>
          </c:dPt>
          <c:cat>
            <c:strRef>
              <c:f>'[45]2025'!$BA$2:$BA$20</c:f>
              <c:strCache>
                <c:ptCount val="19"/>
                <c:pt idx="0">
                  <c:v>PICADA</c:v>
                </c:pt>
                <c:pt idx="1">
                  <c:v>ALEMANA</c:v>
                </c:pt>
                <c:pt idx="2">
                  <c:v>ALIMENTACION</c:v>
                </c:pt>
                <c:pt idx="3">
                  <c:v>REFORCE</c:v>
                </c:pt>
                <c:pt idx="4">
                  <c:v>CANASTA</c:v>
                </c:pt>
                <c:pt idx="5">
                  <c:v>TRAMO</c:v>
                </c:pt>
                <c:pt idx="6">
                  <c:v>TURNO</c:v>
                </c:pt>
                <c:pt idx="7">
                  <c:v>METRO DE roca</c:v>
                </c:pt>
                <c:pt idx="8">
                  <c:v>COCHE ROCA</c:v>
                </c:pt>
                <c:pt idx="9">
                  <c:v>limpieza de escaleras</c:v>
                </c:pt>
                <c:pt idx="10">
                  <c:v>coches guayados</c:v>
                </c:pt>
                <c:pt idx="11">
                  <c:v>metro despate</c:v>
                </c:pt>
                <c:pt idx="12">
                  <c:v>ARCO DE ACERO</c:v>
                </c:pt>
                <c:pt idx="13">
                  <c:v>MALACATEROS</c:v>
                </c:pt>
                <c:pt idx="14">
                  <c:v>PATIEROS</c:v>
                </c:pt>
                <c:pt idx="15">
                  <c:v>SOLDADORES</c:v>
                </c:pt>
                <c:pt idx="16">
                  <c:v>PAJARITA</c:v>
                </c:pt>
                <c:pt idx="17">
                  <c:v>OTROS(TURNOS)</c:v>
                </c:pt>
                <c:pt idx="18">
                  <c:v>BONIFICACION</c:v>
                </c:pt>
              </c:strCache>
            </c:strRef>
          </c:cat>
          <c:val>
            <c:numRef>
              <c:f>'[45]2025'!$BB$2:$BB$20</c:f>
              <c:numCache>
                <c:formatCode>General</c:formatCode>
                <c:ptCount val="19"/>
                <c:pt idx="0">
                  <c:v>55199907</c:v>
                </c:pt>
                <c:pt idx="1">
                  <c:v>5336767</c:v>
                </c:pt>
                <c:pt idx="2">
                  <c:v>14352000</c:v>
                </c:pt>
                <c:pt idx="3">
                  <c:v>2167000</c:v>
                </c:pt>
                <c:pt idx="4">
                  <c:v>3077000</c:v>
                </c:pt>
                <c:pt idx="5">
                  <c:v>2173200</c:v>
                </c:pt>
                <c:pt idx="6">
                  <c:v>5739250</c:v>
                </c:pt>
                <c:pt idx="7">
                  <c:v>3635200</c:v>
                </c:pt>
                <c:pt idx="8">
                  <c:v>0</c:v>
                </c:pt>
                <c:pt idx="9">
                  <c:v>80500</c:v>
                </c:pt>
                <c:pt idx="10">
                  <c:v>6948455</c:v>
                </c:pt>
                <c:pt idx="11">
                  <c:v>0</c:v>
                </c:pt>
                <c:pt idx="12">
                  <c:v>0</c:v>
                </c:pt>
                <c:pt idx="13">
                  <c:v>7715387.833333334</c:v>
                </c:pt>
                <c:pt idx="14">
                  <c:v>7158326.7999999998</c:v>
                </c:pt>
                <c:pt idx="15">
                  <c:v>2876800</c:v>
                </c:pt>
                <c:pt idx="16">
                  <c:v>2624035.3125</c:v>
                </c:pt>
                <c:pt idx="17">
                  <c:v>0</c:v>
                </c:pt>
                <c:pt idx="18">
                  <c:v>3839000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CA8D-4190-8A82-E5B671059CDB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8-CA8D-4190-8A82-E5B671059C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A-CA8D-4190-8A82-E5B671059C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C-CA8D-4190-8A82-E5B671059CD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E-CA8D-4190-8A82-E5B671059CD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0-CA8D-4190-8A82-E5B671059CD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2-CA8D-4190-8A82-E5B671059CD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4-CA8D-4190-8A82-E5B671059CD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6-CA8D-4190-8A82-E5B671059CD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8-CA8D-4190-8A82-E5B671059CD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A-CA8D-4190-8A82-E5B671059CD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C-CA8D-4190-8A82-E5B671059CD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E-CA8D-4190-8A82-E5B671059CD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0-CA8D-4190-8A82-E5B671059CD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2-CA8D-4190-8A82-E5B671059CD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4-CA8D-4190-8A82-E5B671059CDB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6-CA8D-4190-8A82-E5B671059CDB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8-CA8D-4190-8A82-E5B671059CDB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A-CA8D-4190-8A82-E5B671059CDB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C-CA8D-4190-8A82-E5B671059CDB}"/>
              </c:ext>
            </c:extLst>
          </c:dPt>
          <c:cat>
            <c:strRef>
              <c:f>'[45]2025'!$BA$2:$BA$20</c:f>
              <c:strCache>
                <c:ptCount val="19"/>
                <c:pt idx="0">
                  <c:v>PICADA</c:v>
                </c:pt>
                <c:pt idx="1">
                  <c:v>ALEMANA</c:v>
                </c:pt>
                <c:pt idx="2">
                  <c:v>ALIMENTACION</c:v>
                </c:pt>
                <c:pt idx="3">
                  <c:v>REFORCE</c:v>
                </c:pt>
                <c:pt idx="4">
                  <c:v>CANASTA</c:v>
                </c:pt>
                <c:pt idx="5">
                  <c:v>TRAMO</c:v>
                </c:pt>
                <c:pt idx="6">
                  <c:v>TURNO</c:v>
                </c:pt>
                <c:pt idx="7">
                  <c:v>METRO DE roca</c:v>
                </c:pt>
                <c:pt idx="8">
                  <c:v>COCHE ROCA</c:v>
                </c:pt>
                <c:pt idx="9">
                  <c:v>limpieza de escaleras</c:v>
                </c:pt>
                <c:pt idx="10">
                  <c:v>coches guayados</c:v>
                </c:pt>
                <c:pt idx="11">
                  <c:v>metro despate</c:v>
                </c:pt>
                <c:pt idx="12">
                  <c:v>ARCO DE ACERO</c:v>
                </c:pt>
                <c:pt idx="13">
                  <c:v>MALACATEROS</c:v>
                </c:pt>
                <c:pt idx="14">
                  <c:v>PATIEROS</c:v>
                </c:pt>
                <c:pt idx="15">
                  <c:v>SOLDADORES</c:v>
                </c:pt>
                <c:pt idx="16">
                  <c:v>PAJARITA</c:v>
                </c:pt>
                <c:pt idx="17">
                  <c:v>OTROS(TURNOS)</c:v>
                </c:pt>
                <c:pt idx="18">
                  <c:v>BONIFICACION</c:v>
                </c:pt>
              </c:strCache>
            </c:strRef>
          </c:cat>
          <c:val>
            <c:numRef>
              <c:f>'[45]2025'!$BC$2:$BC$20</c:f>
              <c:numCache>
                <c:formatCode>General</c:formatCode>
                <c:ptCount val="19"/>
                <c:pt idx="0">
                  <c:v>44.906147599583939</c:v>
                </c:pt>
                <c:pt idx="1">
                  <c:v>4.3415588835428434</c:v>
                </c:pt>
                <c:pt idx="2">
                  <c:v>11.675618046770055</c:v>
                </c:pt>
                <c:pt idx="3">
                  <c:v>1.7628946702446144</c:v>
                </c:pt>
                <c:pt idx="4">
                  <c:v>2.5031965391521362</c:v>
                </c:pt>
                <c:pt idx="5">
                  <c:v>1.7679384851756328</c:v>
                </c:pt>
                <c:pt idx="6">
                  <c:v>4.6689862649752669</c:v>
                </c:pt>
                <c:pt idx="7">
                  <c:v>2.9573025866512332</c:v>
                </c:pt>
                <c:pt idx="8">
                  <c:v>0</c:v>
                </c:pt>
                <c:pt idx="9">
                  <c:v>6.5488242249511525E-2</c:v>
                </c:pt>
                <c:pt idx="10">
                  <c:v>5.6526969478239701</c:v>
                </c:pt>
                <c:pt idx="11">
                  <c:v>0</c:v>
                </c:pt>
                <c:pt idx="12">
                  <c:v>0</c:v>
                </c:pt>
                <c:pt idx="13">
                  <c:v>6.2766110245747475</c:v>
                </c:pt>
                <c:pt idx="14">
                  <c:v>5.823431547572306</c:v>
                </c:pt>
                <c:pt idx="15">
                  <c:v>2.3403301279924813</c:v>
                </c:pt>
                <c:pt idx="16">
                  <c:v>2.1347013691462444</c:v>
                </c:pt>
                <c:pt idx="17">
                  <c:v>0</c:v>
                </c:pt>
                <c:pt idx="18">
                  <c:v>3.1230976645450279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CA8D-4190-8A82-E5B671059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200" baseline="0">
                <a:solidFill>
                  <a:schemeClr val="tx1"/>
                </a:solidFill>
              </a:rPr>
              <a:t>PORCENTAJE- COSTOS  NOVIEMBRE 2025 </a:t>
            </a:r>
          </a:p>
        </c:rich>
      </c:tx>
      <c:layout>
        <c:manualLayout>
          <c:xMode val="edge"/>
          <c:yMode val="edge"/>
          <c:x val="0.19602649266957084"/>
          <c:y val="4.085010207057451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31888759091376651"/>
          <c:y val="0.14349737532808399"/>
          <c:w val="0.66209878885621221"/>
          <c:h val="0.81955698334318383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'[45]2025'!$L$2:$L$21</c:f>
              <c:strCache>
                <c:ptCount val="20"/>
                <c:pt idx="0">
                  <c:v>PICADA</c:v>
                </c:pt>
                <c:pt idx="1">
                  <c:v>BONO ALIMENTACION </c:v>
                </c:pt>
                <c:pt idx="2">
                  <c:v>PERSONAL DE APOYO</c:v>
                </c:pt>
                <c:pt idx="3">
                  <c:v>MALACATEROS</c:v>
                </c:pt>
                <c:pt idx="4">
                  <c:v>TURNOS</c:v>
                </c:pt>
                <c:pt idx="5">
                  <c:v>COCHES GUAYADOS</c:v>
                </c:pt>
                <c:pt idx="6">
                  <c:v>MOVIMIENTO DE ROCA</c:v>
                </c:pt>
                <c:pt idx="7">
                  <c:v>SOSTENIMIENTO</c:v>
                </c:pt>
                <c:pt idx="8">
                  <c:v>BONIFICACION</c:v>
                </c:pt>
                <c:pt idx="9">
                  <c:v>INSTALADA TRAMO RIEL</c:v>
                </c:pt>
                <c:pt idx="10">
                  <c:v>LIMPIEZA DE ESCALERAS</c:v>
                </c:pt>
                <c:pt idx="11">
                  <c:v>ARCO DE ACERO</c:v>
                </c:pt>
                <c:pt idx="12">
                  <c:v>TURNO BOMBEO</c:v>
                </c:pt>
                <c:pt idx="16">
                  <c:v>TOTAL MES</c:v>
                </c:pt>
              </c:strCache>
            </c:strRef>
          </c:cat>
          <c:val>
            <c:numRef>
              <c:f>'[45]2025'!$BQ$2:$BQ$21</c:f>
              <c:numCache>
                <c:formatCode>General</c:formatCode>
                <c:ptCount val="20"/>
                <c:pt idx="0">
                  <c:v>61176511</c:v>
                </c:pt>
                <c:pt idx="1">
                  <c:v>4084433</c:v>
                </c:pt>
                <c:pt idx="2">
                  <c:v>19914375</c:v>
                </c:pt>
                <c:pt idx="3">
                  <c:v>1366840</c:v>
                </c:pt>
                <c:pt idx="4">
                  <c:v>3240000</c:v>
                </c:pt>
                <c:pt idx="5">
                  <c:v>1658300</c:v>
                </c:pt>
                <c:pt idx="6">
                  <c:v>2463500</c:v>
                </c:pt>
                <c:pt idx="7">
                  <c:v>4498200</c:v>
                </c:pt>
                <c:pt idx="8">
                  <c:v>9730600</c:v>
                </c:pt>
                <c:pt idx="9">
                  <c:v>0</c:v>
                </c:pt>
                <c:pt idx="10">
                  <c:v>3120080.5</c:v>
                </c:pt>
                <c:pt idx="11">
                  <c:v>3640000</c:v>
                </c:pt>
                <c:pt idx="12">
                  <c:v>12216300</c:v>
                </c:pt>
                <c:pt idx="13">
                  <c:v>0</c:v>
                </c:pt>
                <c:pt idx="14">
                  <c:v>5762151.666666667</c:v>
                </c:pt>
                <c:pt idx="15">
                  <c:v>3244081.25</c:v>
                </c:pt>
                <c:pt idx="16">
                  <c:v>2876800</c:v>
                </c:pt>
                <c:pt idx="17">
                  <c:v>2873199.609375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D3-46F9-A39C-97447CE344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35504544"/>
        <c:axId val="235501664"/>
      </c:barChart>
      <c:catAx>
        <c:axId val="23550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35501664"/>
        <c:crosses val="autoZero"/>
        <c:auto val="1"/>
        <c:lblAlgn val="ctr"/>
        <c:lblOffset val="100"/>
        <c:noMultiLvlLbl val="0"/>
      </c:catAx>
      <c:valAx>
        <c:axId val="2355016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3550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Costos</a:t>
            </a:r>
            <a:r>
              <a:rPr lang="es-CO" baseline="0"/>
              <a:t> Mano de Obra</a:t>
            </a:r>
            <a:r>
              <a:rPr lang="es-CO"/>
              <a:t> Noviemmbre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AF-43BF-99AA-A76FBDBBB8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AF-43BF-99AA-A76FBDBBB8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AF-43BF-99AA-A76FBDBBB8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AF-43BF-99AA-A76FBDBBB8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AF-43BF-99AA-A76FBDBBB8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AF-43BF-99AA-A76FBDBBB8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AF-43BF-99AA-A76FBDBBB8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AF-43BF-99AA-A76FBDBBB8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AF-43BF-99AA-A76FBDBBB8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AF-43BF-99AA-A76FBDBBB8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AF-43BF-99AA-A76FBDBBB8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AF-43BF-99AA-A76FBDBBB80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4FAF-43BF-99AA-A76FBDBBB80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4FAF-43BF-99AA-A76FBDBBB80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4FAF-43BF-99AA-A76FBDBBB80B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4FAF-43BF-99AA-A76FBDBBB80B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4FAF-43BF-99AA-A76FBDBBB80B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4FAF-43BF-99AA-A76FBDBBB80B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4FAF-43BF-99AA-A76FBDBBB80B}"/>
              </c:ext>
            </c:extLst>
          </c:dPt>
          <c:cat>
            <c:strRef>
              <c:f>'[45]2025'!$BA$2:$BA$20</c:f>
              <c:strCache>
                <c:ptCount val="19"/>
                <c:pt idx="0">
                  <c:v>PICADA</c:v>
                </c:pt>
                <c:pt idx="1">
                  <c:v>ALEMANA</c:v>
                </c:pt>
                <c:pt idx="2">
                  <c:v>ALIMENTACION</c:v>
                </c:pt>
                <c:pt idx="3">
                  <c:v>REFORCE</c:v>
                </c:pt>
                <c:pt idx="4">
                  <c:v>CANASTA</c:v>
                </c:pt>
                <c:pt idx="5">
                  <c:v>TRAMO</c:v>
                </c:pt>
                <c:pt idx="6">
                  <c:v>TURNO</c:v>
                </c:pt>
                <c:pt idx="7">
                  <c:v>METRO DE roca</c:v>
                </c:pt>
                <c:pt idx="8">
                  <c:v>COCHE ROCA</c:v>
                </c:pt>
                <c:pt idx="9">
                  <c:v>limpieza de escaleras</c:v>
                </c:pt>
                <c:pt idx="10">
                  <c:v>coches guayados</c:v>
                </c:pt>
                <c:pt idx="11">
                  <c:v>metro despate</c:v>
                </c:pt>
                <c:pt idx="12">
                  <c:v>ARCO DE ACERO</c:v>
                </c:pt>
                <c:pt idx="13">
                  <c:v>MALACATEROS</c:v>
                </c:pt>
                <c:pt idx="14">
                  <c:v>PATIEROS</c:v>
                </c:pt>
                <c:pt idx="15">
                  <c:v>SOLDADORES</c:v>
                </c:pt>
                <c:pt idx="16">
                  <c:v>PAJARITA</c:v>
                </c:pt>
                <c:pt idx="17">
                  <c:v>OTROS(TURNOS)</c:v>
                </c:pt>
                <c:pt idx="18">
                  <c:v>BONIFICACION</c:v>
                </c:pt>
              </c:strCache>
            </c:strRef>
          </c:cat>
          <c:val>
            <c:numRef>
              <c:f>'[45]2025'!$BB$2:$BB$20</c:f>
              <c:numCache>
                <c:formatCode>General</c:formatCode>
                <c:ptCount val="19"/>
                <c:pt idx="0">
                  <c:v>55199907</c:v>
                </c:pt>
                <c:pt idx="1">
                  <c:v>5336767</c:v>
                </c:pt>
                <c:pt idx="2">
                  <c:v>14352000</c:v>
                </c:pt>
                <c:pt idx="3">
                  <c:v>2167000</c:v>
                </c:pt>
                <c:pt idx="4">
                  <c:v>3077000</c:v>
                </c:pt>
                <c:pt idx="5">
                  <c:v>2173200</c:v>
                </c:pt>
                <c:pt idx="6">
                  <c:v>5739250</c:v>
                </c:pt>
                <c:pt idx="7">
                  <c:v>3635200</c:v>
                </c:pt>
                <c:pt idx="8">
                  <c:v>0</c:v>
                </c:pt>
                <c:pt idx="9">
                  <c:v>80500</c:v>
                </c:pt>
                <c:pt idx="10">
                  <c:v>6948455</c:v>
                </c:pt>
                <c:pt idx="11">
                  <c:v>0</c:v>
                </c:pt>
                <c:pt idx="12">
                  <c:v>0</c:v>
                </c:pt>
                <c:pt idx="13">
                  <c:v>7715387.833333334</c:v>
                </c:pt>
                <c:pt idx="14">
                  <c:v>7158326.7999999998</c:v>
                </c:pt>
                <c:pt idx="15">
                  <c:v>2876800</c:v>
                </c:pt>
                <c:pt idx="16">
                  <c:v>2624035.3125</c:v>
                </c:pt>
                <c:pt idx="17">
                  <c:v>0</c:v>
                </c:pt>
                <c:pt idx="18">
                  <c:v>3839000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4FAF-43BF-99AA-A76FBDBBB80B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8-4FAF-43BF-99AA-A76FBDBBB8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A-4FAF-43BF-99AA-A76FBDBBB8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C-4FAF-43BF-99AA-A76FBDBBB8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E-4FAF-43BF-99AA-A76FBDBBB8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0-4FAF-43BF-99AA-A76FBDBBB8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2-4FAF-43BF-99AA-A76FBDBBB8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4-4FAF-43BF-99AA-A76FBDBBB8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6-4FAF-43BF-99AA-A76FBDBBB8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8-4FAF-43BF-99AA-A76FBDBBB8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A-4FAF-43BF-99AA-A76FBDBBB8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C-4FAF-43BF-99AA-A76FBDBBB8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E-4FAF-43BF-99AA-A76FBDBBB80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0-4FAF-43BF-99AA-A76FBDBBB80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2-4FAF-43BF-99AA-A76FBDBBB80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4-4FAF-43BF-99AA-A76FBDBBB80B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6-4FAF-43BF-99AA-A76FBDBBB80B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8-4FAF-43BF-99AA-A76FBDBBB80B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A-4FAF-43BF-99AA-A76FBDBBB80B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C-4FAF-43BF-99AA-A76FBDBBB80B}"/>
              </c:ext>
            </c:extLst>
          </c:dPt>
          <c:cat>
            <c:strRef>
              <c:f>'[45]2025'!$BA$2:$BA$20</c:f>
              <c:strCache>
                <c:ptCount val="19"/>
                <c:pt idx="0">
                  <c:v>PICADA</c:v>
                </c:pt>
                <c:pt idx="1">
                  <c:v>ALEMANA</c:v>
                </c:pt>
                <c:pt idx="2">
                  <c:v>ALIMENTACION</c:v>
                </c:pt>
                <c:pt idx="3">
                  <c:v>REFORCE</c:v>
                </c:pt>
                <c:pt idx="4">
                  <c:v>CANASTA</c:v>
                </c:pt>
                <c:pt idx="5">
                  <c:v>TRAMO</c:v>
                </c:pt>
                <c:pt idx="6">
                  <c:v>TURNO</c:v>
                </c:pt>
                <c:pt idx="7">
                  <c:v>METRO DE roca</c:v>
                </c:pt>
                <c:pt idx="8">
                  <c:v>COCHE ROCA</c:v>
                </c:pt>
                <c:pt idx="9">
                  <c:v>limpieza de escaleras</c:v>
                </c:pt>
                <c:pt idx="10">
                  <c:v>coches guayados</c:v>
                </c:pt>
                <c:pt idx="11">
                  <c:v>metro despate</c:v>
                </c:pt>
                <c:pt idx="12">
                  <c:v>ARCO DE ACERO</c:v>
                </c:pt>
                <c:pt idx="13">
                  <c:v>MALACATEROS</c:v>
                </c:pt>
                <c:pt idx="14">
                  <c:v>PATIEROS</c:v>
                </c:pt>
                <c:pt idx="15">
                  <c:v>SOLDADORES</c:v>
                </c:pt>
                <c:pt idx="16">
                  <c:v>PAJARITA</c:v>
                </c:pt>
                <c:pt idx="17">
                  <c:v>OTROS(TURNOS)</c:v>
                </c:pt>
                <c:pt idx="18">
                  <c:v>BONIFICACION</c:v>
                </c:pt>
              </c:strCache>
            </c:strRef>
          </c:cat>
          <c:val>
            <c:numRef>
              <c:f>'[45]2025'!$BC$2:$BC$20</c:f>
              <c:numCache>
                <c:formatCode>General</c:formatCode>
                <c:ptCount val="19"/>
                <c:pt idx="0">
                  <c:v>44.906147599583939</c:v>
                </c:pt>
                <c:pt idx="1">
                  <c:v>4.3415588835428434</c:v>
                </c:pt>
                <c:pt idx="2">
                  <c:v>11.675618046770055</c:v>
                </c:pt>
                <c:pt idx="3">
                  <c:v>1.7628946702446144</c:v>
                </c:pt>
                <c:pt idx="4">
                  <c:v>2.5031965391521362</c:v>
                </c:pt>
                <c:pt idx="5">
                  <c:v>1.7679384851756328</c:v>
                </c:pt>
                <c:pt idx="6">
                  <c:v>4.6689862649752669</c:v>
                </c:pt>
                <c:pt idx="7">
                  <c:v>2.9573025866512332</c:v>
                </c:pt>
                <c:pt idx="8">
                  <c:v>0</c:v>
                </c:pt>
                <c:pt idx="9">
                  <c:v>6.5488242249511525E-2</c:v>
                </c:pt>
                <c:pt idx="10">
                  <c:v>5.6526969478239701</c:v>
                </c:pt>
                <c:pt idx="11">
                  <c:v>0</c:v>
                </c:pt>
                <c:pt idx="12">
                  <c:v>0</c:v>
                </c:pt>
                <c:pt idx="13">
                  <c:v>6.2766110245747475</c:v>
                </c:pt>
                <c:pt idx="14">
                  <c:v>5.823431547572306</c:v>
                </c:pt>
                <c:pt idx="15">
                  <c:v>2.3403301279924813</c:v>
                </c:pt>
                <c:pt idx="16">
                  <c:v>2.1347013691462444</c:v>
                </c:pt>
                <c:pt idx="17">
                  <c:v>0</c:v>
                </c:pt>
                <c:pt idx="18">
                  <c:v>3.1230976645450279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4FAF-43BF-99AA-A76FBDBBB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200" baseline="0">
                <a:solidFill>
                  <a:schemeClr val="tx1"/>
                </a:solidFill>
              </a:rPr>
              <a:t>PORCENTAJE- COSTOS  DICIEMBRE 2025 </a:t>
            </a:r>
          </a:p>
        </c:rich>
      </c:tx>
      <c:layout>
        <c:manualLayout>
          <c:xMode val="edge"/>
          <c:yMode val="edge"/>
          <c:x val="0.19602649266957084"/>
          <c:y val="4.085010207057451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31888759091376651"/>
          <c:y val="0.14349737532808399"/>
          <c:w val="0.66209878885621221"/>
          <c:h val="0.81955698334318383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'[45]2025'!$L$2:$L$21</c15:sqref>
                  </c15:fullRef>
                </c:ext>
              </c:extLst>
              <c:f>'[45]2025'!$L$2:$L$14</c:f>
              <c:strCache>
                <c:ptCount val="13"/>
                <c:pt idx="0">
                  <c:v>PICADA</c:v>
                </c:pt>
                <c:pt idx="1">
                  <c:v>BONO ALIMENTACION </c:v>
                </c:pt>
                <c:pt idx="2">
                  <c:v>PERSONAL DE APOYO</c:v>
                </c:pt>
                <c:pt idx="3">
                  <c:v>MALACATEROS</c:v>
                </c:pt>
                <c:pt idx="4">
                  <c:v>TURNOS</c:v>
                </c:pt>
                <c:pt idx="5">
                  <c:v>COCHES GUAYADOS</c:v>
                </c:pt>
                <c:pt idx="6">
                  <c:v>MOVIMIENTO DE ROCA</c:v>
                </c:pt>
                <c:pt idx="7">
                  <c:v>SOSTENIMIENTO</c:v>
                </c:pt>
                <c:pt idx="8">
                  <c:v>BONIFICACION</c:v>
                </c:pt>
                <c:pt idx="9">
                  <c:v>INSTALADA TRAMO RIEL</c:v>
                </c:pt>
                <c:pt idx="10">
                  <c:v>LIMPIEZA DE ESCALERAS</c:v>
                </c:pt>
                <c:pt idx="11">
                  <c:v>ARCO DE ACERO</c:v>
                </c:pt>
                <c:pt idx="12">
                  <c:v>TURNO BOMBEO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'[45]2025'!$BX$2:$BX$21</c15:sqref>
                  </c15:fullRef>
                </c:ext>
              </c:extLst>
              <c:f>'[45]2025'!$BX$2:$BX$14</c:f>
              <c:numCache>
                <c:formatCode>General</c:formatCode>
                <c:ptCount val="13"/>
                <c:pt idx="0">
                  <c:v>45816799</c:v>
                </c:pt>
                <c:pt idx="1">
                  <c:v>4696262</c:v>
                </c:pt>
                <c:pt idx="2">
                  <c:v>19028750</c:v>
                </c:pt>
                <c:pt idx="3">
                  <c:v>727400</c:v>
                </c:pt>
                <c:pt idx="4">
                  <c:v>2570000</c:v>
                </c:pt>
                <c:pt idx="5">
                  <c:v>768500</c:v>
                </c:pt>
                <c:pt idx="6">
                  <c:v>2487810</c:v>
                </c:pt>
                <c:pt idx="7">
                  <c:v>5471300</c:v>
                </c:pt>
                <c:pt idx="8">
                  <c:v>5110100</c:v>
                </c:pt>
                <c:pt idx="9">
                  <c:v>0</c:v>
                </c:pt>
                <c:pt idx="10">
                  <c:v>2851164</c:v>
                </c:pt>
                <c:pt idx="11">
                  <c:v>2694000</c:v>
                </c:pt>
                <c:pt idx="12">
                  <c:v>7055150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56-4921-80E5-0E4E00E330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35504544"/>
        <c:axId val="235501664"/>
      </c:barChart>
      <c:catAx>
        <c:axId val="23550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35501664"/>
        <c:crosses val="autoZero"/>
        <c:auto val="1"/>
        <c:lblAlgn val="ctr"/>
        <c:lblOffset val="100"/>
        <c:noMultiLvlLbl val="0"/>
      </c:catAx>
      <c:valAx>
        <c:axId val="2355016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3550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Costos</a:t>
            </a:r>
            <a:r>
              <a:rPr lang="es-CO" baseline="0"/>
              <a:t> Mano de Obra</a:t>
            </a:r>
            <a:r>
              <a:rPr lang="es-CO"/>
              <a:t> Diciembre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10-45E7-85ED-60DE2BBA9E6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10-45E7-85ED-60DE2BBA9E6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10-45E7-85ED-60DE2BBA9E6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10-45E7-85ED-60DE2BBA9E6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10-45E7-85ED-60DE2BBA9E6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10-45E7-85ED-60DE2BBA9E6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10-45E7-85ED-60DE2BBA9E6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10-45E7-85ED-60DE2BBA9E6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10-45E7-85ED-60DE2BBA9E6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10-45E7-85ED-60DE2BBA9E6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10-45E7-85ED-60DE2BBA9E6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10-45E7-85ED-60DE2BBA9E6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5410-45E7-85ED-60DE2BBA9E62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5410-45E7-85ED-60DE2BBA9E62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5410-45E7-85ED-60DE2BBA9E62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5410-45E7-85ED-60DE2BBA9E62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5410-45E7-85ED-60DE2BBA9E62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5410-45E7-85ED-60DE2BBA9E62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5410-45E7-85ED-60DE2BBA9E62}"/>
              </c:ext>
            </c:extLst>
          </c:dPt>
          <c:cat>
            <c:strRef>
              <c:f>'[45]2025'!$BA$2:$BA$20</c:f>
              <c:strCache>
                <c:ptCount val="19"/>
                <c:pt idx="0">
                  <c:v>PICADA</c:v>
                </c:pt>
                <c:pt idx="1">
                  <c:v>ALEMANA</c:v>
                </c:pt>
                <c:pt idx="2">
                  <c:v>ALIMENTACION</c:v>
                </c:pt>
                <c:pt idx="3">
                  <c:v>REFORCE</c:v>
                </c:pt>
                <c:pt idx="4">
                  <c:v>CANASTA</c:v>
                </c:pt>
                <c:pt idx="5">
                  <c:v>TRAMO</c:v>
                </c:pt>
                <c:pt idx="6">
                  <c:v>TURNO</c:v>
                </c:pt>
                <c:pt idx="7">
                  <c:v>METRO DE roca</c:v>
                </c:pt>
                <c:pt idx="8">
                  <c:v>COCHE ROCA</c:v>
                </c:pt>
                <c:pt idx="9">
                  <c:v>limpieza de escaleras</c:v>
                </c:pt>
                <c:pt idx="10">
                  <c:v>coches guayados</c:v>
                </c:pt>
                <c:pt idx="11">
                  <c:v>metro despate</c:v>
                </c:pt>
                <c:pt idx="12">
                  <c:v>ARCO DE ACERO</c:v>
                </c:pt>
                <c:pt idx="13">
                  <c:v>MALACATEROS</c:v>
                </c:pt>
                <c:pt idx="14">
                  <c:v>PATIEROS</c:v>
                </c:pt>
                <c:pt idx="15">
                  <c:v>SOLDADORES</c:v>
                </c:pt>
                <c:pt idx="16">
                  <c:v>PAJARITA</c:v>
                </c:pt>
                <c:pt idx="17">
                  <c:v>OTROS(TURNOS)</c:v>
                </c:pt>
                <c:pt idx="18">
                  <c:v>BONIFICACION</c:v>
                </c:pt>
              </c:strCache>
            </c:strRef>
          </c:cat>
          <c:val>
            <c:numRef>
              <c:f>'[45]2025'!$BB$2:$BB$20</c:f>
              <c:numCache>
                <c:formatCode>General</c:formatCode>
                <c:ptCount val="19"/>
                <c:pt idx="0">
                  <c:v>55199907</c:v>
                </c:pt>
                <c:pt idx="1">
                  <c:v>5336767</c:v>
                </c:pt>
                <c:pt idx="2">
                  <c:v>14352000</c:v>
                </c:pt>
                <c:pt idx="3">
                  <c:v>2167000</c:v>
                </c:pt>
                <c:pt idx="4">
                  <c:v>3077000</c:v>
                </c:pt>
                <c:pt idx="5">
                  <c:v>2173200</c:v>
                </c:pt>
                <c:pt idx="6">
                  <c:v>5739250</c:v>
                </c:pt>
                <c:pt idx="7">
                  <c:v>3635200</c:v>
                </c:pt>
                <c:pt idx="8">
                  <c:v>0</c:v>
                </c:pt>
                <c:pt idx="9">
                  <c:v>80500</c:v>
                </c:pt>
                <c:pt idx="10">
                  <c:v>6948455</c:v>
                </c:pt>
                <c:pt idx="11">
                  <c:v>0</c:v>
                </c:pt>
                <c:pt idx="12">
                  <c:v>0</c:v>
                </c:pt>
                <c:pt idx="13">
                  <c:v>7715387.833333334</c:v>
                </c:pt>
                <c:pt idx="14">
                  <c:v>7158326.7999999998</c:v>
                </c:pt>
                <c:pt idx="15">
                  <c:v>2876800</c:v>
                </c:pt>
                <c:pt idx="16">
                  <c:v>2624035.3125</c:v>
                </c:pt>
                <c:pt idx="17">
                  <c:v>0</c:v>
                </c:pt>
                <c:pt idx="18">
                  <c:v>3839000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5410-45E7-85ED-60DE2BBA9E62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8-5410-45E7-85ED-60DE2BBA9E6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A-5410-45E7-85ED-60DE2BBA9E6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C-5410-45E7-85ED-60DE2BBA9E6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E-5410-45E7-85ED-60DE2BBA9E6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0-5410-45E7-85ED-60DE2BBA9E6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2-5410-45E7-85ED-60DE2BBA9E6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4-5410-45E7-85ED-60DE2BBA9E6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6-5410-45E7-85ED-60DE2BBA9E6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8-5410-45E7-85ED-60DE2BBA9E6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A-5410-45E7-85ED-60DE2BBA9E6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C-5410-45E7-85ED-60DE2BBA9E6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E-5410-45E7-85ED-60DE2BBA9E6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0-5410-45E7-85ED-60DE2BBA9E62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2-5410-45E7-85ED-60DE2BBA9E62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4-5410-45E7-85ED-60DE2BBA9E62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6-5410-45E7-85ED-60DE2BBA9E62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8-5410-45E7-85ED-60DE2BBA9E62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A-5410-45E7-85ED-60DE2BBA9E62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C-5410-45E7-85ED-60DE2BBA9E62}"/>
              </c:ext>
            </c:extLst>
          </c:dPt>
          <c:cat>
            <c:strRef>
              <c:f>'[45]2025'!$BA$2:$BA$20</c:f>
              <c:strCache>
                <c:ptCount val="19"/>
                <c:pt idx="0">
                  <c:v>PICADA</c:v>
                </c:pt>
                <c:pt idx="1">
                  <c:v>ALEMANA</c:v>
                </c:pt>
                <c:pt idx="2">
                  <c:v>ALIMENTACION</c:v>
                </c:pt>
                <c:pt idx="3">
                  <c:v>REFORCE</c:v>
                </c:pt>
                <c:pt idx="4">
                  <c:v>CANASTA</c:v>
                </c:pt>
                <c:pt idx="5">
                  <c:v>TRAMO</c:v>
                </c:pt>
                <c:pt idx="6">
                  <c:v>TURNO</c:v>
                </c:pt>
                <c:pt idx="7">
                  <c:v>METRO DE roca</c:v>
                </c:pt>
                <c:pt idx="8">
                  <c:v>COCHE ROCA</c:v>
                </c:pt>
                <c:pt idx="9">
                  <c:v>limpieza de escaleras</c:v>
                </c:pt>
                <c:pt idx="10">
                  <c:v>coches guayados</c:v>
                </c:pt>
                <c:pt idx="11">
                  <c:v>metro despate</c:v>
                </c:pt>
                <c:pt idx="12">
                  <c:v>ARCO DE ACERO</c:v>
                </c:pt>
                <c:pt idx="13">
                  <c:v>MALACATEROS</c:v>
                </c:pt>
                <c:pt idx="14">
                  <c:v>PATIEROS</c:v>
                </c:pt>
                <c:pt idx="15">
                  <c:v>SOLDADORES</c:v>
                </c:pt>
                <c:pt idx="16">
                  <c:v>PAJARITA</c:v>
                </c:pt>
                <c:pt idx="17">
                  <c:v>OTROS(TURNOS)</c:v>
                </c:pt>
                <c:pt idx="18">
                  <c:v>BONIFICACION</c:v>
                </c:pt>
              </c:strCache>
            </c:strRef>
          </c:cat>
          <c:val>
            <c:numRef>
              <c:f>'[45]2025'!$BC$2:$BC$20</c:f>
              <c:numCache>
                <c:formatCode>General</c:formatCode>
                <c:ptCount val="19"/>
                <c:pt idx="0">
                  <c:v>44.906147599583939</c:v>
                </c:pt>
                <c:pt idx="1">
                  <c:v>4.3415588835428434</c:v>
                </c:pt>
                <c:pt idx="2">
                  <c:v>11.675618046770055</c:v>
                </c:pt>
                <c:pt idx="3">
                  <c:v>1.7628946702446144</c:v>
                </c:pt>
                <c:pt idx="4">
                  <c:v>2.5031965391521362</c:v>
                </c:pt>
                <c:pt idx="5">
                  <c:v>1.7679384851756328</c:v>
                </c:pt>
                <c:pt idx="6">
                  <c:v>4.6689862649752669</c:v>
                </c:pt>
                <c:pt idx="7">
                  <c:v>2.9573025866512332</c:v>
                </c:pt>
                <c:pt idx="8">
                  <c:v>0</c:v>
                </c:pt>
                <c:pt idx="9">
                  <c:v>6.5488242249511525E-2</c:v>
                </c:pt>
                <c:pt idx="10">
                  <c:v>5.6526969478239701</c:v>
                </c:pt>
                <c:pt idx="11">
                  <c:v>0</c:v>
                </c:pt>
                <c:pt idx="12">
                  <c:v>0</c:v>
                </c:pt>
                <c:pt idx="13">
                  <c:v>6.2766110245747475</c:v>
                </c:pt>
                <c:pt idx="14">
                  <c:v>5.823431547572306</c:v>
                </c:pt>
                <c:pt idx="15">
                  <c:v>2.3403301279924813</c:v>
                </c:pt>
                <c:pt idx="16">
                  <c:v>2.1347013691462444</c:v>
                </c:pt>
                <c:pt idx="17">
                  <c:v>0</c:v>
                </c:pt>
                <c:pt idx="18">
                  <c:v>3.1230976645450279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5410-45E7-85ED-60DE2BBA9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NOMINA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'ENERO 2026'!$C$19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40-45A0-A93F-C03B52DFB9AB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40-45A0-A93F-C03B52DFB9AB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40-45A0-A93F-C03B52DFB9AB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F40-45A0-A93F-C03B52DFB9AB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F40-45A0-A93F-C03B52DFB9A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'ENERO 2026'!$B$20:$B$24</c:f>
              <c:strCache>
                <c:ptCount val="5"/>
                <c:pt idx="0">
                  <c:v>NOMINA OPERATIVA BAJO TIERRA</c:v>
                </c:pt>
                <c:pt idx="1">
                  <c:v>ADMINISTRADORES OPERATIVOS</c:v>
                </c:pt>
                <c:pt idx="2">
                  <c:v>PERSONAL ADTIVO MANTENIMIENTO</c:v>
                </c:pt>
                <c:pt idx="3">
                  <c:v>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'ENERO 2026'!$C$20:$C$24</c:f>
              <c:numCache>
                <c:formatCode>[$$-240A]\ #,##0;\-[$$-240A]\ #,##0</c:formatCode>
                <c:ptCount val="5"/>
                <c:pt idx="0" formatCode="&quot;$&quot;\ #,##0">
                  <c:v>108866744.07059583</c:v>
                </c:pt>
                <c:pt idx="1">
                  <c:v>12363140.9552</c:v>
                </c:pt>
                <c:pt idx="2">
                  <c:v>3318380.3183999998</c:v>
                </c:pt>
                <c:pt idx="3">
                  <c:v>28117260.401999999</c:v>
                </c:pt>
                <c:pt idx="4">
                  <c:v>21581421.745728001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29-4757-B45B-F41881BB0F86}"/>
            </c:ext>
          </c:extLst>
        </c:ser>
        <c:ser>
          <c:idx val="1"/>
          <c:order val="1"/>
          <c:tx>
            <c:strRef>
              <c:f>'ENERO 2026'!$D$19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F40-45A0-A93F-C03B52DFB9AB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F40-45A0-A93F-C03B52DFB9AB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F40-45A0-A93F-C03B52DFB9AB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F40-45A0-A93F-C03B52DFB9AB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F40-45A0-A93F-C03B52DFB9A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'ENERO 2026'!$B$20:$B$24</c:f>
              <c:strCache>
                <c:ptCount val="5"/>
                <c:pt idx="0">
                  <c:v>NOMINA OPERATIVA BAJO TIERRA</c:v>
                </c:pt>
                <c:pt idx="1">
                  <c:v>ADMINISTRADORES OPERATIVOS</c:v>
                </c:pt>
                <c:pt idx="2">
                  <c:v>PERSONAL ADTIVO MANTENIMIENTO</c:v>
                </c:pt>
                <c:pt idx="3">
                  <c:v>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'ENERO 2026'!$D$20:$D$24</c:f>
              <c:numCache>
                <c:formatCode>0%</c:formatCode>
                <c:ptCount val="5"/>
                <c:pt idx="0">
                  <c:v>0.6247842251333654</c:v>
                </c:pt>
                <c:pt idx="1">
                  <c:v>7.0951836649953484E-2</c:v>
                </c:pt>
                <c:pt idx="2" formatCode="0.00%">
                  <c:v>1.9044123103240038E-2</c:v>
                </c:pt>
                <c:pt idx="3" formatCode="0.00%">
                  <c:v>0.16136443597270597</c:v>
                </c:pt>
                <c:pt idx="4" formatCode="0.00%">
                  <c:v>0.12385537914073519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29-4757-B45B-F41881BB0F8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SEGURIDAD SOCIAL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'ENERO 2026'!$L$19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B0F-4331-94B9-36EAB60D114B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B0F-4331-94B9-36EAB60D114B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B0F-4331-94B9-36EAB60D114B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B0F-4331-94B9-36EAB60D114B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B0F-4331-94B9-36EAB60D11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'ENERO 2026'!$K$20:$K$24</c:f>
              <c:strCache>
                <c:ptCount val="5"/>
                <c:pt idx="0">
                  <c:v>SEG SOCIAL OPERATIVA BAJO TIERRA</c:v>
                </c:pt>
                <c:pt idx="1">
                  <c:v>SEG SOCIAL ADMINISTRADORES OPERATIVOS</c:v>
                </c:pt>
                <c:pt idx="2">
                  <c:v>SEG SOCIAL PERSONAL ADTIVO MANTENIMIENTO</c:v>
                </c:pt>
                <c:pt idx="3">
                  <c:v>SEG SOCIAL 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'ENERO 2026'!$L$20:$L$24</c:f>
              <c:numCache>
                <c:formatCode>[$$-240A]\ #,##0;\-[$$-240A]\ #,##0</c:formatCode>
                <c:ptCount val="5"/>
                <c:pt idx="0" formatCode="&quot;$&quot;\ #,##0">
                  <c:v>26069691</c:v>
                </c:pt>
                <c:pt idx="1">
                  <c:v>1372089</c:v>
                </c:pt>
                <c:pt idx="2">
                  <c:v>457363</c:v>
                </c:pt>
                <c:pt idx="3">
                  <c:v>3658904</c:v>
                </c:pt>
                <c:pt idx="4">
                  <c:v>6920400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62-415C-ACDE-F5D3C7B4DD11}"/>
            </c:ext>
          </c:extLst>
        </c:ser>
        <c:ser>
          <c:idx val="1"/>
          <c:order val="1"/>
          <c:tx>
            <c:strRef>
              <c:f>'ENERO 2026'!$M$19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B0F-4331-94B9-36EAB60D114B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B0F-4331-94B9-36EAB60D114B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B0F-4331-94B9-36EAB60D114B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B0F-4331-94B9-36EAB60D114B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B0F-4331-94B9-36EAB60D11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'ENERO 2026'!$K$20:$K$24</c:f>
              <c:strCache>
                <c:ptCount val="5"/>
                <c:pt idx="0">
                  <c:v>SEG SOCIAL OPERATIVA BAJO TIERRA</c:v>
                </c:pt>
                <c:pt idx="1">
                  <c:v>SEG SOCIAL ADMINISTRADORES OPERATIVOS</c:v>
                </c:pt>
                <c:pt idx="2">
                  <c:v>SEG SOCIAL PERSONAL ADTIVO MANTENIMIENTO</c:v>
                </c:pt>
                <c:pt idx="3">
                  <c:v>SEG SOCIAL 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'ENERO 2026'!$M$20:$M$24</c:f>
              <c:numCache>
                <c:formatCode>0%</c:formatCode>
                <c:ptCount val="5"/>
                <c:pt idx="0">
                  <c:v>0.67751411588934451</c:v>
                </c:pt>
                <c:pt idx="1">
                  <c:v>3.5658637678386555E-2</c:v>
                </c:pt>
                <c:pt idx="2" formatCode="0.00%">
                  <c:v>1.1886212559462183E-2</c:v>
                </c:pt>
                <c:pt idx="3" formatCode="0.00%">
                  <c:v>9.5089700475697467E-2</c:v>
                </c:pt>
                <c:pt idx="4" formatCode="0.00%">
                  <c:v>0.17985133339710929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62-415C-ACDE-F5D3C7B4DD1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PRESTACIONES SOCIALES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2777777777777778E-2"/>
          <c:y val="0.13412037037037036"/>
          <c:w val="0.58961964129483813"/>
          <c:h val="0.75476851851851856"/>
        </c:manualLayout>
      </c:layout>
      <c:pie3DChart>
        <c:varyColors val="1"/>
        <c:ser>
          <c:idx val="0"/>
          <c:order val="0"/>
          <c:tx>
            <c:strRef>
              <c:f>'ENERO 2026'!$C$53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C695-4395-998D-160998A940CE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C695-4395-998D-160998A940CE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C695-4395-998D-160998A940CE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C695-4395-998D-160998A940CE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C695-4395-998D-160998A940C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'ENERO 2026'!$B$54:$B$58</c:f>
              <c:strCache>
                <c:ptCount val="5"/>
                <c:pt idx="0">
                  <c:v>PRESTACIONES SOCIALES  OPERATIVA BAJO TIERRA</c:v>
                </c:pt>
                <c:pt idx="1">
                  <c:v>PRESTACIONES SOCIALES ADMINISTRADORES OPERATIVOS</c:v>
                </c:pt>
                <c:pt idx="2">
                  <c:v>PRESTACIONES SOCIALES PERSONAL ADTIVO MANTENIMIENTO</c:v>
                </c:pt>
                <c:pt idx="3">
                  <c:v>PRESTACIONES SOCIALES PERSONAL ADMINISTRATIVO</c:v>
                </c:pt>
                <c:pt idx="4">
                  <c:v>PRESTACIONES SOCIALES ALTA GERENCIA</c:v>
                </c:pt>
              </c:strCache>
            </c:strRef>
          </c:cat>
          <c:val>
            <c:numRef>
              <c:f>'ENERO 2026'!$C$54:$C$58</c:f>
              <c:numCache>
                <c:formatCode>[$$-240A]\ #,##0;\-[$$-240A]\ #,##0</c:formatCode>
                <c:ptCount val="5"/>
                <c:pt idx="0" formatCode="&quot;$&quot;\ #,##0">
                  <c:v>24059257</c:v>
                </c:pt>
                <c:pt idx="1">
                  <c:v>1146647</c:v>
                </c:pt>
                <c:pt idx="2">
                  <c:v>282216</c:v>
                </c:pt>
                <c:pt idx="3">
                  <c:v>1764912</c:v>
                </c:pt>
                <c:pt idx="4">
                  <c:v>4711138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48-48FB-8F1A-8692C1137627}"/>
            </c:ext>
          </c:extLst>
        </c:ser>
        <c:ser>
          <c:idx val="1"/>
          <c:order val="1"/>
          <c:tx>
            <c:strRef>
              <c:f>'ENERO 2026'!$D$53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C695-4395-998D-160998A940CE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C695-4395-998D-160998A940CE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C695-4395-998D-160998A940CE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C695-4395-998D-160998A940CE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C695-4395-998D-160998A940C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'ENERO 2026'!$B$54:$B$58</c:f>
              <c:strCache>
                <c:ptCount val="5"/>
                <c:pt idx="0">
                  <c:v>PRESTACIONES SOCIALES  OPERATIVA BAJO TIERRA</c:v>
                </c:pt>
                <c:pt idx="1">
                  <c:v>PRESTACIONES SOCIALES ADMINISTRADORES OPERATIVOS</c:v>
                </c:pt>
                <c:pt idx="2">
                  <c:v>PRESTACIONES SOCIALES PERSONAL ADTIVO MANTENIMIENTO</c:v>
                </c:pt>
                <c:pt idx="3">
                  <c:v>PRESTACIONES SOCIALES PERSONAL ADMINISTRATIVO</c:v>
                </c:pt>
                <c:pt idx="4">
                  <c:v>PRESTACIONES SOCIALES ALTA GERENCIA</c:v>
                </c:pt>
              </c:strCache>
            </c:strRef>
          </c:cat>
          <c:val>
            <c:numRef>
              <c:f>'ENERO 2026'!$D$54:$D$58</c:f>
              <c:numCache>
                <c:formatCode>0%</c:formatCode>
                <c:ptCount val="5"/>
                <c:pt idx="0">
                  <c:v>0.75269456394456669</c:v>
                </c:pt>
                <c:pt idx="1">
                  <c:v>3.5872885171115032E-2</c:v>
                </c:pt>
                <c:pt idx="2" formatCode="0.00%">
                  <c:v>8.8291358730728815E-3</c:v>
                </c:pt>
                <c:pt idx="3" formatCode="0.00%">
                  <c:v>5.5215323907988223E-2</c:v>
                </c:pt>
                <c:pt idx="4" formatCode="0.00%">
                  <c:v>0.14738809110325718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48-48FB-8F1A-8692C113762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7224-4A8B-830F-BD1E77BB94E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7224-4A8B-830F-BD1E77BB94E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7224-4A8B-830F-BD1E77BB94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'ENERO 2026'!$B$90:$B$92</c:f>
              <c:strCache>
                <c:ptCount val="3"/>
                <c:pt idx="0">
                  <c:v>NOMINA MES DE ENERO</c:v>
                </c:pt>
                <c:pt idx="1">
                  <c:v>PRESTACIONES SOCIALES</c:v>
                </c:pt>
                <c:pt idx="2">
                  <c:v>SEGURIDAD SOCIAL</c:v>
                </c:pt>
              </c:strCache>
            </c:strRef>
          </c:cat>
          <c:val>
            <c:numRef>
              <c:f>'ENERO 2026'!$C$90:$C$92</c:f>
              <c:numCache>
                <c:formatCode>[$$-240A]\ #,##0;\-[$$-240A]\ #,##0</c:formatCode>
                <c:ptCount val="3"/>
                <c:pt idx="0">
                  <c:v>174246947.49192381</c:v>
                </c:pt>
                <c:pt idx="1">
                  <c:v>31964170</c:v>
                </c:pt>
                <c:pt idx="2">
                  <c:v>38478447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52-4A21-B310-C4773B7047EC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7224-4A8B-830F-BD1E77BB94E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7224-4A8B-830F-BD1E77BB94E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7224-4A8B-830F-BD1E77BB94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'ENERO 2026'!$B$90:$B$92</c:f>
              <c:strCache>
                <c:ptCount val="3"/>
                <c:pt idx="0">
                  <c:v>NOMINA MES DE ENERO</c:v>
                </c:pt>
                <c:pt idx="1">
                  <c:v>PRESTACIONES SOCIALES</c:v>
                </c:pt>
                <c:pt idx="2">
                  <c:v>SEGURIDAD SOCIAL</c:v>
                </c:pt>
              </c:strCache>
            </c:strRef>
          </c:cat>
          <c:val>
            <c:numRef>
              <c:f>'ENERO 2026'!$D$90:$D$92</c:f>
              <c:numCache>
                <c:formatCode>0%</c:formatCode>
                <c:ptCount val="3"/>
                <c:pt idx="0">
                  <c:v>0.71211433905541555</c:v>
                </c:pt>
                <c:pt idx="1">
                  <c:v>0.13063152107189682</c:v>
                </c:pt>
                <c:pt idx="2">
                  <c:v>0.1572541398726876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52-4A21-B310-C4773B7047E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NOMINA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'FEBRERO 2026'!$C$19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D7B-4A93-9BD5-27976716DF8A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7B-4A93-9BD5-27976716DF8A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D7B-4A93-9BD5-27976716DF8A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D7B-4A93-9BD5-27976716DF8A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D7B-4A93-9BD5-27976716DF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'FEBRERO 2026'!$B$20:$B$24</c:f>
              <c:strCache>
                <c:ptCount val="5"/>
                <c:pt idx="0">
                  <c:v>NOMINA OPERATIVA BAJO TIERRA</c:v>
                </c:pt>
                <c:pt idx="1">
                  <c:v>ADMINISTRADORES OPERATIVOS</c:v>
                </c:pt>
                <c:pt idx="2">
                  <c:v>PERSONAL ADTIVO MANTENIMIENTO</c:v>
                </c:pt>
                <c:pt idx="3">
                  <c:v>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'FEBRERO 2026'!$C$20:$C$24</c:f>
              <c:numCache>
                <c:formatCode>[$$-240A]\ #,##0;\-[$$-240A]\ #,##0</c:formatCode>
                <c:ptCount val="5"/>
                <c:pt idx="0" formatCode="&quot;$&quot;\ #,##0">
                  <c:v>134161457.14583333</c:v>
                </c:pt>
                <c:pt idx="1">
                  <c:v>11080140.9552</c:v>
                </c:pt>
                <c:pt idx="2">
                  <c:v>4977570.4775999999</c:v>
                </c:pt>
                <c:pt idx="3">
                  <c:v>26967072.354000002</c:v>
                </c:pt>
                <c:pt idx="4">
                  <c:v>21581421.745728001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D7B-4A93-9BD5-27976716DF8A}"/>
            </c:ext>
          </c:extLst>
        </c:ser>
        <c:ser>
          <c:idx val="1"/>
          <c:order val="1"/>
          <c:tx>
            <c:strRef>
              <c:f>'FEBRERO 2026'!$D$19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7D7B-4A93-9BD5-27976716DF8A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7D7B-4A93-9BD5-27976716DF8A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7D7B-4A93-9BD5-27976716DF8A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7D7B-4A93-9BD5-27976716DF8A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7D7B-4A93-9BD5-27976716DF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'FEBRERO 2026'!$B$20:$B$24</c:f>
              <c:strCache>
                <c:ptCount val="5"/>
                <c:pt idx="0">
                  <c:v>NOMINA OPERATIVA BAJO TIERRA</c:v>
                </c:pt>
                <c:pt idx="1">
                  <c:v>ADMINISTRADORES OPERATIVOS</c:v>
                </c:pt>
                <c:pt idx="2">
                  <c:v>PERSONAL ADTIVO MANTENIMIENTO</c:v>
                </c:pt>
                <c:pt idx="3">
                  <c:v>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'FEBRERO 2026'!$D$20:$D$24</c:f>
              <c:numCache>
                <c:formatCode>0%</c:formatCode>
                <c:ptCount val="5"/>
                <c:pt idx="0">
                  <c:v>0.674966216023421</c:v>
                </c:pt>
                <c:pt idx="1">
                  <c:v>5.5744182961639403E-2</c:v>
                </c:pt>
                <c:pt idx="2" formatCode="0.00%">
                  <c:v>2.5042154294758319E-2</c:v>
                </c:pt>
                <c:pt idx="3" formatCode="0.00%">
                  <c:v>0.13567132596229772</c:v>
                </c:pt>
                <c:pt idx="4" formatCode="0.00%">
                  <c:v>0.10857612075788342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D7B-4A93-9BD5-27976716DF8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SEGURIDAD SOCIAL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'FEBRERO 2026'!$L$19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00D-492A-82BF-F083EC388A30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00D-492A-82BF-F083EC388A30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00D-492A-82BF-F083EC388A30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00D-492A-82BF-F083EC388A30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00D-492A-82BF-F083EC388A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'FEBRERO 2026'!$K$20:$K$24</c:f>
              <c:strCache>
                <c:ptCount val="5"/>
                <c:pt idx="0">
                  <c:v>SEG SOCIAL OPERATIVA BAJO TIERRA</c:v>
                </c:pt>
                <c:pt idx="1">
                  <c:v>SEG SOCIAL ADMINISTRADORES OPERATIVOS</c:v>
                </c:pt>
                <c:pt idx="2">
                  <c:v>SEG SOCIAL PERSONAL ADTIVO MANTENIMIENTO</c:v>
                </c:pt>
                <c:pt idx="3">
                  <c:v>SEG SOCIAL 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'FEBRERO 2026'!$L$20:$L$24</c:f>
              <c:numCache>
                <c:formatCode>[$$-240A]\ #,##0;\-[$$-240A]\ #,##0</c:formatCode>
                <c:ptCount val="5"/>
                <c:pt idx="0" formatCode="&quot;$&quot;\ #,##0">
                  <c:v>29166105.07</c:v>
                </c:pt>
                <c:pt idx="1">
                  <c:v>1434398.6099999999</c:v>
                </c:pt>
                <c:pt idx="2">
                  <c:v>478132.87</c:v>
                </c:pt>
                <c:pt idx="3">
                  <c:v>3825062.96</c:v>
                </c:pt>
                <c:pt idx="4">
                  <c:v>6920400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00D-492A-82BF-F083EC388A30}"/>
            </c:ext>
          </c:extLst>
        </c:ser>
        <c:ser>
          <c:idx val="1"/>
          <c:order val="1"/>
          <c:tx>
            <c:strRef>
              <c:f>'FEBRERO 2026'!$M$19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200D-492A-82BF-F083EC388A30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200D-492A-82BF-F083EC388A30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200D-492A-82BF-F083EC388A30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200D-492A-82BF-F083EC388A30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200D-492A-82BF-F083EC388A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'FEBRERO 2026'!$K$20:$K$24</c:f>
              <c:strCache>
                <c:ptCount val="5"/>
                <c:pt idx="0">
                  <c:v>SEG SOCIAL OPERATIVA BAJO TIERRA</c:v>
                </c:pt>
                <c:pt idx="1">
                  <c:v>SEG SOCIAL ADMINISTRADORES OPERATIVOS</c:v>
                </c:pt>
                <c:pt idx="2">
                  <c:v>SEG SOCIAL PERSONAL ADTIVO MANTENIMIENTO</c:v>
                </c:pt>
                <c:pt idx="3">
                  <c:v>SEG SOCIAL 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'FEBRERO 2026'!$M$20:$M$24</c:f>
              <c:numCache>
                <c:formatCode>0%</c:formatCode>
                <c:ptCount val="5"/>
                <c:pt idx="0">
                  <c:v>0.69735165638238028</c:v>
                </c:pt>
                <c:pt idx="1">
                  <c:v>3.4295983100772802E-2</c:v>
                </c:pt>
                <c:pt idx="2" formatCode="0.00%">
                  <c:v>1.1431994366924268E-2</c:v>
                </c:pt>
                <c:pt idx="3" formatCode="0.00%">
                  <c:v>9.1455954935394143E-2</c:v>
                </c:pt>
                <c:pt idx="4" formatCode="0.00%">
                  <c:v>0.16546441121452851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00D-492A-82BF-F083EC388A3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PRESTACIONES SOCIALES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2777777777777778E-2"/>
          <c:y val="0.13412037037037036"/>
          <c:w val="0.58961964129483813"/>
          <c:h val="0.75476851851851856"/>
        </c:manualLayout>
      </c:layout>
      <c:pie3DChart>
        <c:varyColors val="1"/>
        <c:ser>
          <c:idx val="0"/>
          <c:order val="0"/>
          <c:tx>
            <c:strRef>
              <c:f>'FEBRERO 2026'!$C$53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540D-4179-871D-B3CC334A2E17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540D-4179-871D-B3CC334A2E17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540D-4179-871D-B3CC334A2E17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540D-4179-871D-B3CC334A2E17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540D-4179-871D-B3CC334A2E1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'FEBRERO 2026'!$B$54:$B$58</c:f>
              <c:strCache>
                <c:ptCount val="5"/>
                <c:pt idx="0">
                  <c:v>PRESTACIONES SOCIALES  OPERATIVA BAJO TIERRA</c:v>
                </c:pt>
                <c:pt idx="1">
                  <c:v>PRESTACIONES SOCIALES ADMINISTRADORES OPERATIVOS</c:v>
                </c:pt>
                <c:pt idx="2">
                  <c:v>PRESTACIONES SOCIALES PERSONAL ADTIVO MANTENIMIENTO</c:v>
                </c:pt>
                <c:pt idx="3">
                  <c:v>PRESTACIONES SOCIALES PERSONAL ADMINISTRATIVO</c:v>
                </c:pt>
                <c:pt idx="4">
                  <c:v>PRESTACIONES SOCIALES ALTA GERENCIA</c:v>
                </c:pt>
              </c:strCache>
            </c:strRef>
          </c:cat>
          <c:val>
            <c:numRef>
              <c:f>'FEBRERO 2026'!$C$54:$C$58</c:f>
              <c:numCache>
                <c:formatCode>[$$-240A]\ #,##0;\-[$$-240A]\ #,##0</c:formatCode>
                <c:ptCount val="5"/>
                <c:pt idx="0" formatCode="&quot;$&quot;\ #,##0">
                  <c:v>19773244.694527984</c:v>
                </c:pt>
                <c:pt idx="1">
                  <c:v>1146646.6736399999</c:v>
                </c:pt>
                <c:pt idx="2">
                  <c:v>382215.55787999998</c:v>
                </c:pt>
                <c:pt idx="3">
                  <c:v>3220382.9249280002</c:v>
                </c:pt>
                <c:pt idx="4">
                  <c:v>4711138.0969120003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40D-4179-871D-B3CC334A2E17}"/>
            </c:ext>
          </c:extLst>
        </c:ser>
        <c:ser>
          <c:idx val="1"/>
          <c:order val="1"/>
          <c:tx>
            <c:strRef>
              <c:f>'FEBRERO 2026'!$D$53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540D-4179-871D-B3CC334A2E17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540D-4179-871D-B3CC334A2E17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0-540D-4179-871D-B3CC334A2E17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2-540D-4179-871D-B3CC334A2E17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4-540D-4179-871D-B3CC334A2E1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'FEBRERO 2026'!$B$54:$B$58</c:f>
              <c:strCache>
                <c:ptCount val="5"/>
                <c:pt idx="0">
                  <c:v>PRESTACIONES SOCIALES  OPERATIVA BAJO TIERRA</c:v>
                </c:pt>
                <c:pt idx="1">
                  <c:v>PRESTACIONES SOCIALES ADMINISTRADORES OPERATIVOS</c:v>
                </c:pt>
                <c:pt idx="2">
                  <c:v>PRESTACIONES SOCIALES PERSONAL ADTIVO MANTENIMIENTO</c:v>
                </c:pt>
                <c:pt idx="3">
                  <c:v>PRESTACIONES SOCIALES PERSONAL ADMINISTRATIVO</c:v>
                </c:pt>
                <c:pt idx="4">
                  <c:v>PRESTACIONES SOCIALES ALTA GERENCIA</c:v>
                </c:pt>
              </c:strCache>
            </c:strRef>
          </c:cat>
          <c:val>
            <c:numRef>
              <c:f>'FEBRERO 2026'!$D$54:$D$58</c:f>
              <c:numCache>
                <c:formatCode>0%</c:formatCode>
                <c:ptCount val="5"/>
                <c:pt idx="0">
                  <c:v>0.67638695853199859</c:v>
                </c:pt>
                <c:pt idx="1">
                  <c:v>3.922355021019007E-2</c:v>
                </c:pt>
                <c:pt idx="2" formatCode="0.00%">
                  <c:v>1.3074516736730022E-2</c:v>
                </c:pt>
                <c:pt idx="3" formatCode="0.00%">
                  <c:v>0.11016022132691404</c:v>
                </c:pt>
                <c:pt idx="4" formatCode="0.00%">
                  <c:v>0.16115475319416733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540D-4179-871D-B3CC334A2E1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FEBRERO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7314-477B-A738-3DE6A5666EE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7314-477B-A738-3DE6A5666EE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7314-477B-A738-3DE6A5666E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'FEBRERO 2026'!$B$92:$B$94</c:f>
              <c:strCache>
                <c:ptCount val="3"/>
                <c:pt idx="0">
                  <c:v>NOMINA MES DE FEBRERO</c:v>
                </c:pt>
                <c:pt idx="1">
                  <c:v>PRESTACIONES SOCIALES</c:v>
                </c:pt>
                <c:pt idx="2">
                  <c:v>SEGURIDAD SOCIAL</c:v>
                </c:pt>
              </c:strCache>
            </c:strRef>
          </c:cat>
          <c:val>
            <c:numRef>
              <c:f>'FEBRERO 2026'!$C$92:$C$94</c:f>
              <c:numCache>
                <c:formatCode>[$$-240A]\ #,##0;\-[$$-240A]\ #,##0</c:formatCode>
                <c:ptCount val="3"/>
                <c:pt idx="0">
                  <c:v>198767662.67836136</c:v>
                </c:pt>
                <c:pt idx="1">
                  <c:v>29233627.947887983</c:v>
                </c:pt>
                <c:pt idx="2">
                  <c:v>41824099.509999998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80-4FCD-B001-B5C6B2ABC688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7314-477B-A738-3DE6A5666EE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7314-477B-A738-3DE6A5666EE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7314-477B-A738-3DE6A5666E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'FEBRERO 2026'!$B$92:$B$94</c:f>
              <c:strCache>
                <c:ptCount val="3"/>
                <c:pt idx="0">
                  <c:v>NOMINA MES DE FEBRERO</c:v>
                </c:pt>
                <c:pt idx="1">
                  <c:v>PRESTACIONES SOCIALES</c:v>
                </c:pt>
                <c:pt idx="2">
                  <c:v>SEGURIDAD SOCIAL</c:v>
                </c:pt>
              </c:strCache>
            </c:strRef>
          </c:cat>
          <c:val>
            <c:numRef>
              <c:f>'FEBRERO 2026'!$D$92:$D$94</c:f>
              <c:numCache>
                <c:formatCode>0%</c:formatCode>
                <c:ptCount val="3"/>
                <c:pt idx="0">
                  <c:v>0.73665292424109108</c:v>
                </c:pt>
                <c:pt idx="1">
                  <c:v>0.10834276171388597</c:v>
                </c:pt>
                <c:pt idx="2">
                  <c:v>0.15500431404502282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80-4FCD-B001-B5C6B2ABC68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NOMINA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'MARZO 2026'!$C$19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E02-4965-8262-64FAC57AE994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E02-4965-8262-64FAC57AE994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E02-4965-8262-64FAC57AE994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E02-4965-8262-64FAC57AE994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E02-4965-8262-64FAC57AE9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'MARZO 2026'!$B$20:$B$24</c:f>
              <c:strCache>
                <c:ptCount val="5"/>
                <c:pt idx="0">
                  <c:v>NOMINA OPERATIVA BAJO TIERRA</c:v>
                </c:pt>
                <c:pt idx="1">
                  <c:v>ADMINISTRADORES OPERATIVOS</c:v>
                </c:pt>
                <c:pt idx="2">
                  <c:v>PERSONAL ADTIVO MANTENIMIENTO</c:v>
                </c:pt>
                <c:pt idx="3">
                  <c:v>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'MARZO 2026'!$C$20:$C$24</c:f>
              <c:numCache>
                <c:formatCode>[$$-240A]\ #,##0;\-[$$-240A]\ #,##0</c:formatCode>
                <c:ptCount val="5"/>
                <c:pt idx="0" formatCode="&quot;$&quot;\ #,##0">
                  <c:v>148779917.94822499</c:v>
                </c:pt>
                <c:pt idx="1">
                  <c:v>11055140.9552</c:v>
                </c:pt>
                <c:pt idx="2">
                  <c:v>4396061.4638399994</c:v>
                </c:pt>
                <c:pt idx="3">
                  <c:v>27931072.354000002</c:v>
                </c:pt>
                <c:pt idx="4">
                  <c:v>21581421.745728001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E02-4965-8262-64FAC57AE994}"/>
            </c:ext>
          </c:extLst>
        </c:ser>
        <c:ser>
          <c:idx val="1"/>
          <c:order val="1"/>
          <c:tx>
            <c:strRef>
              <c:f>'MARZO 2026'!$D$19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4E02-4965-8262-64FAC57AE994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4E02-4965-8262-64FAC57AE994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4E02-4965-8262-64FAC57AE994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4E02-4965-8262-64FAC57AE994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4E02-4965-8262-64FAC57AE9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'MARZO 2026'!$B$20:$B$24</c:f>
              <c:strCache>
                <c:ptCount val="5"/>
                <c:pt idx="0">
                  <c:v>NOMINA OPERATIVA BAJO TIERRA</c:v>
                </c:pt>
                <c:pt idx="1">
                  <c:v>ADMINISTRADORES OPERATIVOS</c:v>
                </c:pt>
                <c:pt idx="2">
                  <c:v>PERSONAL ADTIVO MANTENIMIENTO</c:v>
                </c:pt>
                <c:pt idx="3">
                  <c:v>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'MARZO 2026'!$D$20:$D$24</c:f>
              <c:numCache>
                <c:formatCode>0%</c:formatCode>
                <c:ptCount val="5"/>
                <c:pt idx="0">
                  <c:v>0.69606719395680516</c:v>
                </c:pt>
                <c:pt idx="1">
                  <c:v>5.1721502804974659E-2</c:v>
                </c:pt>
                <c:pt idx="2" formatCode="0.00%">
                  <c:v>2.0566983836229898E-2</c:v>
                </c:pt>
                <c:pt idx="3" formatCode="0.00%">
                  <c:v>0.13067558730889345</c:v>
                </c:pt>
                <c:pt idx="4" formatCode="0.00%">
                  <c:v>0.10096873209309688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4E02-4965-8262-64FAC57AE99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SEGURIDAD SOCIAL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'MARZO 2026'!$L$19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C5-48C4-B4B9-5923F055EFED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C5-48C4-B4B9-5923F055EFED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1C5-48C4-B4B9-5923F055EFED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1C5-48C4-B4B9-5923F055EFED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1C5-48C4-B4B9-5923F055EF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'MARZO 2026'!$K$20:$K$24</c:f>
              <c:strCache>
                <c:ptCount val="5"/>
                <c:pt idx="0">
                  <c:v>SEG SOCIAL OPERATIVA BAJO TIERRA</c:v>
                </c:pt>
                <c:pt idx="1">
                  <c:v>SEG SOCIAL ADMINISTRADORES OPERATIVOS</c:v>
                </c:pt>
                <c:pt idx="2">
                  <c:v>SEG SOCIAL PERSONAL ADTIVO MANTENIMIENTO</c:v>
                </c:pt>
                <c:pt idx="3">
                  <c:v>SEG SOCIAL 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'MARZO 2026'!$L$20:$L$24</c:f>
              <c:numCache>
                <c:formatCode>"$"\ #,##0</c:formatCode>
                <c:ptCount val="5"/>
                <c:pt idx="0">
                  <c:v>32879592.349999998</c:v>
                </c:pt>
                <c:pt idx="1">
                  <c:v>1389278.5499999998</c:v>
                </c:pt>
                <c:pt idx="2">
                  <c:v>926185.7</c:v>
                </c:pt>
                <c:pt idx="3">
                  <c:v>3704742.8</c:v>
                </c:pt>
                <c:pt idx="4" formatCode="[$$-240A]\ #,##0;\-[$$-240A]\ #,##0">
                  <c:v>6903100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C5-48C4-B4B9-5923F055EFED}"/>
            </c:ext>
          </c:extLst>
        </c:ser>
        <c:ser>
          <c:idx val="1"/>
          <c:order val="1"/>
          <c:tx>
            <c:strRef>
              <c:f>'MARZO 2026'!$M$19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D1C5-48C4-B4B9-5923F055EFED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D1C5-48C4-B4B9-5923F055EFED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D1C5-48C4-B4B9-5923F055EFED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D1C5-48C4-B4B9-5923F055EFED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D1C5-48C4-B4B9-5923F055EF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'MARZO 2026'!$K$20:$K$24</c:f>
              <c:strCache>
                <c:ptCount val="5"/>
                <c:pt idx="0">
                  <c:v>SEG SOCIAL OPERATIVA BAJO TIERRA</c:v>
                </c:pt>
                <c:pt idx="1">
                  <c:v>SEG SOCIAL ADMINISTRADORES OPERATIVOS</c:v>
                </c:pt>
                <c:pt idx="2">
                  <c:v>SEG SOCIAL PERSONAL ADTIVO MANTENIMIENTO</c:v>
                </c:pt>
                <c:pt idx="3">
                  <c:v>SEG SOCIAL 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'MARZO 2026'!$M$20:$M$24</c:f>
              <c:numCache>
                <c:formatCode>0%</c:formatCode>
                <c:ptCount val="5"/>
                <c:pt idx="0">
                  <c:v>0.71784958552209033</c:v>
                </c:pt>
                <c:pt idx="1">
                  <c:v>3.0331672627693956E-2</c:v>
                </c:pt>
                <c:pt idx="2" formatCode="0.00%">
                  <c:v>2.0221115085129304E-2</c:v>
                </c:pt>
                <c:pt idx="3" formatCode="0.00%">
                  <c:v>8.0884460340517217E-2</c:v>
                </c:pt>
                <c:pt idx="4" formatCode="0.00%">
                  <c:v>0.15071316642456919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1C5-48C4-B4B9-5923F055EFE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PRESTACIONES SOCIALES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2777777777777778E-2"/>
          <c:y val="0.13412037037037036"/>
          <c:w val="0.58961964129483813"/>
          <c:h val="0.75476851851851856"/>
        </c:manualLayout>
      </c:layout>
      <c:pie3DChart>
        <c:varyColors val="1"/>
        <c:ser>
          <c:idx val="0"/>
          <c:order val="0"/>
          <c:tx>
            <c:strRef>
              <c:f>'MARZO 2026'!$C$53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D665-4090-8A4E-CFB23676C4BE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D665-4090-8A4E-CFB23676C4BE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D665-4090-8A4E-CFB23676C4BE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D665-4090-8A4E-CFB23676C4BE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D665-4090-8A4E-CFB23676C4B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'MARZO 2026'!$B$54:$B$58</c:f>
              <c:strCache>
                <c:ptCount val="5"/>
                <c:pt idx="0">
                  <c:v>PRESTACIONES SOCIALES  OPERATIVA BAJO TIERRA</c:v>
                </c:pt>
                <c:pt idx="1">
                  <c:v>PRESTACIONES SOCIALES ADMINISTRADORES OPERATIVOS</c:v>
                </c:pt>
                <c:pt idx="2">
                  <c:v>PRESTACIONES SOCIALES PERSONAL ADTIVO MANTENIMIENTO</c:v>
                </c:pt>
                <c:pt idx="3">
                  <c:v>PRESTACIONES SOCIALES PERSONAL ADMINISTRATIVO</c:v>
                </c:pt>
                <c:pt idx="4">
                  <c:v>PRESTACIONES SOCIALES ALTA GERENCIA</c:v>
                </c:pt>
              </c:strCache>
            </c:strRef>
          </c:cat>
          <c:val>
            <c:numRef>
              <c:f>'MARZO 2026'!$C$54:$C$58</c:f>
              <c:numCache>
                <c:formatCode>[$$-240A]\ #,##0;\-[$$-240A]\ #,##0</c:formatCode>
                <c:ptCount val="5"/>
                <c:pt idx="0" formatCode="&quot;$&quot;\ #,##0">
                  <c:v>20476099.747791987</c:v>
                </c:pt>
                <c:pt idx="1">
                  <c:v>1146646.6736399999</c:v>
                </c:pt>
                <c:pt idx="2">
                  <c:v>598804.48316000006</c:v>
                </c:pt>
                <c:pt idx="3">
                  <c:v>3792358.8296880005</c:v>
                </c:pt>
                <c:pt idx="4">
                  <c:v>4711138.0969120003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665-4090-8A4E-CFB23676C4BE}"/>
            </c:ext>
          </c:extLst>
        </c:ser>
        <c:ser>
          <c:idx val="1"/>
          <c:order val="1"/>
          <c:tx>
            <c:strRef>
              <c:f>'MARZO 2026'!$D$53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D665-4090-8A4E-CFB23676C4BE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D665-4090-8A4E-CFB23676C4BE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0-D665-4090-8A4E-CFB23676C4BE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2-D665-4090-8A4E-CFB23676C4BE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4-D665-4090-8A4E-CFB23676C4B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'MARZO 2026'!$B$54:$B$58</c:f>
              <c:strCache>
                <c:ptCount val="5"/>
                <c:pt idx="0">
                  <c:v>PRESTACIONES SOCIALES  OPERATIVA BAJO TIERRA</c:v>
                </c:pt>
                <c:pt idx="1">
                  <c:v>PRESTACIONES SOCIALES ADMINISTRADORES OPERATIVOS</c:v>
                </c:pt>
                <c:pt idx="2">
                  <c:v>PRESTACIONES SOCIALES PERSONAL ADTIVO MANTENIMIENTO</c:v>
                </c:pt>
                <c:pt idx="3">
                  <c:v>PRESTACIONES SOCIALES PERSONAL ADMINISTRATIVO</c:v>
                </c:pt>
                <c:pt idx="4">
                  <c:v>PRESTACIONES SOCIALES ALTA GERENCIA</c:v>
                </c:pt>
              </c:strCache>
            </c:strRef>
          </c:cat>
          <c:val>
            <c:numRef>
              <c:f>'MARZO 2026'!$D$54:$D$58</c:f>
              <c:numCache>
                <c:formatCode>0%</c:formatCode>
                <c:ptCount val="5"/>
                <c:pt idx="0">
                  <c:v>0.66643019923974545</c:v>
                </c:pt>
                <c:pt idx="1">
                  <c:v>3.7319605812815924E-2</c:v>
                </c:pt>
                <c:pt idx="2" formatCode="0.00%">
                  <c:v>1.9489131032437167E-2</c:v>
                </c:pt>
                <c:pt idx="3" formatCode="0.00%">
                  <c:v>0.12342889913544765</c:v>
                </c:pt>
                <c:pt idx="4" formatCode="0.00%">
                  <c:v>0.15333216477955372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665-4090-8A4E-CFB23676C4B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MARZO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97CF-42FE-A56B-BAFFA8AF580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97CF-42FE-A56B-BAFFA8AF580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97CF-42FE-A56B-BAFFA8AF58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'MARZO 2026'!$B$93:$B$95</c:f>
              <c:strCache>
                <c:ptCount val="3"/>
                <c:pt idx="0">
                  <c:v>NOMINA MES DE MARZO</c:v>
                </c:pt>
                <c:pt idx="1">
                  <c:v>PRESTACIONES SOCIALES</c:v>
                </c:pt>
                <c:pt idx="2">
                  <c:v>SEGURIDAD SOCIAL</c:v>
                </c:pt>
              </c:strCache>
            </c:strRef>
          </c:cat>
          <c:val>
            <c:numRef>
              <c:f>'MARZO 2026'!$C$93:$C$95</c:f>
              <c:numCache>
                <c:formatCode>[$$-240A]\ #,##0;\-[$$-240A]\ #,##0</c:formatCode>
                <c:ptCount val="3"/>
                <c:pt idx="0">
                  <c:v>213743614.46699297</c:v>
                </c:pt>
                <c:pt idx="1">
                  <c:v>30725047.831191991</c:v>
                </c:pt>
                <c:pt idx="2">
                  <c:v>45802899.399999999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53-4C99-9E36-F126DDB5C76D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97CF-42FE-A56B-BAFFA8AF580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97CF-42FE-A56B-BAFFA8AF580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97CF-42FE-A56B-BAFFA8AF58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'MARZO 2026'!$B$93:$B$95</c:f>
              <c:strCache>
                <c:ptCount val="3"/>
                <c:pt idx="0">
                  <c:v>NOMINA MES DE MARZO</c:v>
                </c:pt>
                <c:pt idx="1">
                  <c:v>PRESTACIONES SOCIALES</c:v>
                </c:pt>
                <c:pt idx="2">
                  <c:v>SEGURIDAD SOCIAL</c:v>
                </c:pt>
              </c:strCache>
            </c:strRef>
          </c:cat>
          <c:val>
            <c:numRef>
              <c:f>'MARZO 2026'!$D$93:$D$95</c:f>
              <c:numCache>
                <c:formatCode>0%</c:formatCode>
                <c:ptCount val="3"/>
                <c:pt idx="0">
                  <c:v>0.73635740689346862</c:v>
                </c:pt>
                <c:pt idx="1">
                  <c:v>0.10584932141281862</c:v>
                </c:pt>
                <c:pt idx="2">
                  <c:v>0.15779327169371274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53-4C99-9E36-F126DDB5C76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NOMINA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'ABRIL 2026'!$C$19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5F-40BA-ACA8-1A4CD45140DC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5F-40BA-ACA8-1A4CD45140DC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45F-40BA-ACA8-1A4CD45140DC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45F-40BA-ACA8-1A4CD45140DC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45F-40BA-ACA8-1A4CD45140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'ABRIL 2026'!$B$20:$B$24</c:f>
              <c:strCache>
                <c:ptCount val="5"/>
                <c:pt idx="0">
                  <c:v>NOMINA OPERATIVA BAJO TIERRA</c:v>
                </c:pt>
                <c:pt idx="1">
                  <c:v>ADMINISTRADORES OPERATIVOS</c:v>
                </c:pt>
                <c:pt idx="2">
                  <c:v>PERSONAL ADTIVO MANTENIMIENTO</c:v>
                </c:pt>
                <c:pt idx="3">
                  <c:v>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'ABRIL 2026'!$C$20:$C$24</c:f>
              <c:numCache>
                <c:formatCode>[$$-240A]\ #,##0;\-[$$-240A]\ #,##0</c:formatCode>
                <c:ptCount val="5"/>
                <c:pt idx="0" formatCode="&quot;$&quot;\ #,##0">
                  <c:v>152908604.62312499</c:v>
                </c:pt>
                <c:pt idx="1">
                  <c:v>12040239.53696</c:v>
                </c:pt>
                <c:pt idx="2">
                  <c:v>4138742.3183999993</c:v>
                </c:pt>
                <c:pt idx="3">
                  <c:v>21255290.06064</c:v>
                </c:pt>
                <c:pt idx="4">
                  <c:v>19854908.006069757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45F-40BA-ACA8-1A4CD45140DC}"/>
            </c:ext>
          </c:extLst>
        </c:ser>
        <c:ser>
          <c:idx val="1"/>
          <c:order val="1"/>
          <c:tx>
            <c:strRef>
              <c:f>'ABRIL 2026'!$D$19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D45F-40BA-ACA8-1A4CD45140DC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D45F-40BA-ACA8-1A4CD45140DC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D45F-40BA-ACA8-1A4CD45140DC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D45F-40BA-ACA8-1A4CD45140DC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D45F-40BA-ACA8-1A4CD45140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'ABRIL 2026'!$B$20:$B$24</c:f>
              <c:strCache>
                <c:ptCount val="5"/>
                <c:pt idx="0">
                  <c:v>NOMINA OPERATIVA BAJO TIERRA</c:v>
                </c:pt>
                <c:pt idx="1">
                  <c:v>ADMINISTRADORES OPERATIVOS</c:v>
                </c:pt>
                <c:pt idx="2">
                  <c:v>PERSONAL ADTIVO MANTENIMIENTO</c:v>
                </c:pt>
                <c:pt idx="3">
                  <c:v>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'ABRIL 2026'!$D$20:$D$24</c:f>
              <c:numCache>
                <c:formatCode>0%</c:formatCode>
                <c:ptCount val="5"/>
                <c:pt idx="0">
                  <c:v>0.7274510763944233</c:v>
                </c:pt>
                <c:pt idx="1">
                  <c:v>5.728052540140461E-2</c:v>
                </c:pt>
                <c:pt idx="2" formatCode="0.00%">
                  <c:v>1.9689752331857359E-2</c:v>
                </c:pt>
                <c:pt idx="3" formatCode="0.00%">
                  <c:v>0.10112042858410759</c:v>
                </c:pt>
                <c:pt idx="4" formatCode="0.00%">
                  <c:v>9.445821728820715E-2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45F-40BA-ACA8-1A4CD45140D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SEGURIDAD SOCIAL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'ABRIL 2026'!$L$19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19-4F8D-84FF-1B776FB6F122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519-4F8D-84FF-1B776FB6F122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519-4F8D-84FF-1B776FB6F122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519-4F8D-84FF-1B776FB6F122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519-4F8D-84FF-1B776FB6F1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'ABRIL 2026'!$K$20:$K$24</c:f>
              <c:strCache>
                <c:ptCount val="5"/>
                <c:pt idx="0">
                  <c:v>SEG SOCIAL OPERATIVA BAJO TIERRA</c:v>
                </c:pt>
                <c:pt idx="1">
                  <c:v>SEG SOCIAL ADMINISTRADORES OPERATIVOS</c:v>
                </c:pt>
                <c:pt idx="2">
                  <c:v>SEG SOCIAL PERSONAL ADTIVO MANTENIMIENTO</c:v>
                </c:pt>
                <c:pt idx="3">
                  <c:v>SEG SOCIAL 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'ABRIL 2026'!$L$20:$L$24</c:f>
              <c:numCache>
                <c:formatCode>[$$-240A]\ #,##0;\-[$$-240A]\ #,##0</c:formatCode>
                <c:ptCount val="5"/>
                <c:pt idx="0" formatCode="&quot;$&quot;\ #,##0">
                  <c:v>34735911</c:v>
                </c:pt>
                <c:pt idx="1">
                  <c:v>1510257</c:v>
                </c:pt>
                <c:pt idx="2">
                  <c:v>1006838</c:v>
                </c:pt>
                <c:pt idx="3">
                  <c:v>4027352</c:v>
                </c:pt>
                <c:pt idx="4">
                  <c:v>6903100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519-4F8D-84FF-1B776FB6F122}"/>
            </c:ext>
          </c:extLst>
        </c:ser>
        <c:ser>
          <c:idx val="1"/>
          <c:order val="1"/>
          <c:tx>
            <c:strRef>
              <c:f>'ABRIL 2026'!$M$19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D519-4F8D-84FF-1B776FB6F122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D519-4F8D-84FF-1B776FB6F122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D519-4F8D-84FF-1B776FB6F122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D519-4F8D-84FF-1B776FB6F122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D519-4F8D-84FF-1B776FB6F1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'ABRIL 2026'!$K$20:$K$24</c:f>
              <c:strCache>
                <c:ptCount val="5"/>
                <c:pt idx="0">
                  <c:v>SEG SOCIAL OPERATIVA BAJO TIERRA</c:v>
                </c:pt>
                <c:pt idx="1">
                  <c:v>SEG SOCIAL ADMINISTRADORES OPERATIVOS</c:v>
                </c:pt>
                <c:pt idx="2">
                  <c:v>SEG SOCIAL PERSONAL ADTIVO MANTENIMIENTO</c:v>
                </c:pt>
                <c:pt idx="3">
                  <c:v>SEG SOCIAL 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'ABRIL 2026'!$M$20:$M$24</c:f>
              <c:numCache>
                <c:formatCode>0%</c:formatCode>
                <c:ptCount val="5"/>
                <c:pt idx="0">
                  <c:v>0.72090946648121434</c:v>
                </c:pt>
                <c:pt idx="1">
                  <c:v>3.1343889847009317E-2</c:v>
                </c:pt>
                <c:pt idx="2" formatCode="0.00%">
                  <c:v>2.089592656467288E-2</c:v>
                </c:pt>
                <c:pt idx="3" formatCode="0.00%">
                  <c:v>8.358370625869152E-2</c:v>
                </c:pt>
                <c:pt idx="4" formatCode="0.00%">
                  <c:v>0.14326701084841192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519-4F8D-84FF-1B776FB6F12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PRESTACIONES SOCIALES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2777777777777778E-2"/>
          <c:y val="0.13412037037037036"/>
          <c:w val="0.58961964129483813"/>
          <c:h val="0.75476851851851856"/>
        </c:manualLayout>
      </c:layout>
      <c:pie3DChart>
        <c:varyColors val="1"/>
        <c:ser>
          <c:idx val="0"/>
          <c:order val="0"/>
          <c:tx>
            <c:strRef>
              <c:f>'ABRIL 2026'!$C$53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0025-45CB-A07F-D8EF5428CAC3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0025-45CB-A07F-D8EF5428CAC3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0025-45CB-A07F-D8EF5428CAC3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0025-45CB-A07F-D8EF5428CAC3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0025-45CB-A07F-D8EF5428CAC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'ABRIL 2026'!$B$54:$B$58</c:f>
              <c:strCache>
                <c:ptCount val="5"/>
                <c:pt idx="0">
                  <c:v>PRESTACIONES SOCIALES  OPERATIVA BAJO TIERRA</c:v>
                </c:pt>
                <c:pt idx="1">
                  <c:v>PRESTACIONES SOCIALES ADMINISTRADORES OPERATIVOS</c:v>
                </c:pt>
                <c:pt idx="2">
                  <c:v>PRESTACIONES SOCIALES PERSONAL ADTIVO MANTENIMIENTO</c:v>
                </c:pt>
                <c:pt idx="3">
                  <c:v>PRESTACIONES SOCIALES PERSONAL ADMINISTRATIVO</c:v>
                </c:pt>
                <c:pt idx="4">
                  <c:v>PRESTACIONES SOCIALES ALTA GERENCIA</c:v>
                </c:pt>
              </c:strCache>
            </c:strRef>
          </c:cat>
          <c:val>
            <c:numRef>
              <c:f>'ABRIL 2026'!$C$54:$C$58</c:f>
              <c:numCache>
                <c:formatCode>[$$-240A]\ #,##0;\-[$$-240A]\ #,##0</c:formatCode>
                <c:ptCount val="5"/>
                <c:pt idx="0" formatCode="&quot;$&quot;\ #,##0">
                  <c:v>22754567.303935982</c:v>
                </c:pt>
                <c:pt idx="1">
                  <c:v>1146646.6736399999</c:v>
                </c:pt>
                <c:pt idx="2">
                  <c:v>586063.85541599989</c:v>
                </c:pt>
                <c:pt idx="3">
                  <c:v>3528558.3735999996</c:v>
                </c:pt>
                <c:pt idx="4">
                  <c:v>4711138.0969120003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025-45CB-A07F-D8EF5428CAC3}"/>
            </c:ext>
          </c:extLst>
        </c:ser>
        <c:ser>
          <c:idx val="1"/>
          <c:order val="1"/>
          <c:tx>
            <c:strRef>
              <c:f>'ABRIL 2026'!$D$53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0025-45CB-A07F-D8EF5428CAC3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0025-45CB-A07F-D8EF5428CAC3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0-0025-45CB-A07F-D8EF5428CAC3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2-0025-45CB-A07F-D8EF5428CAC3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4-0025-45CB-A07F-D8EF5428CAC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'ABRIL 2026'!$B$54:$B$58</c:f>
              <c:strCache>
                <c:ptCount val="5"/>
                <c:pt idx="0">
                  <c:v>PRESTACIONES SOCIALES  OPERATIVA BAJO TIERRA</c:v>
                </c:pt>
                <c:pt idx="1">
                  <c:v>PRESTACIONES SOCIALES ADMINISTRADORES OPERATIVOS</c:v>
                </c:pt>
                <c:pt idx="2">
                  <c:v>PRESTACIONES SOCIALES PERSONAL ADTIVO MANTENIMIENTO</c:v>
                </c:pt>
                <c:pt idx="3">
                  <c:v>PRESTACIONES SOCIALES PERSONAL ADMINISTRATIVO</c:v>
                </c:pt>
                <c:pt idx="4">
                  <c:v>PRESTACIONES SOCIALES ALTA GERENCIA</c:v>
                </c:pt>
              </c:strCache>
            </c:strRef>
          </c:cat>
          <c:val>
            <c:numRef>
              <c:f>'ABRIL 2026'!$D$54:$D$58</c:f>
              <c:numCache>
                <c:formatCode>0%</c:formatCode>
                <c:ptCount val="5"/>
                <c:pt idx="0">
                  <c:v>0.69528478535517158</c:v>
                </c:pt>
                <c:pt idx="1">
                  <c:v>3.5036745621706673E-2</c:v>
                </c:pt>
                <c:pt idx="2" formatCode="0.00%">
                  <c:v>1.7907669984427853E-2</c:v>
                </c:pt>
                <c:pt idx="3" formatCode="0.00%">
                  <c:v>0.10781804455483093</c:v>
                </c:pt>
                <c:pt idx="4" formatCode="0.00%">
                  <c:v>0.14395275448386294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025-45CB-A07F-D8EF5428CAC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ABRIL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CDDA-4A24-8931-49A2313225A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CDDA-4A24-8931-49A2313225A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CDDA-4A24-8931-49A2313225A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'ABRIL 2026'!$B$92:$B$94</c:f>
              <c:strCache>
                <c:ptCount val="3"/>
                <c:pt idx="0">
                  <c:v>NOMINA MES DE ABRIL</c:v>
                </c:pt>
                <c:pt idx="1">
                  <c:v>PRESTACIONES SOCIALES</c:v>
                </c:pt>
                <c:pt idx="2">
                  <c:v>SEGURIDAD SOCIAL</c:v>
                </c:pt>
              </c:strCache>
            </c:strRef>
          </c:cat>
          <c:val>
            <c:numRef>
              <c:f>'ABRIL 2026'!$C$92:$C$94</c:f>
              <c:numCache>
                <c:formatCode>[$$-240A]\ #,##0;\-[$$-240A]\ #,##0</c:formatCode>
                <c:ptCount val="3"/>
                <c:pt idx="0">
                  <c:v>210197784.54519475</c:v>
                </c:pt>
                <c:pt idx="1">
                  <c:v>32726974.303503983</c:v>
                </c:pt>
                <c:pt idx="2">
                  <c:v>48183458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25-4454-A6B5-219A809DEFBB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CDDA-4A24-8931-49A2313225A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CDDA-4A24-8931-49A2313225A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CDDA-4A24-8931-49A2313225A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'ABRIL 2026'!$B$92:$B$94</c:f>
              <c:strCache>
                <c:ptCount val="3"/>
                <c:pt idx="0">
                  <c:v>NOMINA MES DE ABRIL</c:v>
                </c:pt>
                <c:pt idx="1">
                  <c:v>PRESTACIONES SOCIALES</c:v>
                </c:pt>
                <c:pt idx="2">
                  <c:v>SEGURIDAD SOCIAL</c:v>
                </c:pt>
              </c:strCache>
            </c:strRef>
          </c:cat>
          <c:val>
            <c:numRef>
              <c:f>'ABRIL 2026'!$D$92:$D$94</c:f>
              <c:numCache>
                <c:formatCode>0%</c:formatCode>
                <c:ptCount val="3"/>
                <c:pt idx="0">
                  <c:v>0.72206063717687308</c:v>
                </c:pt>
                <c:pt idx="1">
                  <c:v>0.11242202180955124</c:v>
                </c:pt>
                <c:pt idx="2">
                  <c:v>0.16551734101357565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25-4454-A6B5-219A809DEFB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NOMINA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'MAYO 2026'!$C$19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1D-410A-9F46-1D05B8D65D82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1D-410A-9F46-1D05B8D65D82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81D-410A-9F46-1D05B8D65D82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81D-410A-9F46-1D05B8D65D82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81D-410A-9F46-1D05B8D65D82}"/>
              </c:ext>
            </c:extLst>
          </c:dPt>
          <c:dLbls>
            <c:dLbl>
              <c:idx val="2"/>
              <c:layout>
                <c:manualLayout>
                  <c:x val="-3.0769237546222687E-2"/>
                  <c:y val="0.5678546954084420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81D-410A-9F46-1D05B8D65D82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0507712242214033"/>
                      <c:h val="0.1952785237827286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D81D-410A-9F46-1D05B8D65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'MAYO 2026'!$B$20:$B$24</c:f>
              <c:strCache>
                <c:ptCount val="5"/>
                <c:pt idx="0">
                  <c:v>NOMINA OPERATIVA BAJO TIERRA</c:v>
                </c:pt>
                <c:pt idx="1">
                  <c:v>ADMINISTRADORES OPERATIVOS</c:v>
                </c:pt>
                <c:pt idx="2">
                  <c:v>PERSONAL ADTIVO MANTENIMIENTO</c:v>
                </c:pt>
                <c:pt idx="3">
                  <c:v>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'MAYO 2026'!$C$20:$C$24</c:f>
              <c:numCache>
                <c:formatCode>[$$-240A]\ #,##0;\-[$$-240A]\ #,##0</c:formatCode>
                <c:ptCount val="5"/>
                <c:pt idx="0" formatCode="&quot;$&quot;\ #,##0">
                  <c:v>93487220.799999997</c:v>
                </c:pt>
                <c:pt idx="1">
                  <c:v>11615140.9552</c:v>
                </c:pt>
                <c:pt idx="2">
                  <c:v>4070378.8183999993</c:v>
                </c:pt>
                <c:pt idx="3">
                  <c:v>26499314.954373337</c:v>
                </c:pt>
                <c:pt idx="4">
                  <c:v>21581421.745728001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81D-410A-9F46-1D05B8D65D82}"/>
            </c:ext>
          </c:extLst>
        </c:ser>
        <c:ser>
          <c:idx val="1"/>
          <c:order val="1"/>
          <c:tx>
            <c:strRef>
              <c:f>'MAYO 2026'!$D$19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D81D-410A-9F46-1D05B8D65D82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D81D-410A-9F46-1D05B8D65D82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D81D-410A-9F46-1D05B8D65D82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D81D-410A-9F46-1D05B8D65D82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D81D-410A-9F46-1D05B8D65D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'MAYO 2026'!$B$20:$B$24</c:f>
              <c:strCache>
                <c:ptCount val="5"/>
                <c:pt idx="0">
                  <c:v>NOMINA OPERATIVA BAJO TIERRA</c:v>
                </c:pt>
                <c:pt idx="1">
                  <c:v>ADMINISTRADORES OPERATIVOS</c:v>
                </c:pt>
                <c:pt idx="2">
                  <c:v>PERSONAL ADTIVO MANTENIMIENTO</c:v>
                </c:pt>
                <c:pt idx="3">
                  <c:v>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'MAYO 2026'!$D$20:$D$24</c:f>
              <c:numCache>
                <c:formatCode>0%</c:formatCode>
                <c:ptCount val="5"/>
                <c:pt idx="0">
                  <c:v>0.59450018162259466</c:v>
                </c:pt>
                <c:pt idx="1">
                  <c:v>7.3862538091820543E-2</c:v>
                </c:pt>
                <c:pt idx="2" formatCode="0.00%">
                  <c:v>2.5884189583391295E-2</c:v>
                </c:pt>
                <c:pt idx="3" formatCode="0.00%">
                  <c:v>0.16851337988698975</c:v>
                </c:pt>
                <c:pt idx="4" formatCode="0.00%">
                  <c:v>0.13723971081520386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81D-410A-9F46-1D05B8D65D8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SEGURIDAD SOCIAL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'MAYO 2026'!$L$19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51-4609-8C79-0260A226066B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551-4609-8C79-0260A226066B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551-4609-8C79-0260A226066B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551-4609-8C79-0260A226066B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551-4609-8C79-0260A22606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'MAYO 2026'!$K$20:$K$24</c:f>
              <c:strCache>
                <c:ptCount val="5"/>
                <c:pt idx="0">
                  <c:v>SEG SOCIAL OPERATIVA BAJO TIERRA</c:v>
                </c:pt>
                <c:pt idx="1">
                  <c:v>SEG SOCIAL ADMINISTRADORES OPERATIVOS</c:v>
                </c:pt>
                <c:pt idx="2">
                  <c:v>SEG SOCIAL PERSONAL ADTIVO MANTENIMIENTO</c:v>
                </c:pt>
                <c:pt idx="3">
                  <c:v>SEG SOCIAL 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'MAYO 2026'!$L$20:$L$24</c:f>
              <c:numCache>
                <c:formatCode>"$"\ #,##0</c:formatCode>
                <c:ptCount val="5"/>
                <c:pt idx="0">
                  <c:v>34255341.25</c:v>
                </c:pt>
                <c:pt idx="1">
                  <c:v>1533821.25</c:v>
                </c:pt>
                <c:pt idx="2">
                  <c:v>1022547.5</c:v>
                </c:pt>
                <c:pt idx="3">
                  <c:v>4090190</c:v>
                </c:pt>
                <c:pt idx="4" formatCode="[$$-240A]\ #,##0;\-[$$-240A]\ #,##0">
                  <c:v>6938500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551-4609-8C79-0260A226066B}"/>
            </c:ext>
          </c:extLst>
        </c:ser>
        <c:ser>
          <c:idx val="1"/>
          <c:order val="1"/>
          <c:tx>
            <c:strRef>
              <c:f>'MAYO 2026'!$M$19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A551-4609-8C79-0260A226066B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A551-4609-8C79-0260A226066B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A551-4609-8C79-0260A226066B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A551-4609-8C79-0260A226066B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A551-4609-8C79-0260A22606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'MAYO 2026'!$K$20:$K$24</c:f>
              <c:strCache>
                <c:ptCount val="5"/>
                <c:pt idx="0">
                  <c:v>SEG SOCIAL OPERATIVA BAJO TIERRA</c:v>
                </c:pt>
                <c:pt idx="1">
                  <c:v>SEG SOCIAL ADMINISTRADORES OPERATIVOS</c:v>
                </c:pt>
                <c:pt idx="2">
                  <c:v>SEG SOCIAL PERSONAL ADTIVO MANTENIMIENTO</c:v>
                </c:pt>
                <c:pt idx="3">
                  <c:v>SEG SOCIAL 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'MAYO 2026'!$M$20:$M$24</c:f>
              <c:numCache>
                <c:formatCode>0%</c:formatCode>
                <c:ptCount val="5"/>
                <c:pt idx="0">
                  <c:v>0.71603375494352051</c:v>
                </c:pt>
                <c:pt idx="1">
                  <c:v>3.2061212907918829E-2</c:v>
                </c:pt>
                <c:pt idx="2" formatCode="0.00%">
                  <c:v>2.1374141938612555E-2</c:v>
                </c:pt>
                <c:pt idx="3" formatCode="0.00%">
                  <c:v>8.549656775445022E-2</c:v>
                </c:pt>
                <c:pt idx="4" formatCode="0.00%">
                  <c:v>0.14503432245549785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551-4609-8C79-0260A226066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PRESTACIONES SOCIALES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2777777777777778E-2"/>
          <c:y val="0.13412037037037036"/>
          <c:w val="0.58961964129483813"/>
          <c:h val="0.75476851851851856"/>
        </c:manualLayout>
      </c:layout>
      <c:pie3DChart>
        <c:varyColors val="1"/>
        <c:ser>
          <c:idx val="0"/>
          <c:order val="0"/>
          <c:tx>
            <c:strRef>
              <c:f>'MAYO 2026'!$C$53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615-4C04-BB1C-8408D96B6A0E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615-4C04-BB1C-8408D96B6A0E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615-4C04-BB1C-8408D96B6A0E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F615-4C04-BB1C-8408D96B6A0E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F615-4C04-BB1C-8408D96B6A0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'MAYO 2026'!$B$54:$B$58</c:f>
              <c:strCache>
                <c:ptCount val="5"/>
                <c:pt idx="0">
                  <c:v>PRESTACIONES SOCIALES  OPERATIVA BAJO TIERRA</c:v>
                </c:pt>
                <c:pt idx="1">
                  <c:v>PRESTACIONES SOCIALES ADMINISTRADORES OPERATIVOS</c:v>
                </c:pt>
                <c:pt idx="2">
                  <c:v>PRESTACIONES SOCIALES PERSONAL ADTIVO MANTENIMIENTO</c:v>
                </c:pt>
                <c:pt idx="3">
                  <c:v>PRESTACIONES SOCIALES PERSONAL ADMINISTRATIVO</c:v>
                </c:pt>
                <c:pt idx="4">
                  <c:v>PRESTACIONES SOCIALES ALTA GERENCIA</c:v>
                </c:pt>
              </c:strCache>
            </c:strRef>
          </c:cat>
          <c:val>
            <c:numRef>
              <c:f>'MAYO 2026'!$C$54:$C$58</c:f>
              <c:numCache>
                <c:formatCode>[$$-240A]\ #,##0;\-[$$-240A]\ #,##0</c:formatCode>
                <c:ptCount val="5"/>
                <c:pt idx="0" formatCode="&quot;$&quot;\ #,##0">
                  <c:v>23014473.992442381</c:v>
                </c:pt>
                <c:pt idx="1">
                  <c:v>1146646.6736399999</c:v>
                </c:pt>
                <c:pt idx="2">
                  <c:v>764431.11575999996</c:v>
                </c:pt>
                <c:pt idx="3">
                  <c:v>3664953.6437280001</c:v>
                </c:pt>
                <c:pt idx="4">
                  <c:v>4711138.0969120003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615-4C04-BB1C-8408D96B6A0E}"/>
            </c:ext>
          </c:extLst>
        </c:ser>
        <c:ser>
          <c:idx val="1"/>
          <c:order val="1"/>
          <c:tx>
            <c:strRef>
              <c:f>'MAYO 2026'!$D$53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F615-4C04-BB1C-8408D96B6A0E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F615-4C04-BB1C-8408D96B6A0E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0-F615-4C04-BB1C-8408D96B6A0E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2-F615-4C04-BB1C-8408D96B6A0E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4-F615-4C04-BB1C-8408D96B6A0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'MAYO 2026'!$B$54:$B$58</c:f>
              <c:strCache>
                <c:ptCount val="5"/>
                <c:pt idx="0">
                  <c:v>PRESTACIONES SOCIALES  OPERATIVA BAJO TIERRA</c:v>
                </c:pt>
                <c:pt idx="1">
                  <c:v>PRESTACIONES SOCIALES ADMINISTRADORES OPERATIVOS</c:v>
                </c:pt>
                <c:pt idx="2">
                  <c:v>PRESTACIONES SOCIALES PERSONAL ADTIVO MANTENIMIENTO</c:v>
                </c:pt>
                <c:pt idx="3">
                  <c:v>PRESTACIONES SOCIALES PERSONAL ADMINISTRATIVO</c:v>
                </c:pt>
                <c:pt idx="4">
                  <c:v>PRESTACIONES SOCIALES ALTA GERENCIA</c:v>
                </c:pt>
              </c:strCache>
            </c:strRef>
          </c:cat>
          <c:val>
            <c:numRef>
              <c:f>'MAYO 2026'!$D$54:$D$58</c:f>
              <c:numCache>
                <c:formatCode>0%</c:formatCode>
                <c:ptCount val="5"/>
                <c:pt idx="0">
                  <c:v>0.69109123629003488</c:v>
                </c:pt>
                <c:pt idx="1">
                  <c:v>3.4432134644222095E-2</c:v>
                </c:pt>
                <c:pt idx="2" formatCode="0.00%">
                  <c:v>2.2954756429481398E-2</c:v>
                </c:pt>
                <c:pt idx="3" formatCode="0.00%">
                  <c:v>0.11005323629909561</c:v>
                </c:pt>
                <c:pt idx="4" formatCode="0.00%">
                  <c:v>0.14146863633716603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615-4C04-BB1C-8408D96B6A0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MAYO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B01E-4875-8894-3A40D21A90F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B01E-4875-8894-3A40D21A90F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B01E-4875-8894-3A40D21A90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'MAYO 2026'!$B$93:$B$95</c:f>
              <c:strCache>
                <c:ptCount val="3"/>
                <c:pt idx="0">
                  <c:v>NOMINA MES DE MAYO</c:v>
                </c:pt>
                <c:pt idx="1">
                  <c:v>PRESTACIONES SOCIALES</c:v>
                </c:pt>
                <c:pt idx="2">
                  <c:v>SEGURIDAD SOCIAL</c:v>
                </c:pt>
              </c:strCache>
            </c:strRef>
          </c:cat>
          <c:val>
            <c:numRef>
              <c:f>'MAYO 2026'!$C$93:$C$95</c:f>
              <c:numCache>
                <c:formatCode>[$$-240A]\ #,##0;\-[$$-240A]\ #,##0</c:formatCode>
                <c:ptCount val="3"/>
                <c:pt idx="0">
                  <c:v>157253477.27370131</c:v>
                </c:pt>
                <c:pt idx="1">
                  <c:v>33301643.52248238</c:v>
                </c:pt>
                <c:pt idx="2">
                  <c:v>47840400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4-4127-ABB8-B7D5B81A2328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B01E-4875-8894-3A40D21A90F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B01E-4875-8894-3A40D21A90F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B01E-4875-8894-3A40D21A90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'MAYO 2026'!$B$93:$B$95</c:f>
              <c:strCache>
                <c:ptCount val="3"/>
                <c:pt idx="0">
                  <c:v>NOMINA MES DE MAYO</c:v>
                </c:pt>
                <c:pt idx="1">
                  <c:v>PRESTACIONES SOCIALES</c:v>
                </c:pt>
                <c:pt idx="2">
                  <c:v>SEGURIDAD SOCIAL</c:v>
                </c:pt>
              </c:strCache>
            </c:strRef>
          </c:cat>
          <c:val>
            <c:numRef>
              <c:f>'MAYO 2026'!$D$93:$D$95</c:f>
              <c:numCache>
                <c:formatCode>0%</c:formatCode>
                <c:ptCount val="3"/>
                <c:pt idx="0">
                  <c:v>0.65963268415661713</c:v>
                </c:pt>
                <c:pt idx="1">
                  <c:v>0.13969072661794527</c:v>
                </c:pt>
                <c:pt idx="2">
                  <c:v>0.20067658922543749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64-4127-ABB8-B7D5B81A232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NOMINA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'JUNIO 2026'!$C$19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04-4D36-B844-33D5316C54C4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F04-4D36-B844-33D5316C54C4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F04-4D36-B844-33D5316C54C4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F04-4D36-B844-33D5316C54C4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F04-4D36-B844-33D5316C54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'JUNIO 2026'!$B$20:$B$24</c:f>
              <c:strCache>
                <c:ptCount val="5"/>
                <c:pt idx="0">
                  <c:v>NOMINA OPERATIVA BAJO TIERRA</c:v>
                </c:pt>
                <c:pt idx="1">
                  <c:v>ADMINISTRADORES OPERATIVOS</c:v>
                </c:pt>
                <c:pt idx="2">
                  <c:v>PERSONAL ADTIVO MANTENIMIENTO</c:v>
                </c:pt>
                <c:pt idx="3">
                  <c:v>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'JUNIO 2026'!$C$20:$C$24</c:f>
              <c:numCache>
                <c:formatCode>[$$-240A]\ #,##0;\-[$$-240A]\ #,##0</c:formatCode>
                <c:ptCount val="5"/>
                <c:pt idx="0" formatCode="&quot;$&quot;\ #,##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F04-4D36-B844-33D5316C54C4}"/>
            </c:ext>
          </c:extLst>
        </c:ser>
        <c:ser>
          <c:idx val="1"/>
          <c:order val="1"/>
          <c:tx>
            <c:strRef>
              <c:f>'JUNIO 2026'!$D$19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2F04-4D36-B844-33D5316C54C4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2F04-4D36-B844-33D5316C54C4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2F04-4D36-B844-33D5316C54C4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2F04-4D36-B844-33D5316C54C4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2F04-4D36-B844-33D5316C54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'JUNIO 2026'!$B$20:$B$24</c:f>
              <c:strCache>
                <c:ptCount val="5"/>
                <c:pt idx="0">
                  <c:v>NOMINA OPERATIVA BAJO TIERRA</c:v>
                </c:pt>
                <c:pt idx="1">
                  <c:v>ADMINISTRADORES OPERATIVOS</c:v>
                </c:pt>
                <c:pt idx="2">
                  <c:v>PERSONAL ADTIVO MANTENIMIENTO</c:v>
                </c:pt>
                <c:pt idx="3">
                  <c:v>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'JUNIO 2026'!$D$20:$D$24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 formatCode="0.00%">
                  <c:v>0</c:v>
                </c:pt>
                <c:pt idx="3" formatCode="0.00%">
                  <c:v>0</c:v>
                </c:pt>
                <c:pt idx="4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F04-4D36-B844-33D5316C54C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SEGURIDAD SOCIAL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'JUNIO 2026'!$L$19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17-4BA7-A4C4-849E80F55488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17-4BA7-A4C4-849E80F55488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B17-4BA7-A4C4-849E80F55488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B17-4BA7-A4C4-849E80F55488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B17-4BA7-A4C4-849E80F554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'JUNIO 2026'!$K$20:$K$24</c:f>
              <c:strCache>
                <c:ptCount val="5"/>
                <c:pt idx="0">
                  <c:v>SEG SOCIAL OPERATIVA BAJO TIERRA</c:v>
                </c:pt>
                <c:pt idx="1">
                  <c:v>SEG SOCIAL ADMINISTRADORES OPERATIVOS</c:v>
                </c:pt>
                <c:pt idx="2">
                  <c:v>SEG SOCIAL PERSONAL ADTIVO MANTENIMIENTO</c:v>
                </c:pt>
                <c:pt idx="3">
                  <c:v>SEG SOCIAL 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'JUNIO 2026'!$L$20:$L$24</c:f>
              <c:numCache>
                <c:formatCode>[$$-240A]\ #,##0;\-[$$-240A]\ #,##0</c:formatCode>
                <c:ptCount val="5"/>
                <c:pt idx="0" formatCode="&quot;$&quot;\ #,##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B17-4BA7-A4C4-849E80F55488}"/>
            </c:ext>
          </c:extLst>
        </c:ser>
        <c:ser>
          <c:idx val="1"/>
          <c:order val="1"/>
          <c:tx>
            <c:strRef>
              <c:f>'JUNIO 2026'!$M$19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0B17-4BA7-A4C4-849E80F55488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0B17-4BA7-A4C4-849E80F55488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0B17-4BA7-A4C4-849E80F55488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0B17-4BA7-A4C4-849E80F55488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0B17-4BA7-A4C4-849E80F554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'JUNIO 2026'!$K$20:$K$24</c:f>
              <c:strCache>
                <c:ptCount val="5"/>
                <c:pt idx="0">
                  <c:v>SEG SOCIAL OPERATIVA BAJO TIERRA</c:v>
                </c:pt>
                <c:pt idx="1">
                  <c:v>SEG SOCIAL ADMINISTRADORES OPERATIVOS</c:v>
                </c:pt>
                <c:pt idx="2">
                  <c:v>SEG SOCIAL PERSONAL ADTIVO MANTENIMIENTO</c:v>
                </c:pt>
                <c:pt idx="3">
                  <c:v>SEG SOCIAL 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'JUNIO 2026'!$M$20:$M$24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 formatCode="0.00%">
                  <c:v>0</c:v>
                </c:pt>
                <c:pt idx="3" formatCode="0.00%">
                  <c:v>0</c:v>
                </c:pt>
                <c:pt idx="4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B17-4BA7-A4C4-849E80F5548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PRESTACIONES SOCIALES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2777777777777778E-2"/>
          <c:y val="0.13412037037037036"/>
          <c:w val="0.58961964129483813"/>
          <c:h val="0.75476851851851856"/>
        </c:manualLayout>
      </c:layout>
      <c:pie3DChart>
        <c:varyColors val="1"/>
        <c:ser>
          <c:idx val="0"/>
          <c:order val="0"/>
          <c:tx>
            <c:strRef>
              <c:f>'JUNIO 2026'!$C$53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32F9-4488-8B97-987ACA6B3AAB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32F9-4488-8B97-987ACA6B3AAB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32F9-4488-8B97-987ACA6B3AAB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32F9-4488-8B97-987ACA6B3AAB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32F9-4488-8B97-987ACA6B3AA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'JUNIO 2026'!$B$54:$B$58</c:f>
              <c:strCache>
                <c:ptCount val="5"/>
                <c:pt idx="0">
                  <c:v>PRESTACIONES SOCIALES  OPERATIVA BAJO TIERRA</c:v>
                </c:pt>
                <c:pt idx="1">
                  <c:v>PRESTACIONES SOCIALES ADMINISTRADORES OPERATIVOS</c:v>
                </c:pt>
                <c:pt idx="2">
                  <c:v>PRESTACIONES SOCIALES PERSONAL ADTIVO MANTENIMIENTO</c:v>
                </c:pt>
                <c:pt idx="3">
                  <c:v>PRESTACIONES SOCIALES PERSONAL ADMINISTRATIVO</c:v>
                </c:pt>
                <c:pt idx="4">
                  <c:v>PRESTACIONES SOCIALES ALTA GERENCIA</c:v>
                </c:pt>
              </c:strCache>
            </c:strRef>
          </c:cat>
          <c:val>
            <c:numRef>
              <c:f>'JUNIO 2026'!$C$54:$C$58</c:f>
              <c:numCache>
                <c:formatCode>[$$-240A]\ #,##0;\-[$$-240A]\ #,##0</c:formatCode>
                <c:ptCount val="5"/>
                <c:pt idx="0" formatCode="&quot;$&quot;\ #,##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2F9-4488-8B97-987ACA6B3AAB}"/>
            </c:ext>
          </c:extLst>
        </c:ser>
        <c:ser>
          <c:idx val="1"/>
          <c:order val="1"/>
          <c:tx>
            <c:strRef>
              <c:f>'JUNIO 2026'!$D$53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32F9-4488-8B97-987ACA6B3AAB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32F9-4488-8B97-987ACA6B3AAB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0-32F9-4488-8B97-987ACA6B3AAB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2-32F9-4488-8B97-987ACA6B3AAB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4-32F9-4488-8B97-987ACA6B3AA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'JUNIO 2026'!$B$54:$B$58</c:f>
              <c:strCache>
                <c:ptCount val="5"/>
                <c:pt idx="0">
                  <c:v>PRESTACIONES SOCIALES  OPERATIVA BAJO TIERRA</c:v>
                </c:pt>
                <c:pt idx="1">
                  <c:v>PRESTACIONES SOCIALES ADMINISTRADORES OPERATIVOS</c:v>
                </c:pt>
                <c:pt idx="2">
                  <c:v>PRESTACIONES SOCIALES PERSONAL ADTIVO MANTENIMIENTO</c:v>
                </c:pt>
                <c:pt idx="3">
                  <c:v>PRESTACIONES SOCIALES PERSONAL ADMINISTRATIVO</c:v>
                </c:pt>
                <c:pt idx="4">
                  <c:v>PRESTACIONES SOCIALES ALTA GERENCIA</c:v>
                </c:pt>
              </c:strCache>
            </c:strRef>
          </c:cat>
          <c:val>
            <c:numRef>
              <c:f>'JUNIO 2026'!$D$54:$D$58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 formatCode="0.00%">
                  <c:v>0</c:v>
                </c:pt>
                <c:pt idx="3" formatCode="0.00%">
                  <c:v>0</c:v>
                </c:pt>
                <c:pt idx="4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2F9-4488-8B97-987ACA6B3AA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JUNIO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3333333333333333E-2"/>
          <c:y val="0.16708333333333336"/>
          <c:w val="0.93888888888888888"/>
          <c:h val="0.671457786526684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5E80-4D57-AC8F-52F225858F7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5E80-4D57-AC8F-52F225858F7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5E80-4D57-AC8F-52F225858F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'JUNIO 2026'!$B$91:$B$93</c:f>
              <c:strCache>
                <c:ptCount val="3"/>
                <c:pt idx="0">
                  <c:v>NOMINA MES DE JUNIO</c:v>
                </c:pt>
                <c:pt idx="1">
                  <c:v>PRESTACIONES SOCIALES</c:v>
                </c:pt>
                <c:pt idx="2">
                  <c:v>SEGURIDAD SOCIAL</c:v>
                </c:pt>
              </c:strCache>
            </c:strRef>
          </c:cat>
          <c:val>
            <c:numRef>
              <c:f>'JUNIO 2026'!$C$91:$C$93</c:f>
              <c:numCache>
                <c:formatCode>[$$-240A]\ #,##0;\-[$$-240A]\ 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9B-42E1-93E4-F2400C870C59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5E80-4D57-AC8F-52F225858F7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5E80-4D57-AC8F-52F225858F7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5E80-4D57-AC8F-52F225858F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'JUNIO 2026'!$B$91:$B$93</c:f>
              <c:strCache>
                <c:ptCount val="3"/>
                <c:pt idx="0">
                  <c:v>NOMINA MES DE JUNIO</c:v>
                </c:pt>
                <c:pt idx="1">
                  <c:v>PRESTACIONES SOCIALES</c:v>
                </c:pt>
                <c:pt idx="2">
                  <c:v>SEGURIDAD SOCIAL</c:v>
                </c:pt>
              </c:strCache>
            </c:strRef>
          </c:cat>
          <c:val>
            <c:numRef>
              <c:f>'JUNIO 2026'!$D$91:$D$93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9B-42E1-93E4-F2400C870C5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NOMINA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'JULIO 2026'!$C$19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39E-485D-85DB-B88BC36C87F6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39E-485D-85DB-B88BC36C87F6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39E-485D-85DB-B88BC36C87F6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39E-485D-85DB-B88BC36C87F6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39E-485D-85DB-B88BC36C87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'JULIO 2026'!$B$20:$B$24</c:f>
              <c:strCache>
                <c:ptCount val="5"/>
                <c:pt idx="0">
                  <c:v>NOMINA OPERATIVA BAJO TIERRA</c:v>
                </c:pt>
                <c:pt idx="1">
                  <c:v>ADMINISTRADORES OPERATIVOS</c:v>
                </c:pt>
                <c:pt idx="2">
                  <c:v>PERSONAL ADTIVO MANTENIMIENTO</c:v>
                </c:pt>
                <c:pt idx="3">
                  <c:v>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'JULIO 2026'!$C$20:$C$24</c:f>
              <c:numCache>
                <c:formatCode>[$$-240A]\ #,##0;\-[$$-240A]\ #,##0</c:formatCode>
                <c:ptCount val="5"/>
                <c:pt idx="0" formatCode="&quot;$&quot;\ #,##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39E-485D-85DB-B88BC36C87F6}"/>
            </c:ext>
          </c:extLst>
        </c:ser>
        <c:ser>
          <c:idx val="1"/>
          <c:order val="1"/>
          <c:tx>
            <c:strRef>
              <c:f>'JULIO 2026'!$D$19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539E-485D-85DB-B88BC36C87F6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539E-485D-85DB-B88BC36C87F6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539E-485D-85DB-B88BC36C87F6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539E-485D-85DB-B88BC36C87F6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539E-485D-85DB-B88BC36C87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'JULIO 2026'!$B$20:$B$24</c:f>
              <c:strCache>
                <c:ptCount val="5"/>
                <c:pt idx="0">
                  <c:v>NOMINA OPERATIVA BAJO TIERRA</c:v>
                </c:pt>
                <c:pt idx="1">
                  <c:v>ADMINISTRADORES OPERATIVOS</c:v>
                </c:pt>
                <c:pt idx="2">
                  <c:v>PERSONAL ADTIVO MANTENIMIENTO</c:v>
                </c:pt>
                <c:pt idx="3">
                  <c:v>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'JULIO 2026'!$D$20:$D$24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 formatCode="0.00%">
                  <c:v>0</c:v>
                </c:pt>
                <c:pt idx="3" formatCode="0.00%">
                  <c:v>0</c:v>
                </c:pt>
                <c:pt idx="4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539E-485D-85DB-B88BC36C87F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SEGURIDAD SOCIAL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'JULIO 2026'!$L$19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8A-4979-99CD-E2B4D4301F1A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8A-4979-99CD-E2B4D4301F1A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08A-4979-99CD-E2B4D4301F1A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08A-4979-99CD-E2B4D4301F1A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08A-4979-99CD-E2B4D4301F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'JULIO 2026'!$K$20:$K$24</c:f>
              <c:strCache>
                <c:ptCount val="5"/>
                <c:pt idx="0">
                  <c:v>SEG SOCIAL OPERATIVA BAJO TIERRA</c:v>
                </c:pt>
                <c:pt idx="1">
                  <c:v>SEG SOCIAL ADMINISTRADORES OPERATIVOS</c:v>
                </c:pt>
                <c:pt idx="2">
                  <c:v>SEG SOCIAL PERSONAL ADTIVO MANTENIMIENTO</c:v>
                </c:pt>
                <c:pt idx="3">
                  <c:v>SEG SOCIAL 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'JULIO 2026'!$L$20:$L$24</c:f>
              <c:numCache>
                <c:formatCode>[$$-240A]\ #,##0;\-[$$-240A]\ #,##0</c:formatCode>
                <c:ptCount val="5"/>
                <c:pt idx="0" formatCode="&quot;$&quot;\ #,##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08A-4979-99CD-E2B4D4301F1A}"/>
            </c:ext>
          </c:extLst>
        </c:ser>
        <c:ser>
          <c:idx val="1"/>
          <c:order val="1"/>
          <c:tx>
            <c:strRef>
              <c:f>'JULIO 2026'!$M$19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808A-4979-99CD-E2B4D4301F1A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808A-4979-99CD-E2B4D4301F1A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808A-4979-99CD-E2B4D4301F1A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808A-4979-99CD-E2B4D4301F1A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808A-4979-99CD-E2B4D4301F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'JULIO 2026'!$K$20:$K$24</c:f>
              <c:strCache>
                <c:ptCount val="5"/>
                <c:pt idx="0">
                  <c:v>SEG SOCIAL OPERATIVA BAJO TIERRA</c:v>
                </c:pt>
                <c:pt idx="1">
                  <c:v>SEG SOCIAL ADMINISTRADORES OPERATIVOS</c:v>
                </c:pt>
                <c:pt idx="2">
                  <c:v>SEG SOCIAL PERSONAL ADTIVO MANTENIMIENTO</c:v>
                </c:pt>
                <c:pt idx="3">
                  <c:v>SEG SOCIAL 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'JULIO 2026'!$M$20:$M$24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 formatCode="0.00%">
                  <c:v>0</c:v>
                </c:pt>
                <c:pt idx="3" formatCode="0.00%">
                  <c:v>0</c:v>
                </c:pt>
                <c:pt idx="4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808A-4979-99CD-E2B4D4301F1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PRESTACIONES SOCIALES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2777777777777778E-2"/>
          <c:y val="0.13412037037037036"/>
          <c:w val="0.58961964129483813"/>
          <c:h val="0.75476851851851856"/>
        </c:manualLayout>
      </c:layout>
      <c:pie3DChart>
        <c:varyColors val="1"/>
        <c:ser>
          <c:idx val="0"/>
          <c:order val="0"/>
          <c:tx>
            <c:strRef>
              <c:f>'JULIO 2026'!$C$53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46B0-422D-AA34-50353564FB24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46B0-422D-AA34-50353564FB24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46B0-422D-AA34-50353564FB24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46B0-422D-AA34-50353564FB24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46B0-422D-AA34-50353564FB2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'JULIO 2026'!$B$54:$B$58</c:f>
              <c:strCache>
                <c:ptCount val="5"/>
                <c:pt idx="0">
                  <c:v>PRESTACIONES SOCIALES  OPERATIVA BAJO TIERRA</c:v>
                </c:pt>
                <c:pt idx="1">
                  <c:v>PRESTACIONES SOCIALES ADMINISTRADORES OPERATIVOS</c:v>
                </c:pt>
                <c:pt idx="2">
                  <c:v>PRESTACIONES SOCIALES PERSONAL ADTIVO MANTENIMIENTO</c:v>
                </c:pt>
                <c:pt idx="3">
                  <c:v>PRESTACIONES SOCIALES PERSONAL ADMINISTRATIVO</c:v>
                </c:pt>
                <c:pt idx="4">
                  <c:v>PRESTACIONES SOCIALES ALTA GERENCIA</c:v>
                </c:pt>
              </c:strCache>
            </c:strRef>
          </c:cat>
          <c:val>
            <c:numRef>
              <c:f>'JULIO 2026'!$C$54:$C$58</c:f>
              <c:numCache>
                <c:formatCode>[$$-240A]\ #,##0;\-[$$-240A]\ #,##0</c:formatCode>
                <c:ptCount val="5"/>
                <c:pt idx="0" formatCode="&quot;$&quot;\ #,##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6B0-422D-AA34-50353564FB24}"/>
            </c:ext>
          </c:extLst>
        </c:ser>
        <c:ser>
          <c:idx val="1"/>
          <c:order val="1"/>
          <c:tx>
            <c:strRef>
              <c:f>'JULIO 2026'!$D$53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46B0-422D-AA34-50353564FB24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46B0-422D-AA34-50353564FB24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0-46B0-422D-AA34-50353564FB24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2-46B0-422D-AA34-50353564FB24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4-46B0-422D-AA34-50353564FB2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'JULIO 2026'!$B$54:$B$58</c:f>
              <c:strCache>
                <c:ptCount val="5"/>
                <c:pt idx="0">
                  <c:v>PRESTACIONES SOCIALES  OPERATIVA BAJO TIERRA</c:v>
                </c:pt>
                <c:pt idx="1">
                  <c:v>PRESTACIONES SOCIALES ADMINISTRADORES OPERATIVOS</c:v>
                </c:pt>
                <c:pt idx="2">
                  <c:v>PRESTACIONES SOCIALES PERSONAL ADTIVO MANTENIMIENTO</c:v>
                </c:pt>
                <c:pt idx="3">
                  <c:v>PRESTACIONES SOCIALES PERSONAL ADMINISTRATIVO</c:v>
                </c:pt>
                <c:pt idx="4">
                  <c:v>PRESTACIONES SOCIALES ALTA GERENCIA</c:v>
                </c:pt>
              </c:strCache>
            </c:strRef>
          </c:cat>
          <c:val>
            <c:numRef>
              <c:f>'JULIO 2026'!$D$54:$D$58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 formatCode="0.00%">
                  <c:v>0</c:v>
                </c:pt>
                <c:pt idx="3" formatCode="0.00%">
                  <c:v>0</c:v>
                </c:pt>
                <c:pt idx="4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46B0-422D-AA34-50353564FB2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JULIO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DDB0-4CFA-888A-F3A5625677E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DDB0-4CFA-888A-F3A5625677E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DDB0-4CFA-888A-F3A5625677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'JULIO 2026'!$B$93:$B$95</c:f>
              <c:strCache>
                <c:ptCount val="3"/>
                <c:pt idx="0">
                  <c:v>NOMINA MES DE JULIO</c:v>
                </c:pt>
                <c:pt idx="1">
                  <c:v>PRESTACIONES SOCIALES</c:v>
                </c:pt>
                <c:pt idx="2">
                  <c:v>SEGURIDAD SOCIAL</c:v>
                </c:pt>
              </c:strCache>
            </c:strRef>
          </c:cat>
          <c:val>
            <c:numRef>
              <c:f>'JULIO 2026'!$C$93:$C$95</c:f>
              <c:numCache>
                <c:formatCode>[$$-240A]\ #,##0;\-[$$-240A]\ 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0-4BD4-A50C-FAF05C927BF3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DDB0-4CFA-888A-F3A5625677E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DDB0-4CFA-888A-F3A5625677E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DDB0-4CFA-888A-F3A5625677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'JULIO 2026'!$B$93:$B$95</c:f>
              <c:strCache>
                <c:ptCount val="3"/>
                <c:pt idx="0">
                  <c:v>NOMINA MES DE JULIO</c:v>
                </c:pt>
                <c:pt idx="1">
                  <c:v>PRESTACIONES SOCIALES</c:v>
                </c:pt>
                <c:pt idx="2">
                  <c:v>SEGURIDAD SOCIAL</c:v>
                </c:pt>
              </c:strCache>
            </c:strRef>
          </c:cat>
          <c:val>
            <c:numRef>
              <c:f>'JULIO 2026'!$D$93:$D$95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F0-4BD4-A50C-FAF05C927BF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NOMINA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'AGOSTO 2026'!$C$19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54-4E65-BEAF-A1E4F984F100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54-4E65-BEAF-A1E4F984F100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054-4E65-BEAF-A1E4F984F100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054-4E65-BEAF-A1E4F984F100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054-4E65-BEAF-A1E4F984F1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'AGOSTO 2026'!$B$20:$B$24</c:f>
              <c:strCache>
                <c:ptCount val="5"/>
                <c:pt idx="0">
                  <c:v>NOMINA OPERATIVA BAJO TIERRA</c:v>
                </c:pt>
                <c:pt idx="1">
                  <c:v>ADMINISTRADORES OPERATIVOS</c:v>
                </c:pt>
                <c:pt idx="2">
                  <c:v>PERSONAL ADTIVO MANTENIMIENTO</c:v>
                </c:pt>
                <c:pt idx="3">
                  <c:v>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'AGOSTO 2026'!$C$20:$C$24</c:f>
              <c:numCache>
                <c:formatCode>[$$-240A]\ #,##0;\-[$$-240A]\ #,##0</c:formatCode>
                <c:ptCount val="5"/>
                <c:pt idx="0" formatCode="&quot;$&quot;\ #,##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054-4E65-BEAF-A1E4F984F100}"/>
            </c:ext>
          </c:extLst>
        </c:ser>
        <c:ser>
          <c:idx val="1"/>
          <c:order val="1"/>
          <c:tx>
            <c:strRef>
              <c:f>'AGOSTO 2026'!$D$19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1054-4E65-BEAF-A1E4F984F100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1054-4E65-BEAF-A1E4F984F100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1054-4E65-BEAF-A1E4F984F100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1054-4E65-BEAF-A1E4F984F100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1054-4E65-BEAF-A1E4F984F1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'AGOSTO 2026'!$B$20:$B$24</c:f>
              <c:strCache>
                <c:ptCount val="5"/>
                <c:pt idx="0">
                  <c:v>NOMINA OPERATIVA BAJO TIERRA</c:v>
                </c:pt>
                <c:pt idx="1">
                  <c:v>ADMINISTRADORES OPERATIVOS</c:v>
                </c:pt>
                <c:pt idx="2">
                  <c:v>PERSONAL ADTIVO MANTENIMIENTO</c:v>
                </c:pt>
                <c:pt idx="3">
                  <c:v>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'AGOSTO 2026'!$D$20:$D$24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 formatCode="0.00%">
                  <c:v>0</c:v>
                </c:pt>
                <c:pt idx="3" formatCode="0.00%">
                  <c:v>0</c:v>
                </c:pt>
                <c:pt idx="4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054-4E65-BEAF-A1E4F984F10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SEGURIDAD SOCIAL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'AGOSTO 2026'!$L$19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1B-4C7F-9AB9-78B51CE8A482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1B-4C7F-9AB9-78B51CE8A482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E1B-4C7F-9AB9-78B51CE8A482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E1B-4C7F-9AB9-78B51CE8A482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E1B-4C7F-9AB9-78B51CE8A4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'AGOSTO 2026'!$K$20:$K$24</c:f>
              <c:strCache>
                <c:ptCount val="5"/>
                <c:pt idx="0">
                  <c:v>SEG SOCIAL OPERATIVA BAJO TIERRA</c:v>
                </c:pt>
                <c:pt idx="1">
                  <c:v>SEG SOCIAL ADMINISTRADORES OPERATIVOS</c:v>
                </c:pt>
                <c:pt idx="2">
                  <c:v>SEG SOCIAL PERSONAL ADTIVO MANTENIMIENTO</c:v>
                </c:pt>
                <c:pt idx="3">
                  <c:v>SEG SOCIAL 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'AGOSTO 2026'!$L$20:$L$24</c:f>
              <c:numCache>
                <c:formatCode>[$$-240A]\ #,##0;\-[$$-240A]\ #,##0</c:formatCode>
                <c:ptCount val="5"/>
                <c:pt idx="0" formatCode="&quot;$&quot;\ #,##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E1B-4C7F-9AB9-78B51CE8A482}"/>
            </c:ext>
          </c:extLst>
        </c:ser>
        <c:ser>
          <c:idx val="1"/>
          <c:order val="1"/>
          <c:tx>
            <c:strRef>
              <c:f>'AGOSTO 2026'!$M$19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DE1B-4C7F-9AB9-78B51CE8A482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DE1B-4C7F-9AB9-78B51CE8A482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DE1B-4C7F-9AB9-78B51CE8A482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DE1B-4C7F-9AB9-78B51CE8A482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DE1B-4C7F-9AB9-78B51CE8A4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'AGOSTO 2026'!$K$20:$K$24</c:f>
              <c:strCache>
                <c:ptCount val="5"/>
                <c:pt idx="0">
                  <c:v>SEG SOCIAL OPERATIVA BAJO TIERRA</c:v>
                </c:pt>
                <c:pt idx="1">
                  <c:v>SEG SOCIAL ADMINISTRADORES OPERATIVOS</c:v>
                </c:pt>
                <c:pt idx="2">
                  <c:v>SEG SOCIAL PERSONAL ADTIVO MANTENIMIENTO</c:v>
                </c:pt>
                <c:pt idx="3">
                  <c:v>SEG SOCIAL 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'AGOSTO 2026'!$M$20:$M$24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 formatCode="0.00%">
                  <c:v>0</c:v>
                </c:pt>
                <c:pt idx="3" formatCode="0.00%">
                  <c:v>0</c:v>
                </c:pt>
                <c:pt idx="4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E1B-4C7F-9AB9-78B51CE8A48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PRESTACIONES SOCIALES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2777777777777778E-2"/>
          <c:y val="0.13412037037037036"/>
          <c:w val="0.58961964129483813"/>
          <c:h val="0.75476851851851856"/>
        </c:manualLayout>
      </c:layout>
      <c:pie3DChart>
        <c:varyColors val="1"/>
        <c:ser>
          <c:idx val="0"/>
          <c:order val="0"/>
          <c:tx>
            <c:strRef>
              <c:f>'AGOSTO 2026'!$C$53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70A6-480D-A25E-3F590E20BE8A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70A6-480D-A25E-3F590E20BE8A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70A6-480D-A25E-3F590E20BE8A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70A6-480D-A25E-3F590E20BE8A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70A6-480D-A25E-3F590E20BE8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'AGOSTO 2026'!$B$54:$B$58</c:f>
              <c:strCache>
                <c:ptCount val="5"/>
                <c:pt idx="0">
                  <c:v>PRESTACIONES SOCIALES  OPERATIVA BAJO TIERRA</c:v>
                </c:pt>
                <c:pt idx="1">
                  <c:v>PRESTACIONES SOCIALES ADMINISTRADORES OPERATIVOS</c:v>
                </c:pt>
                <c:pt idx="2">
                  <c:v>PRESTACIONES SOCIALES PERSONAL ADTIVO MANTENIMIENTO</c:v>
                </c:pt>
                <c:pt idx="3">
                  <c:v>PRESTACIONES SOCIALES PERSONAL ADMINISTRATIVO</c:v>
                </c:pt>
                <c:pt idx="4">
                  <c:v>PRESTACIONES SOCIALES ALTA GERENCIA</c:v>
                </c:pt>
              </c:strCache>
            </c:strRef>
          </c:cat>
          <c:val>
            <c:numRef>
              <c:f>'AGOSTO 2026'!$C$54:$C$58</c:f>
              <c:numCache>
                <c:formatCode>[$$-240A]\ #,##0;\-[$$-240A]\ #,##0</c:formatCode>
                <c:ptCount val="5"/>
                <c:pt idx="0" formatCode="&quot;$&quot;\ #,##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0A6-480D-A25E-3F590E20BE8A}"/>
            </c:ext>
          </c:extLst>
        </c:ser>
        <c:ser>
          <c:idx val="1"/>
          <c:order val="1"/>
          <c:tx>
            <c:strRef>
              <c:f>'AGOSTO 2026'!$D$53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70A6-480D-A25E-3F590E20BE8A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70A6-480D-A25E-3F590E20BE8A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0-70A6-480D-A25E-3F590E20BE8A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2-70A6-480D-A25E-3F590E20BE8A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4-70A6-480D-A25E-3F590E20BE8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'AGOSTO 2026'!$B$54:$B$58</c:f>
              <c:strCache>
                <c:ptCount val="5"/>
                <c:pt idx="0">
                  <c:v>PRESTACIONES SOCIALES  OPERATIVA BAJO TIERRA</c:v>
                </c:pt>
                <c:pt idx="1">
                  <c:v>PRESTACIONES SOCIALES ADMINISTRADORES OPERATIVOS</c:v>
                </c:pt>
                <c:pt idx="2">
                  <c:v>PRESTACIONES SOCIALES PERSONAL ADTIVO MANTENIMIENTO</c:v>
                </c:pt>
                <c:pt idx="3">
                  <c:v>PRESTACIONES SOCIALES PERSONAL ADMINISTRATIVO</c:v>
                </c:pt>
                <c:pt idx="4">
                  <c:v>PRESTACIONES SOCIALES ALTA GERENCIA</c:v>
                </c:pt>
              </c:strCache>
            </c:strRef>
          </c:cat>
          <c:val>
            <c:numRef>
              <c:f>'AGOSTO 2026'!$D$54:$D$58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 formatCode="0.00%">
                  <c:v>0</c:v>
                </c:pt>
                <c:pt idx="3" formatCode="0.00%">
                  <c:v>0</c:v>
                </c:pt>
                <c:pt idx="4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0A6-480D-A25E-3F590E20BE8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NOMINA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'JULIO 2026'!$C$19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428-46B2-A5D5-B053B98A9A05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428-46B2-A5D5-B053B98A9A05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428-46B2-A5D5-B053B98A9A05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428-46B2-A5D5-B053B98A9A05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428-46B2-A5D5-B053B98A9A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'JULIO 2026'!$B$20:$B$24</c:f>
              <c:strCache>
                <c:ptCount val="5"/>
                <c:pt idx="0">
                  <c:v>NOMINA OPERATIVA BAJO TIERRA</c:v>
                </c:pt>
                <c:pt idx="1">
                  <c:v>ADMINISTRADORES OPERATIVOS</c:v>
                </c:pt>
                <c:pt idx="2">
                  <c:v>PERSONAL ADTIVO MANTENIMIENTO</c:v>
                </c:pt>
                <c:pt idx="3">
                  <c:v>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'JULIO 2026'!$C$20:$C$24</c:f>
              <c:numCache>
                <c:formatCode>[$$-240A]\ #,##0;\-[$$-240A]\ #,##0</c:formatCode>
                <c:ptCount val="5"/>
                <c:pt idx="0" formatCode="&quot;$&quot;\ #,##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428-46B2-A5D5-B053B98A9A05}"/>
            </c:ext>
          </c:extLst>
        </c:ser>
        <c:ser>
          <c:idx val="1"/>
          <c:order val="1"/>
          <c:tx>
            <c:strRef>
              <c:f>'JULIO 2026'!$D$19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F428-46B2-A5D5-B053B98A9A05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F428-46B2-A5D5-B053B98A9A05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F428-46B2-A5D5-B053B98A9A05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F428-46B2-A5D5-B053B98A9A05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F428-46B2-A5D5-B053B98A9A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'JULIO 2026'!$B$20:$B$24</c:f>
              <c:strCache>
                <c:ptCount val="5"/>
                <c:pt idx="0">
                  <c:v>NOMINA OPERATIVA BAJO TIERRA</c:v>
                </c:pt>
                <c:pt idx="1">
                  <c:v>ADMINISTRADORES OPERATIVOS</c:v>
                </c:pt>
                <c:pt idx="2">
                  <c:v>PERSONAL ADTIVO MANTENIMIENTO</c:v>
                </c:pt>
                <c:pt idx="3">
                  <c:v>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'JULIO 2026'!$D$20:$D$24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 formatCode="0.00%">
                  <c:v>0</c:v>
                </c:pt>
                <c:pt idx="3" formatCode="0.00%">
                  <c:v>0</c:v>
                </c:pt>
                <c:pt idx="4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428-46B2-A5D5-B053B98A9A0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SEGURIDAD SOCIAL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'JULIO 2026'!$L$19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487-4AC7-B7FE-BA3722056808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87-4AC7-B7FE-BA3722056808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487-4AC7-B7FE-BA3722056808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487-4AC7-B7FE-BA3722056808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487-4AC7-B7FE-BA37220568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'JULIO 2026'!$K$20:$K$24</c:f>
              <c:strCache>
                <c:ptCount val="5"/>
                <c:pt idx="0">
                  <c:v>SEG SOCIAL OPERATIVA BAJO TIERRA</c:v>
                </c:pt>
                <c:pt idx="1">
                  <c:v>SEG SOCIAL ADMINISTRADORES OPERATIVOS</c:v>
                </c:pt>
                <c:pt idx="2">
                  <c:v>SEG SOCIAL PERSONAL ADTIVO MANTENIMIENTO</c:v>
                </c:pt>
                <c:pt idx="3">
                  <c:v>SEG SOCIAL 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'JULIO 2026'!$L$20:$L$24</c:f>
              <c:numCache>
                <c:formatCode>[$$-240A]\ #,##0;\-[$$-240A]\ #,##0</c:formatCode>
                <c:ptCount val="5"/>
                <c:pt idx="0" formatCode="&quot;$&quot;\ #,##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487-4AC7-B7FE-BA3722056808}"/>
            </c:ext>
          </c:extLst>
        </c:ser>
        <c:ser>
          <c:idx val="1"/>
          <c:order val="1"/>
          <c:tx>
            <c:strRef>
              <c:f>'JULIO 2026'!$M$19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C487-4AC7-B7FE-BA3722056808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C487-4AC7-B7FE-BA3722056808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C487-4AC7-B7FE-BA3722056808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C487-4AC7-B7FE-BA3722056808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C487-4AC7-B7FE-BA37220568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'JULIO 2026'!$K$20:$K$24</c:f>
              <c:strCache>
                <c:ptCount val="5"/>
                <c:pt idx="0">
                  <c:v>SEG SOCIAL OPERATIVA BAJO TIERRA</c:v>
                </c:pt>
                <c:pt idx="1">
                  <c:v>SEG SOCIAL ADMINISTRADORES OPERATIVOS</c:v>
                </c:pt>
                <c:pt idx="2">
                  <c:v>SEG SOCIAL PERSONAL ADTIVO MANTENIMIENTO</c:v>
                </c:pt>
                <c:pt idx="3">
                  <c:v>SEG SOCIAL 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'JULIO 2026'!$M$20:$M$24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 formatCode="0.00%">
                  <c:v>0</c:v>
                </c:pt>
                <c:pt idx="3" formatCode="0.00%">
                  <c:v>0</c:v>
                </c:pt>
                <c:pt idx="4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487-4AC7-B7FE-BA372205680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PRESTACIONES SOCIALES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2777777777777778E-2"/>
          <c:y val="0.13412037037037036"/>
          <c:w val="0.58961964129483813"/>
          <c:h val="0.75476851851851856"/>
        </c:manualLayout>
      </c:layout>
      <c:pie3DChart>
        <c:varyColors val="1"/>
        <c:ser>
          <c:idx val="0"/>
          <c:order val="0"/>
          <c:tx>
            <c:strRef>
              <c:f>'JULIO 2026'!$C$53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A6D1-44AF-A883-20D3A91D06F2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A6D1-44AF-A883-20D3A91D06F2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A6D1-44AF-A883-20D3A91D06F2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A6D1-44AF-A883-20D3A91D06F2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A6D1-44AF-A883-20D3A91D06F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'JULIO 2026'!$B$54:$B$58</c:f>
              <c:strCache>
                <c:ptCount val="5"/>
                <c:pt idx="0">
                  <c:v>PRESTACIONES SOCIALES  OPERATIVA BAJO TIERRA</c:v>
                </c:pt>
                <c:pt idx="1">
                  <c:v>PRESTACIONES SOCIALES ADMINISTRADORES OPERATIVOS</c:v>
                </c:pt>
                <c:pt idx="2">
                  <c:v>PRESTACIONES SOCIALES PERSONAL ADTIVO MANTENIMIENTO</c:v>
                </c:pt>
                <c:pt idx="3">
                  <c:v>PRESTACIONES SOCIALES PERSONAL ADMINISTRATIVO</c:v>
                </c:pt>
                <c:pt idx="4">
                  <c:v>PRESTACIONES SOCIALES ALTA GERENCIA</c:v>
                </c:pt>
              </c:strCache>
            </c:strRef>
          </c:cat>
          <c:val>
            <c:numRef>
              <c:f>'JULIO 2026'!$C$54:$C$58</c:f>
              <c:numCache>
                <c:formatCode>[$$-240A]\ #,##0;\-[$$-240A]\ #,##0</c:formatCode>
                <c:ptCount val="5"/>
                <c:pt idx="0" formatCode="&quot;$&quot;\ #,##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6D1-44AF-A883-20D3A91D06F2}"/>
            </c:ext>
          </c:extLst>
        </c:ser>
        <c:ser>
          <c:idx val="1"/>
          <c:order val="1"/>
          <c:tx>
            <c:strRef>
              <c:f>'JULIO 2026'!$D$53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A6D1-44AF-A883-20D3A91D06F2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A6D1-44AF-A883-20D3A91D06F2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0-A6D1-44AF-A883-20D3A91D06F2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2-A6D1-44AF-A883-20D3A91D06F2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4-A6D1-44AF-A883-20D3A91D06F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'JULIO 2026'!$B$54:$B$58</c:f>
              <c:strCache>
                <c:ptCount val="5"/>
                <c:pt idx="0">
                  <c:v>PRESTACIONES SOCIALES  OPERATIVA BAJO TIERRA</c:v>
                </c:pt>
                <c:pt idx="1">
                  <c:v>PRESTACIONES SOCIALES ADMINISTRADORES OPERATIVOS</c:v>
                </c:pt>
                <c:pt idx="2">
                  <c:v>PRESTACIONES SOCIALES PERSONAL ADTIVO MANTENIMIENTO</c:v>
                </c:pt>
                <c:pt idx="3">
                  <c:v>PRESTACIONES SOCIALES PERSONAL ADMINISTRATIVO</c:v>
                </c:pt>
                <c:pt idx="4">
                  <c:v>PRESTACIONES SOCIALES ALTA GERENCIA</c:v>
                </c:pt>
              </c:strCache>
            </c:strRef>
          </c:cat>
          <c:val>
            <c:numRef>
              <c:f>'JULIO 2026'!$D$54:$D$58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 formatCode="0.00%">
                  <c:v>0</c:v>
                </c:pt>
                <c:pt idx="3" formatCode="0.00%">
                  <c:v>0</c:v>
                </c:pt>
                <c:pt idx="4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6D1-44AF-A883-20D3A91D06F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AGOSTO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C4ED-449F-8D78-7EFE41B4889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C4ED-449F-8D78-7EFE41B4889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C4ED-449F-8D78-7EFE41B488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'AGOSTO 2026'!$B$93:$B$95</c:f>
              <c:strCache>
                <c:ptCount val="3"/>
                <c:pt idx="0">
                  <c:v>NOMINA MES DE AGOSTO</c:v>
                </c:pt>
                <c:pt idx="1">
                  <c:v>PRESTACIONES SOCIALES</c:v>
                </c:pt>
                <c:pt idx="2">
                  <c:v>SEGURIDAD SOCIAL</c:v>
                </c:pt>
              </c:strCache>
            </c:strRef>
          </c:cat>
          <c:val>
            <c:numRef>
              <c:f>'AGOSTO 2026'!$C$93:$C$95</c:f>
              <c:numCache>
                <c:formatCode>[$$-240A]\ #,##0;\-[$$-240A]\ 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E6-4E6F-88EB-2B2A27854D77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C4ED-449F-8D78-7EFE41B4889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C4ED-449F-8D78-7EFE41B4889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C4ED-449F-8D78-7EFE41B488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'AGOSTO 2026'!$B$93:$B$95</c:f>
              <c:strCache>
                <c:ptCount val="3"/>
                <c:pt idx="0">
                  <c:v>NOMINA MES DE AGOSTO</c:v>
                </c:pt>
                <c:pt idx="1">
                  <c:v>PRESTACIONES SOCIALES</c:v>
                </c:pt>
                <c:pt idx="2">
                  <c:v>SEGURIDAD SOCIAL</c:v>
                </c:pt>
              </c:strCache>
            </c:strRef>
          </c:cat>
          <c:val>
            <c:numRef>
              <c:f>'AGOSTO 2026'!$D$93:$D$95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E6-4E6F-88EB-2B2A27854D7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NOMINA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'SEPTIEMBRE 2026'!$C$19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B0-4F1A-8A80-08A8A11A9120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DB0-4F1A-8A80-08A8A11A9120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DB0-4F1A-8A80-08A8A11A9120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DB0-4F1A-8A80-08A8A11A9120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DB0-4F1A-8A80-08A8A11A91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'SEPTIEMBRE 2026'!$B$20:$B$24</c:f>
              <c:strCache>
                <c:ptCount val="5"/>
                <c:pt idx="0">
                  <c:v>NOMINA OPERATIVA BAJO TIERRA</c:v>
                </c:pt>
                <c:pt idx="1">
                  <c:v>ADMINISTRADORES OPERATIVOS</c:v>
                </c:pt>
                <c:pt idx="2">
                  <c:v>PERSONAL ADTIVO MANTENIMIENTO</c:v>
                </c:pt>
                <c:pt idx="3">
                  <c:v>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'SEPTIEMBRE 2026'!$C$20:$C$24</c:f>
              <c:numCache>
                <c:formatCode>[$$-240A]\ #,##0;\-[$$-240A]\ #,##0</c:formatCode>
                <c:ptCount val="5"/>
                <c:pt idx="0" formatCode="&quot;$&quot;\ #,##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DB0-4F1A-8A80-08A8A11A9120}"/>
            </c:ext>
          </c:extLst>
        </c:ser>
        <c:ser>
          <c:idx val="1"/>
          <c:order val="1"/>
          <c:tx>
            <c:strRef>
              <c:f>'SEPTIEMBRE 2026'!$D$19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8DB0-4F1A-8A80-08A8A11A9120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8DB0-4F1A-8A80-08A8A11A9120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8DB0-4F1A-8A80-08A8A11A9120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8DB0-4F1A-8A80-08A8A11A9120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8DB0-4F1A-8A80-08A8A11A91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'SEPTIEMBRE 2026'!$B$20:$B$24</c:f>
              <c:strCache>
                <c:ptCount val="5"/>
                <c:pt idx="0">
                  <c:v>NOMINA OPERATIVA BAJO TIERRA</c:v>
                </c:pt>
                <c:pt idx="1">
                  <c:v>ADMINISTRADORES OPERATIVOS</c:v>
                </c:pt>
                <c:pt idx="2">
                  <c:v>PERSONAL ADTIVO MANTENIMIENTO</c:v>
                </c:pt>
                <c:pt idx="3">
                  <c:v>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'SEPTIEMBRE 2026'!$D$20:$D$24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 formatCode="0.00%">
                  <c:v>0</c:v>
                </c:pt>
                <c:pt idx="3" formatCode="0.00%">
                  <c:v>0</c:v>
                </c:pt>
                <c:pt idx="4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8DB0-4F1A-8A80-08A8A11A912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SEGURIDAD SOCIAL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'SEPTIEMBRE 2026'!$L$19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40-422B-9852-3A2AC68B24BD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40-422B-9852-3A2AC68B24BD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E40-422B-9852-3A2AC68B24BD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E40-422B-9852-3A2AC68B24BD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E40-422B-9852-3A2AC68B24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'SEPTIEMBRE 2026'!$K$20:$K$24</c:f>
              <c:strCache>
                <c:ptCount val="5"/>
                <c:pt idx="0">
                  <c:v>SEG SOCIAL OPERATIVA BAJO TIERRA</c:v>
                </c:pt>
                <c:pt idx="1">
                  <c:v>SEG SOCIAL ADMINISTRADORES OPERATIVOS</c:v>
                </c:pt>
                <c:pt idx="2">
                  <c:v>SEG SOCIAL PERSONAL ADTIVO MANTENIMIENTO</c:v>
                </c:pt>
                <c:pt idx="3">
                  <c:v>SEG SOCIAL 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'SEPTIEMBRE 2026'!$L$20:$L$24</c:f>
              <c:numCache>
                <c:formatCode>[$$-240A]\ #,##0;\-[$$-240A]\ #,##0</c:formatCode>
                <c:ptCount val="5"/>
                <c:pt idx="0" formatCode="&quot;$&quot;\ #,##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E40-422B-9852-3A2AC68B24BD}"/>
            </c:ext>
          </c:extLst>
        </c:ser>
        <c:ser>
          <c:idx val="1"/>
          <c:order val="1"/>
          <c:tx>
            <c:strRef>
              <c:f>'SEPTIEMBRE 2026'!$M$19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BE40-422B-9852-3A2AC68B24BD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BE40-422B-9852-3A2AC68B24BD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BE40-422B-9852-3A2AC68B24BD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BE40-422B-9852-3A2AC68B24BD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BE40-422B-9852-3A2AC68B24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'SEPTIEMBRE 2026'!$K$20:$K$24</c:f>
              <c:strCache>
                <c:ptCount val="5"/>
                <c:pt idx="0">
                  <c:v>SEG SOCIAL OPERATIVA BAJO TIERRA</c:v>
                </c:pt>
                <c:pt idx="1">
                  <c:v>SEG SOCIAL ADMINISTRADORES OPERATIVOS</c:v>
                </c:pt>
                <c:pt idx="2">
                  <c:v>SEG SOCIAL PERSONAL ADTIVO MANTENIMIENTO</c:v>
                </c:pt>
                <c:pt idx="3">
                  <c:v>SEG SOCIAL 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'SEPTIEMBRE 2026'!$M$20:$M$24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 formatCode="0.00%">
                  <c:v>0</c:v>
                </c:pt>
                <c:pt idx="3" formatCode="0.00%">
                  <c:v>0</c:v>
                </c:pt>
                <c:pt idx="4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E40-422B-9852-3A2AC68B24B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PRESTACIONES SOCIALES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2777777777777778E-2"/>
          <c:y val="0.13412037037037036"/>
          <c:w val="0.58961964129483813"/>
          <c:h val="0.75476851851851856"/>
        </c:manualLayout>
      </c:layout>
      <c:pie3DChart>
        <c:varyColors val="1"/>
        <c:ser>
          <c:idx val="0"/>
          <c:order val="0"/>
          <c:tx>
            <c:strRef>
              <c:f>'SEPTIEMBRE 2026'!$C$53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77BE-4E8F-9A12-888EF5111BB6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77BE-4E8F-9A12-888EF5111BB6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77BE-4E8F-9A12-888EF5111BB6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77BE-4E8F-9A12-888EF5111BB6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77BE-4E8F-9A12-888EF5111BB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'SEPTIEMBRE 2026'!$B$54:$B$58</c:f>
              <c:strCache>
                <c:ptCount val="5"/>
                <c:pt idx="0">
                  <c:v>PRESTACIONES SOCIALES  OPERATIVA BAJO TIERRA</c:v>
                </c:pt>
                <c:pt idx="1">
                  <c:v>PRESTACIONES SOCIALES ADMINISTRADORES OPERATIVOS</c:v>
                </c:pt>
                <c:pt idx="2">
                  <c:v>PRESTACIONES SOCIALES PERSONAL ADTIVO MANTENIMIENTO</c:v>
                </c:pt>
                <c:pt idx="3">
                  <c:v>PRESTACIONES SOCIALES PERSONAL ADMINISTRATIVO</c:v>
                </c:pt>
                <c:pt idx="4">
                  <c:v>PRESTACIONES SOCIALES ALTA GERENCIA</c:v>
                </c:pt>
              </c:strCache>
            </c:strRef>
          </c:cat>
          <c:val>
            <c:numRef>
              <c:f>'SEPTIEMBRE 2026'!$C$54:$C$58</c:f>
              <c:numCache>
                <c:formatCode>[$$-240A]\ #,##0;\-[$$-240A]\ #,##0</c:formatCode>
                <c:ptCount val="5"/>
                <c:pt idx="0" formatCode="&quot;$&quot;\ #,##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7BE-4E8F-9A12-888EF5111BB6}"/>
            </c:ext>
          </c:extLst>
        </c:ser>
        <c:ser>
          <c:idx val="1"/>
          <c:order val="1"/>
          <c:tx>
            <c:strRef>
              <c:f>'SEPTIEMBRE 2026'!$D$53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77BE-4E8F-9A12-888EF5111BB6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77BE-4E8F-9A12-888EF5111BB6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0-77BE-4E8F-9A12-888EF5111BB6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2-77BE-4E8F-9A12-888EF5111BB6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4-77BE-4E8F-9A12-888EF5111BB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'SEPTIEMBRE 2026'!$B$54:$B$58</c:f>
              <c:strCache>
                <c:ptCount val="5"/>
                <c:pt idx="0">
                  <c:v>PRESTACIONES SOCIALES  OPERATIVA BAJO TIERRA</c:v>
                </c:pt>
                <c:pt idx="1">
                  <c:v>PRESTACIONES SOCIALES ADMINISTRADORES OPERATIVOS</c:v>
                </c:pt>
                <c:pt idx="2">
                  <c:v>PRESTACIONES SOCIALES PERSONAL ADTIVO MANTENIMIENTO</c:v>
                </c:pt>
                <c:pt idx="3">
                  <c:v>PRESTACIONES SOCIALES PERSONAL ADMINISTRATIVO</c:v>
                </c:pt>
                <c:pt idx="4">
                  <c:v>PRESTACIONES SOCIALES ALTA GERENCIA</c:v>
                </c:pt>
              </c:strCache>
            </c:strRef>
          </c:cat>
          <c:val>
            <c:numRef>
              <c:f>'SEPTIEMBRE 2026'!$D$54:$D$58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 formatCode="0.00%">
                  <c:v>0</c:v>
                </c:pt>
                <c:pt idx="3" formatCode="0.00%">
                  <c:v>0</c:v>
                </c:pt>
                <c:pt idx="4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7BE-4E8F-9A12-888EF5111BB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NOMINA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'JULIO 2026'!$C$19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4D7-40AE-ACD1-1F883C31324F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4D7-40AE-ACD1-1F883C31324F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4D7-40AE-ACD1-1F883C31324F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4D7-40AE-ACD1-1F883C31324F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4D7-40AE-ACD1-1F883C3132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'JULIO 2026'!$B$20:$B$24</c:f>
              <c:strCache>
                <c:ptCount val="5"/>
                <c:pt idx="0">
                  <c:v>NOMINA OPERATIVA BAJO TIERRA</c:v>
                </c:pt>
                <c:pt idx="1">
                  <c:v>ADMINISTRADORES OPERATIVOS</c:v>
                </c:pt>
                <c:pt idx="2">
                  <c:v>PERSONAL ADTIVO MANTENIMIENTO</c:v>
                </c:pt>
                <c:pt idx="3">
                  <c:v>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'JULIO 2026'!$C$20:$C$24</c:f>
              <c:numCache>
                <c:formatCode>[$$-240A]\ #,##0;\-[$$-240A]\ #,##0</c:formatCode>
                <c:ptCount val="5"/>
                <c:pt idx="0" formatCode="&quot;$&quot;\ #,##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4D7-40AE-ACD1-1F883C31324F}"/>
            </c:ext>
          </c:extLst>
        </c:ser>
        <c:ser>
          <c:idx val="1"/>
          <c:order val="1"/>
          <c:tx>
            <c:strRef>
              <c:f>'JULIO 2026'!$D$19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14D7-40AE-ACD1-1F883C31324F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14D7-40AE-ACD1-1F883C31324F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14D7-40AE-ACD1-1F883C31324F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14D7-40AE-ACD1-1F883C31324F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14D7-40AE-ACD1-1F883C3132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'JULIO 2026'!$B$20:$B$24</c:f>
              <c:strCache>
                <c:ptCount val="5"/>
                <c:pt idx="0">
                  <c:v>NOMINA OPERATIVA BAJO TIERRA</c:v>
                </c:pt>
                <c:pt idx="1">
                  <c:v>ADMINISTRADORES OPERATIVOS</c:v>
                </c:pt>
                <c:pt idx="2">
                  <c:v>PERSONAL ADTIVO MANTENIMIENTO</c:v>
                </c:pt>
                <c:pt idx="3">
                  <c:v>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'JULIO 2026'!$D$20:$D$24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 formatCode="0.00%">
                  <c:v>0</c:v>
                </c:pt>
                <c:pt idx="3" formatCode="0.00%">
                  <c:v>0</c:v>
                </c:pt>
                <c:pt idx="4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4D7-40AE-ACD1-1F883C31324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SEGURIDAD SOCIAL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'JULIO 2026'!$L$19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2F0-4C7D-A797-DD2B2AA8009C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F0-4C7D-A797-DD2B2AA8009C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2F0-4C7D-A797-DD2B2AA8009C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2F0-4C7D-A797-DD2B2AA8009C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2F0-4C7D-A797-DD2B2AA800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'JULIO 2026'!$K$20:$K$24</c:f>
              <c:strCache>
                <c:ptCount val="5"/>
                <c:pt idx="0">
                  <c:v>SEG SOCIAL OPERATIVA BAJO TIERRA</c:v>
                </c:pt>
                <c:pt idx="1">
                  <c:v>SEG SOCIAL ADMINISTRADORES OPERATIVOS</c:v>
                </c:pt>
                <c:pt idx="2">
                  <c:v>SEG SOCIAL PERSONAL ADTIVO MANTENIMIENTO</c:v>
                </c:pt>
                <c:pt idx="3">
                  <c:v>SEG SOCIAL 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'JULIO 2026'!$L$20:$L$24</c:f>
              <c:numCache>
                <c:formatCode>[$$-240A]\ #,##0;\-[$$-240A]\ #,##0</c:formatCode>
                <c:ptCount val="5"/>
                <c:pt idx="0" formatCode="&quot;$&quot;\ #,##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2F0-4C7D-A797-DD2B2AA8009C}"/>
            </c:ext>
          </c:extLst>
        </c:ser>
        <c:ser>
          <c:idx val="1"/>
          <c:order val="1"/>
          <c:tx>
            <c:strRef>
              <c:f>'JULIO 2026'!$M$19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22F0-4C7D-A797-DD2B2AA8009C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22F0-4C7D-A797-DD2B2AA8009C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22F0-4C7D-A797-DD2B2AA8009C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22F0-4C7D-A797-DD2B2AA8009C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22F0-4C7D-A797-DD2B2AA800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'JULIO 2026'!$K$20:$K$24</c:f>
              <c:strCache>
                <c:ptCount val="5"/>
                <c:pt idx="0">
                  <c:v>SEG SOCIAL OPERATIVA BAJO TIERRA</c:v>
                </c:pt>
                <c:pt idx="1">
                  <c:v>SEG SOCIAL ADMINISTRADORES OPERATIVOS</c:v>
                </c:pt>
                <c:pt idx="2">
                  <c:v>SEG SOCIAL PERSONAL ADTIVO MANTENIMIENTO</c:v>
                </c:pt>
                <c:pt idx="3">
                  <c:v>SEG SOCIAL 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'JULIO 2026'!$M$20:$M$24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 formatCode="0.00%">
                  <c:v>0</c:v>
                </c:pt>
                <c:pt idx="3" formatCode="0.00%">
                  <c:v>0</c:v>
                </c:pt>
                <c:pt idx="4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2F0-4C7D-A797-DD2B2AA8009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PRESTACIONES SOCIALES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2777777777777778E-2"/>
          <c:y val="0.13412037037037036"/>
          <c:w val="0.58961964129483813"/>
          <c:h val="0.75476851851851856"/>
        </c:manualLayout>
      </c:layout>
      <c:pie3DChart>
        <c:varyColors val="1"/>
        <c:ser>
          <c:idx val="0"/>
          <c:order val="0"/>
          <c:tx>
            <c:strRef>
              <c:f>'JULIO 2026'!$C$53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5EAC-45B5-9C44-B7539FDB9AAB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5EAC-45B5-9C44-B7539FDB9AAB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5EAC-45B5-9C44-B7539FDB9AAB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5EAC-45B5-9C44-B7539FDB9AAB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5EAC-45B5-9C44-B7539FDB9AA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'JULIO 2026'!$B$54:$B$58</c:f>
              <c:strCache>
                <c:ptCount val="5"/>
                <c:pt idx="0">
                  <c:v>PRESTACIONES SOCIALES  OPERATIVA BAJO TIERRA</c:v>
                </c:pt>
                <c:pt idx="1">
                  <c:v>PRESTACIONES SOCIALES ADMINISTRADORES OPERATIVOS</c:v>
                </c:pt>
                <c:pt idx="2">
                  <c:v>PRESTACIONES SOCIALES PERSONAL ADTIVO MANTENIMIENTO</c:v>
                </c:pt>
                <c:pt idx="3">
                  <c:v>PRESTACIONES SOCIALES PERSONAL ADMINISTRATIVO</c:v>
                </c:pt>
                <c:pt idx="4">
                  <c:v>PRESTACIONES SOCIALES ALTA GERENCIA</c:v>
                </c:pt>
              </c:strCache>
            </c:strRef>
          </c:cat>
          <c:val>
            <c:numRef>
              <c:f>'JULIO 2026'!$C$54:$C$58</c:f>
              <c:numCache>
                <c:formatCode>[$$-240A]\ #,##0;\-[$$-240A]\ #,##0</c:formatCode>
                <c:ptCount val="5"/>
                <c:pt idx="0" formatCode="&quot;$&quot;\ #,##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EAC-45B5-9C44-B7539FDB9AAB}"/>
            </c:ext>
          </c:extLst>
        </c:ser>
        <c:ser>
          <c:idx val="1"/>
          <c:order val="1"/>
          <c:tx>
            <c:strRef>
              <c:f>'JULIO 2026'!$D$53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5EAC-45B5-9C44-B7539FDB9AAB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5EAC-45B5-9C44-B7539FDB9AAB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0-5EAC-45B5-9C44-B7539FDB9AAB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2-5EAC-45B5-9C44-B7539FDB9AAB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4-5EAC-45B5-9C44-B7539FDB9AA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'JULIO 2026'!$B$54:$B$58</c:f>
              <c:strCache>
                <c:ptCount val="5"/>
                <c:pt idx="0">
                  <c:v>PRESTACIONES SOCIALES  OPERATIVA BAJO TIERRA</c:v>
                </c:pt>
                <c:pt idx="1">
                  <c:v>PRESTACIONES SOCIALES ADMINISTRADORES OPERATIVOS</c:v>
                </c:pt>
                <c:pt idx="2">
                  <c:v>PRESTACIONES SOCIALES PERSONAL ADTIVO MANTENIMIENTO</c:v>
                </c:pt>
                <c:pt idx="3">
                  <c:v>PRESTACIONES SOCIALES PERSONAL ADMINISTRATIVO</c:v>
                </c:pt>
                <c:pt idx="4">
                  <c:v>PRESTACIONES SOCIALES ALTA GERENCIA</c:v>
                </c:pt>
              </c:strCache>
            </c:strRef>
          </c:cat>
          <c:val>
            <c:numRef>
              <c:f>'JULIO 2026'!$D$54:$D$58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 formatCode="0.00%">
                  <c:v>0</c:v>
                </c:pt>
                <c:pt idx="3" formatCode="0.00%">
                  <c:v>0</c:v>
                </c:pt>
                <c:pt idx="4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5EAC-45B5-9C44-B7539FDB9AA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SEPTIEMBRE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2DE-4E07-AAA0-6B9638FD331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2DE-4E07-AAA0-6B9638FD331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2DE-4E07-AAA0-6B9638FD33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'SEPTIEMBRE 2026'!$B$93:$B$95</c:f>
              <c:strCache>
                <c:ptCount val="3"/>
                <c:pt idx="0">
                  <c:v>NOMINA MES DE JULIO</c:v>
                </c:pt>
                <c:pt idx="1">
                  <c:v>PRESTACIONES SOCIALES</c:v>
                </c:pt>
                <c:pt idx="2">
                  <c:v>SEGURIDAD SOCIAL</c:v>
                </c:pt>
              </c:strCache>
            </c:strRef>
          </c:cat>
          <c:val>
            <c:numRef>
              <c:f>'SEPTIEMBRE 2026'!$C$93:$C$95</c:f>
              <c:numCache>
                <c:formatCode>[$$-240A]\ #,##0;\-[$$-240A]\ 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9C-4B22-A8B5-CFB16A4EB5DC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F2DE-4E07-AAA0-6B9638FD331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F2DE-4E07-AAA0-6B9638FD331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F2DE-4E07-AAA0-6B9638FD33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'SEPTIEMBRE 2026'!$B$93:$B$95</c:f>
              <c:strCache>
                <c:ptCount val="3"/>
                <c:pt idx="0">
                  <c:v>NOMINA MES DE JULIO</c:v>
                </c:pt>
                <c:pt idx="1">
                  <c:v>PRESTACIONES SOCIALES</c:v>
                </c:pt>
                <c:pt idx="2">
                  <c:v>SEGURIDAD SOCIAL</c:v>
                </c:pt>
              </c:strCache>
            </c:strRef>
          </c:cat>
          <c:val>
            <c:numRef>
              <c:f>'SEPTIEMBRE 2026'!$D$93:$D$95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9C-4B22-A8B5-CFB16A4EB5D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NOMINA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'OCTUBRE 2026'!$C$19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05-4C19-B7B6-1A1680661377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05-4C19-B7B6-1A1680661377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005-4C19-B7B6-1A1680661377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005-4C19-B7B6-1A1680661377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005-4C19-B7B6-1A168066137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'OCTUBRE 2026'!$B$20:$B$24</c:f>
              <c:strCache>
                <c:ptCount val="5"/>
                <c:pt idx="0">
                  <c:v>NOMINA OPERATIVA BAJO TIERRA</c:v>
                </c:pt>
                <c:pt idx="1">
                  <c:v>ADMINISTRADORES OPERATIVOS</c:v>
                </c:pt>
                <c:pt idx="2">
                  <c:v>PERSONAL ADTIVO MANTENIMIENTO</c:v>
                </c:pt>
                <c:pt idx="3">
                  <c:v>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'OCTUBRE 2026'!$C$20:$C$24</c:f>
              <c:numCache>
                <c:formatCode>"$"\ 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005-4C19-B7B6-1A1680661377}"/>
            </c:ext>
          </c:extLst>
        </c:ser>
        <c:ser>
          <c:idx val="1"/>
          <c:order val="1"/>
          <c:tx>
            <c:strRef>
              <c:f>'OCTUBRE 2026'!$D$19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5005-4C19-B7B6-1A1680661377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5005-4C19-B7B6-1A1680661377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5005-4C19-B7B6-1A1680661377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5005-4C19-B7B6-1A1680661377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5005-4C19-B7B6-1A168066137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'OCTUBRE 2026'!$B$20:$B$24</c:f>
              <c:strCache>
                <c:ptCount val="5"/>
                <c:pt idx="0">
                  <c:v>NOMINA OPERATIVA BAJO TIERRA</c:v>
                </c:pt>
                <c:pt idx="1">
                  <c:v>ADMINISTRADORES OPERATIVOS</c:v>
                </c:pt>
                <c:pt idx="2">
                  <c:v>PERSONAL ADTIVO MANTENIMIENTO</c:v>
                </c:pt>
                <c:pt idx="3">
                  <c:v>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'OCTUBRE 2026'!$D$20:$D$24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 formatCode="0.00%">
                  <c:v>0</c:v>
                </c:pt>
                <c:pt idx="3" formatCode="0.00%">
                  <c:v>0</c:v>
                </c:pt>
                <c:pt idx="4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5005-4C19-B7B6-1A168066137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SEGURIDAD SOCIAL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'OCTUBRE 2026'!$L$19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F2-47C1-8340-9ED177195695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F2-47C1-8340-9ED177195695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9F2-47C1-8340-9ED177195695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9F2-47C1-8340-9ED177195695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9F2-47C1-8340-9ED17719569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'OCTUBRE 2026'!$K$20:$K$24</c:f>
              <c:strCache>
                <c:ptCount val="5"/>
                <c:pt idx="0">
                  <c:v>SEG SOCIAL OPERATIVA BAJO TIERRA</c:v>
                </c:pt>
                <c:pt idx="1">
                  <c:v>SEG SOCIAL ADMINISTRADORES OPERATIVOS</c:v>
                </c:pt>
                <c:pt idx="2">
                  <c:v>SEG SOCIAL PERSONAL ADTIVO MANTENIMIENTO</c:v>
                </c:pt>
                <c:pt idx="3">
                  <c:v>SEG SOCIAL 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'OCTUBRE 2026'!$L$20:$L$24</c:f>
              <c:numCache>
                <c:formatCode>"$"\ 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9F2-47C1-8340-9ED177195695}"/>
            </c:ext>
          </c:extLst>
        </c:ser>
        <c:ser>
          <c:idx val="1"/>
          <c:order val="1"/>
          <c:tx>
            <c:strRef>
              <c:f>'OCTUBRE 2026'!$M$19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D9F2-47C1-8340-9ED177195695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D9F2-47C1-8340-9ED177195695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D9F2-47C1-8340-9ED177195695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D9F2-47C1-8340-9ED177195695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D9F2-47C1-8340-9ED17719569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'OCTUBRE 2026'!$K$20:$K$24</c:f>
              <c:strCache>
                <c:ptCount val="5"/>
                <c:pt idx="0">
                  <c:v>SEG SOCIAL OPERATIVA BAJO TIERRA</c:v>
                </c:pt>
                <c:pt idx="1">
                  <c:v>SEG SOCIAL ADMINISTRADORES OPERATIVOS</c:v>
                </c:pt>
                <c:pt idx="2">
                  <c:v>SEG SOCIAL PERSONAL ADTIVO MANTENIMIENTO</c:v>
                </c:pt>
                <c:pt idx="3">
                  <c:v>SEG SOCIAL 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'OCTUBRE 2026'!$M$20:$M$24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 formatCode="0.00%">
                  <c:v>0</c:v>
                </c:pt>
                <c:pt idx="3" formatCode="0.00%">
                  <c:v>0</c:v>
                </c:pt>
                <c:pt idx="4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9F2-47C1-8340-9ED17719569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PRESTACIONES SOCIALES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2777777777777778E-2"/>
          <c:y val="0.13412037037037036"/>
          <c:w val="0.58961964129483813"/>
          <c:h val="0.75476851851851856"/>
        </c:manualLayout>
      </c:layout>
      <c:pie3DChart>
        <c:varyColors val="1"/>
        <c:ser>
          <c:idx val="0"/>
          <c:order val="0"/>
          <c:tx>
            <c:strRef>
              <c:f>'OCTUBRE 2026'!$C$53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8056-4BA0-975F-A2D7B16DF8B0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8056-4BA0-975F-A2D7B16DF8B0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8056-4BA0-975F-A2D7B16DF8B0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8056-4BA0-975F-A2D7B16DF8B0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8056-4BA0-975F-A2D7B16DF8B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'OCTUBRE 2026'!$B$54:$B$58</c:f>
              <c:strCache>
                <c:ptCount val="5"/>
                <c:pt idx="0">
                  <c:v>PRESTACIONES SOCIALES  OPERATIVA BAJO TIERRA</c:v>
                </c:pt>
                <c:pt idx="1">
                  <c:v>PRESTACIONES SOCIALES ADMINISTRADORES OPERATIVOS</c:v>
                </c:pt>
                <c:pt idx="2">
                  <c:v>PRESTACIONES SOCIALES PERSONAL ADTIVO MANTENIMIENTO</c:v>
                </c:pt>
                <c:pt idx="3">
                  <c:v>PRESTACIONES SOCIALES PERSONAL ADMINISTRATIVO</c:v>
                </c:pt>
                <c:pt idx="4">
                  <c:v>PRESTACIONES SOCIALES ALTA GERENCIA</c:v>
                </c:pt>
              </c:strCache>
            </c:strRef>
          </c:cat>
          <c:val>
            <c:numRef>
              <c:f>'OCTUBRE 2026'!$C$54:$C$58</c:f>
              <c:numCache>
                <c:formatCode>"$"\ 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056-4BA0-975F-A2D7B16DF8B0}"/>
            </c:ext>
          </c:extLst>
        </c:ser>
        <c:ser>
          <c:idx val="1"/>
          <c:order val="1"/>
          <c:tx>
            <c:strRef>
              <c:f>'OCTUBRE 2026'!$D$53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8056-4BA0-975F-A2D7B16DF8B0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8056-4BA0-975F-A2D7B16DF8B0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0-8056-4BA0-975F-A2D7B16DF8B0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2-8056-4BA0-975F-A2D7B16DF8B0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4-8056-4BA0-975F-A2D7B16DF8B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'OCTUBRE 2026'!$B$54:$B$58</c:f>
              <c:strCache>
                <c:ptCount val="5"/>
                <c:pt idx="0">
                  <c:v>PRESTACIONES SOCIALES  OPERATIVA BAJO TIERRA</c:v>
                </c:pt>
                <c:pt idx="1">
                  <c:v>PRESTACIONES SOCIALES ADMINISTRADORES OPERATIVOS</c:v>
                </c:pt>
                <c:pt idx="2">
                  <c:v>PRESTACIONES SOCIALES PERSONAL ADTIVO MANTENIMIENTO</c:v>
                </c:pt>
                <c:pt idx="3">
                  <c:v>PRESTACIONES SOCIALES PERSONAL ADMINISTRATIVO</c:v>
                </c:pt>
                <c:pt idx="4">
                  <c:v>PRESTACIONES SOCIALES ALTA GERENCIA</c:v>
                </c:pt>
              </c:strCache>
            </c:strRef>
          </c:cat>
          <c:val>
            <c:numRef>
              <c:f>'OCTUBRE 2026'!$D$54:$D$58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 formatCode="0.00%">
                  <c:v>0</c:v>
                </c:pt>
                <c:pt idx="3" formatCode="0.00%">
                  <c:v>0</c:v>
                </c:pt>
                <c:pt idx="4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8056-4BA0-975F-A2D7B16DF8B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NOMINA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'JULIO 2026'!$C$19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BBD-43BF-9695-D2E2847E7B0C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BBD-43BF-9695-D2E2847E7B0C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BBD-43BF-9695-D2E2847E7B0C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BBD-43BF-9695-D2E2847E7B0C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BBD-43BF-9695-D2E2847E7B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'JULIO 2026'!$B$20:$B$24</c:f>
              <c:strCache>
                <c:ptCount val="5"/>
                <c:pt idx="0">
                  <c:v>NOMINA OPERATIVA BAJO TIERRA</c:v>
                </c:pt>
                <c:pt idx="1">
                  <c:v>ADMINISTRADORES OPERATIVOS</c:v>
                </c:pt>
                <c:pt idx="2">
                  <c:v>PERSONAL ADTIVO MANTENIMIENTO</c:v>
                </c:pt>
                <c:pt idx="3">
                  <c:v>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'JULIO 2026'!$C$20:$C$24</c:f>
              <c:numCache>
                <c:formatCode>[$$-240A]\ #,##0;\-[$$-240A]\ #,##0</c:formatCode>
                <c:ptCount val="5"/>
                <c:pt idx="0" formatCode="&quot;$&quot;\ #,##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BBD-43BF-9695-D2E2847E7B0C}"/>
            </c:ext>
          </c:extLst>
        </c:ser>
        <c:ser>
          <c:idx val="1"/>
          <c:order val="1"/>
          <c:tx>
            <c:strRef>
              <c:f>'JULIO 2026'!$D$19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6BBD-43BF-9695-D2E2847E7B0C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6BBD-43BF-9695-D2E2847E7B0C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6BBD-43BF-9695-D2E2847E7B0C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6BBD-43BF-9695-D2E2847E7B0C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6BBD-43BF-9695-D2E2847E7B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'JULIO 2026'!$B$20:$B$24</c:f>
              <c:strCache>
                <c:ptCount val="5"/>
                <c:pt idx="0">
                  <c:v>NOMINA OPERATIVA BAJO TIERRA</c:v>
                </c:pt>
                <c:pt idx="1">
                  <c:v>ADMINISTRADORES OPERATIVOS</c:v>
                </c:pt>
                <c:pt idx="2">
                  <c:v>PERSONAL ADTIVO MANTENIMIENTO</c:v>
                </c:pt>
                <c:pt idx="3">
                  <c:v>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'JULIO 2026'!$D$20:$D$24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 formatCode="0.00%">
                  <c:v>0</c:v>
                </c:pt>
                <c:pt idx="3" formatCode="0.00%">
                  <c:v>0</c:v>
                </c:pt>
                <c:pt idx="4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BBD-43BF-9695-D2E2847E7B0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SEGURIDAD SOCIAL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'JULIO 2026'!$L$19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DB-487E-8E61-6837AB6E4D75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DB-487E-8E61-6837AB6E4D75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0DB-487E-8E61-6837AB6E4D75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0DB-487E-8E61-6837AB6E4D75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0DB-487E-8E61-6837AB6E4D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'JULIO 2026'!$K$20:$K$24</c:f>
              <c:strCache>
                <c:ptCount val="5"/>
                <c:pt idx="0">
                  <c:v>SEG SOCIAL OPERATIVA BAJO TIERRA</c:v>
                </c:pt>
                <c:pt idx="1">
                  <c:v>SEG SOCIAL ADMINISTRADORES OPERATIVOS</c:v>
                </c:pt>
                <c:pt idx="2">
                  <c:v>SEG SOCIAL PERSONAL ADTIVO MANTENIMIENTO</c:v>
                </c:pt>
                <c:pt idx="3">
                  <c:v>SEG SOCIAL 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'JULIO 2026'!$L$20:$L$24</c:f>
              <c:numCache>
                <c:formatCode>[$$-240A]\ #,##0;\-[$$-240A]\ #,##0</c:formatCode>
                <c:ptCount val="5"/>
                <c:pt idx="0" formatCode="&quot;$&quot;\ #,##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0DB-487E-8E61-6837AB6E4D75}"/>
            </c:ext>
          </c:extLst>
        </c:ser>
        <c:ser>
          <c:idx val="1"/>
          <c:order val="1"/>
          <c:tx>
            <c:strRef>
              <c:f>'JULIO 2026'!$M$19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50DB-487E-8E61-6837AB6E4D75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50DB-487E-8E61-6837AB6E4D75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50DB-487E-8E61-6837AB6E4D75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50DB-487E-8E61-6837AB6E4D75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50DB-487E-8E61-6837AB6E4D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'JULIO 2026'!$K$20:$K$24</c:f>
              <c:strCache>
                <c:ptCount val="5"/>
                <c:pt idx="0">
                  <c:v>SEG SOCIAL OPERATIVA BAJO TIERRA</c:v>
                </c:pt>
                <c:pt idx="1">
                  <c:v>SEG SOCIAL ADMINISTRADORES OPERATIVOS</c:v>
                </c:pt>
                <c:pt idx="2">
                  <c:v>SEG SOCIAL PERSONAL ADTIVO MANTENIMIENTO</c:v>
                </c:pt>
                <c:pt idx="3">
                  <c:v>SEG SOCIAL 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'JULIO 2026'!$M$20:$M$24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 formatCode="0.00%">
                  <c:v>0</c:v>
                </c:pt>
                <c:pt idx="3" formatCode="0.00%">
                  <c:v>0</c:v>
                </c:pt>
                <c:pt idx="4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50DB-487E-8E61-6837AB6E4D7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PRESTACIONES SOCIALES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2777777777777778E-2"/>
          <c:y val="0.13412037037037036"/>
          <c:w val="0.58961964129483813"/>
          <c:h val="0.75476851851851856"/>
        </c:manualLayout>
      </c:layout>
      <c:pie3DChart>
        <c:varyColors val="1"/>
        <c:ser>
          <c:idx val="0"/>
          <c:order val="0"/>
          <c:tx>
            <c:strRef>
              <c:f>'JULIO 2026'!$C$53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327E-485B-95DF-0C64D3E561D2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327E-485B-95DF-0C64D3E561D2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327E-485B-95DF-0C64D3E561D2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327E-485B-95DF-0C64D3E561D2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327E-485B-95DF-0C64D3E561D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'JULIO 2026'!$B$54:$B$58</c:f>
              <c:strCache>
                <c:ptCount val="5"/>
                <c:pt idx="0">
                  <c:v>PRESTACIONES SOCIALES  OPERATIVA BAJO TIERRA</c:v>
                </c:pt>
                <c:pt idx="1">
                  <c:v>PRESTACIONES SOCIALES ADMINISTRADORES OPERATIVOS</c:v>
                </c:pt>
                <c:pt idx="2">
                  <c:v>PRESTACIONES SOCIALES PERSONAL ADTIVO MANTENIMIENTO</c:v>
                </c:pt>
                <c:pt idx="3">
                  <c:v>PRESTACIONES SOCIALES PERSONAL ADMINISTRATIVO</c:v>
                </c:pt>
                <c:pt idx="4">
                  <c:v>PRESTACIONES SOCIALES ALTA GERENCIA</c:v>
                </c:pt>
              </c:strCache>
            </c:strRef>
          </c:cat>
          <c:val>
            <c:numRef>
              <c:f>'JULIO 2026'!$C$54:$C$58</c:f>
              <c:numCache>
                <c:formatCode>[$$-240A]\ #,##0;\-[$$-240A]\ #,##0</c:formatCode>
                <c:ptCount val="5"/>
                <c:pt idx="0" formatCode="&quot;$&quot;\ #,##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27E-485B-95DF-0C64D3E561D2}"/>
            </c:ext>
          </c:extLst>
        </c:ser>
        <c:ser>
          <c:idx val="1"/>
          <c:order val="1"/>
          <c:tx>
            <c:strRef>
              <c:f>'JULIO 2026'!$D$53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327E-485B-95DF-0C64D3E561D2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327E-485B-95DF-0C64D3E561D2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0-327E-485B-95DF-0C64D3E561D2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2-327E-485B-95DF-0C64D3E561D2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4-327E-485B-95DF-0C64D3E561D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'JULIO 2026'!$B$54:$B$58</c:f>
              <c:strCache>
                <c:ptCount val="5"/>
                <c:pt idx="0">
                  <c:v>PRESTACIONES SOCIALES  OPERATIVA BAJO TIERRA</c:v>
                </c:pt>
                <c:pt idx="1">
                  <c:v>PRESTACIONES SOCIALES ADMINISTRADORES OPERATIVOS</c:v>
                </c:pt>
                <c:pt idx="2">
                  <c:v>PRESTACIONES SOCIALES PERSONAL ADTIVO MANTENIMIENTO</c:v>
                </c:pt>
                <c:pt idx="3">
                  <c:v>PRESTACIONES SOCIALES PERSONAL ADMINISTRATIVO</c:v>
                </c:pt>
                <c:pt idx="4">
                  <c:v>PRESTACIONES SOCIALES ALTA GERENCIA</c:v>
                </c:pt>
              </c:strCache>
            </c:strRef>
          </c:cat>
          <c:val>
            <c:numRef>
              <c:f>'JULIO 2026'!$D$54:$D$58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 formatCode="0.00%">
                  <c:v>0</c:v>
                </c:pt>
                <c:pt idx="3" formatCode="0.00%">
                  <c:v>0</c:v>
                </c:pt>
                <c:pt idx="4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27E-485B-95DF-0C64D3E561D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OCTUBRE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1AC2-41F3-85F3-72EC209E252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AC2-41F3-85F3-72EC209E252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1AC2-41F3-85F3-72EC209E25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'OCTUBRE 2026'!$B$93:$B$95</c:f>
              <c:strCache>
                <c:ptCount val="3"/>
                <c:pt idx="0">
                  <c:v>NOMINA MES DE OCTUBRE</c:v>
                </c:pt>
                <c:pt idx="1">
                  <c:v>PRESTACIONES SOCIALES</c:v>
                </c:pt>
                <c:pt idx="2">
                  <c:v>SEGURIDAD SOCIAL</c:v>
                </c:pt>
              </c:strCache>
            </c:strRef>
          </c:cat>
          <c:val>
            <c:numRef>
              <c:f>'OCTUBRE 2026'!$C$93:$C$95</c:f>
              <c:numCache>
                <c:formatCode>[$$-240A]\ #,##0;\-[$$-240A]\ 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C2-41F3-85F3-72EC209E2521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8-1AC2-41F3-85F3-72EC209E252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A-1AC2-41F3-85F3-72EC209E252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1AC2-41F3-85F3-72EC209E25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'OCTUBRE 2026'!$B$93:$B$95</c:f>
              <c:strCache>
                <c:ptCount val="3"/>
                <c:pt idx="0">
                  <c:v>NOMINA MES DE OCTUBRE</c:v>
                </c:pt>
                <c:pt idx="1">
                  <c:v>PRESTACIONES SOCIALES</c:v>
                </c:pt>
                <c:pt idx="2">
                  <c:v>SEGURIDAD SOCIAL</c:v>
                </c:pt>
              </c:strCache>
            </c:strRef>
          </c:cat>
          <c:val>
            <c:numRef>
              <c:f>'OCTUBRE 2026'!$D$93:$D$95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AC2-41F3-85F3-72EC209E252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NOMINA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'[63]OCTUBRE 2025'!$C$19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E4B-4AC2-9EDD-6124E1B70B3F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E4B-4AC2-9EDD-6124E1B70B3F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E4B-4AC2-9EDD-6124E1B70B3F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E4B-4AC2-9EDD-6124E1B70B3F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E4B-4AC2-9EDD-6124E1B70B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'[63]OCTUBRE 2025'!$B$20:$B$24</c:f>
              <c:strCache>
                <c:ptCount val="5"/>
                <c:pt idx="0">
                  <c:v>NOMINA OPERATIVA BAJO TIERRA</c:v>
                </c:pt>
                <c:pt idx="1">
                  <c:v>ADMINISTRADORES OPERATIVOS</c:v>
                </c:pt>
                <c:pt idx="2">
                  <c:v>PERSONAL ADTIVO MANTENIMIENTO</c:v>
                </c:pt>
                <c:pt idx="3">
                  <c:v>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'[63]OCTUBRE 2025'!$C$20:$C$24</c:f>
              <c:numCache>
                <c:formatCode>General</c:formatCode>
                <c:ptCount val="5"/>
                <c:pt idx="0">
                  <c:v>117844468</c:v>
                </c:pt>
                <c:pt idx="1">
                  <c:v>10432750</c:v>
                </c:pt>
                <c:pt idx="2">
                  <c:v>4712700</c:v>
                </c:pt>
                <c:pt idx="3">
                  <c:v>23857350.449999999</c:v>
                </c:pt>
                <c:pt idx="4">
                  <c:v>20537227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E4B-4AC2-9EDD-6124E1B70B3F}"/>
            </c:ext>
          </c:extLst>
        </c:ser>
        <c:ser>
          <c:idx val="1"/>
          <c:order val="1"/>
          <c:tx>
            <c:strRef>
              <c:f>'[63]OCTUBRE 2025'!$D$19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4E4B-4AC2-9EDD-6124E1B70B3F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4E4B-4AC2-9EDD-6124E1B70B3F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4E4B-4AC2-9EDD-6124E1B70B3F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4E4B-4AC2-9EDD-6124E1B70B3F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4E4B-4AC2-9EDD-6124E1B70B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'[63]OCTUBRE 2025'!$B$20:$B$24</c:f>
              <c:strCache>
                <c:ptCount val="5"/>
                <c:pt idx="0">
                  <c:v>NOMINA OPERATIVA BAJO TIERRA</c:v>
                </c:pt>
                <c:pt idx="1">
                  <c:v>ADMINISTRADORES OPERATIVOS</c:v>
                </c:pt>
                <c:pt idx="2">
                  <c:v>PERSONAL ADTIVO MANTENIMIENTO</c:v>
                </c:pt>
                <c:pt idx="3">
                  <c:v>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'[63]OCTUBRE 2025'!$D$20:$D$24</c:f>
              <c:numCache>
                <c:formatCode>General</c:formatCode>
                <c:ptCount val="5"/>
                <c:pt idx="0">
                  <c:v>0.66434480477589009</c:v>
                </c:pt>
                <c:pt idx="1">
                  <c:v>5.8814328577779885E-2</c:v>
                </c:pt>
                <c:pt idx="2">
                  <c:v>2.6567710938008027E-2</c:v>
                </c:pt>
                <c:pt idx="3">
                  <c:v>0.13449512816482181</c:v>
                </c:pt>
                <c:pt idx="4">
                  <c:v>0.11577802754350029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4E4B-4AC2-9EDD-6124E1B70B3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SEGURIDAD SOCIAL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'[63]OCTUBRE 2025'!$L$19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B3-47EC-A81F-4FB566581D4B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B3-47EC-A81F-4FB566581D4B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2B3-47EC-A81F-4FB566581D4B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2B3-47EC-A81F-4FB566581D4B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2B3-47EC-A81F-4FB566581D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'[63]OCTUBRE 2025'!$K$20:$K$24</c:f>
              <c:strCache>
                <c:ptCount val="5"/>
                <c:pt idx="0">
                  <c:v>SEG SOCIAL OPERATIVA BAJO TIERRA</c:v>
                </c:pt>
                <c:pt idx="1">
                  <c:v>SEG SOCIAL ADMINISTRADORES OPERATIVOS</c:v>
                </c:pt>
                <c:pt idx="2">
                  <c:v>SEG SOCIAL PERSONAL ADTIVO MANTENIMIENTO</c:v>
                </c:pt>
                <c:pt idx="3">
                  <c:v>SEG SOCIAL 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'[63]OCTUBRE 2025'!$L$20:$L$24</c:f>
              <c:numCache>
                <c:formatCode>General</c:formatCode>
                <c:ptCount val="5"/>
                <c:pt idx="0">
                  <c:v>24799236</c:v>
                </c:pt>
                <c:pt idx="1">
                  <c:v>1127238</c:v>
                </c:pt>
                <c:pt idx="2">
                  <c:v>751492</c:v>
                </c:pt>
                <c:pt idx="3">
                  <c:v>2254476</c:v>
                </c:pt>
                <c:pt idx="4">
                  <c:v>5979400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2B3-47EC-A81F-4FB566581D4B}"/>
            </c:ext>
          </c:extLst>
        </c:ser>
        <c:ser>
          <c:idx val="1"/>
          <c:order val="1"/>
          <c:tx>
            <c:strRef>
              <c:f>'[63]OCTUBRE 2025'!$M$19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02B3-47EC-A81F-4FB566581D4B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02B3-47EC-A81F-4FB566581D4B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02B3-47EC-A81F-4FB566581D4B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02B3-47EC-A81F-4FB566581D4B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02B3-47EC-A81F-4FB566581D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'[63]OCTUBRE 2025'!$K$20:$K$24</c:f>
              <c:strCache>
                <c:ptCount val="5"/>
                <c:pt idx="0">
                  <c:v>SEG SOCIAL OPERATIVA BAJO TIERRA</c:v>
                </c:pt>
                <c:pt idx="1">
                  <c:v>SEG SOCIAL ADMINISTRADORES OPERATIVOS</c:v>
                </c:pt>
                <c:pt idx="2">
                  <c:v>SEG SOCIAL PERSONAL ADTIVO MANTENIMIENTO</c:v>
                </c:pt>
                <c:pt idx="3">
                  <c:v>SEG SOCIAL 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'[63]OCTUBRE 2025'!$M$20:$M$24</c:f>
              <c:numCache>
                <c:formatCode>General</c:formatCode>
                <c:ptCount val="5"/>
                <c:pt idx="0">
                  <c:v>0.71033880137289807</c:v>
                </c:pt>
                <c:pt idx="1">
                  <c:v>3.2288127335131728E-2</c:v>
                </c:pt>
                <c:pt idx="2">
                  <c:v>2.1525418223421154E-2</c:v>
                </c:pt>
                <c:pt idx="3">
                  <c:v>6.4576254670263455E-2</c:v>
                </c:pt>
                <c:pt idx="4">
                  <c:v>0.17127139839828559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2B3-47EC-A81F-4FB566581D4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PRESTACIONES SOCIALES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2777777777777778E-2"/>
          <c:y val="0.13412037037037036"/>
          <c:w val="0.58961964129483813"/>
          <c:h val="0.75476851851851856"/>
        </c:manualLayout>
      </c:layout>
      <c:pie3DChart>
        <c:varyColors val="1"/>
        <c:ser>
          <c:idx val="0"/>
          <c:order val="0"/>
          <c:tx>
            <c:strRef>
              <c:f>'[63]OCTUBRE 2025'!$C$53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64A9-4726-820D-3E6AA2AC90EB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4A9-4726-820D-3E6AA2AC90EB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64A9-4726-820D-3E6AA2AC90EB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64A9-4726-820D-3E6AA2AC90EB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64A9-4726-820D-3E6AA2AC90E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'[63]OCTUBRE 2025'!$B$54:$B$58</c:f>
              <c:strCache>
                <c:ptCount val="5"/>
                <c:pt idx="0">
                  <c:v>PRESTACIONES SOCIALES  OPERATIVA BAJO TIERRA</c:v>
                </c:pt>
                <c:pt idx="1">
                  <c:v>PRESTACIONES SOCIALES ADMINISTRADORES OPERATIVOS</c:v>
                </c:pt>
                <c:pt idx="2">
                  <c:v>PRESTACIONES SOCIALES PERSONAL ADTIVO MANTENIMIENTO</c:v>
                </c:pt>
                <c:pt idx="3">
                  <c:v>PRESTACIONES SOCIALES PERSONAL ADMINISTRATIVO</c:v>
                </c:pt>
                <c:pt idx="4">
                  <c:v>PRESTACIONES SOCIALES ALTA GERENCIA</c:v>
                </c:pt>
              </c:strCache>
            </c:strRef>
          </c:cat>
          <c:val>
            <c:numRef>
              <c:f>'[63]OCTUBRE 2025'!$C$54:$C$58</c:f>
              <c:numCache>
                <c:formatCode>General</c:formatCode>
                <c:ptCount val="5"/>
                <c:pt idx="0">
                  <c:v>18707755.998620003</c:v>
                </c:pt>
                <c:pt idx="1">
                  <c:v>932233.06800000009</c:v>
                </c:pt>
                <c:pt idx="2">
                  <c:v>742679.01084</c:v>
                </c:pt>
                <c:pt idx="3">
                  <c:v>2494285.0233600005</c:v>
                </c:pt>
                <c:pt idx="4">
                  <c:v>4083513.0843520002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4A9-4726-820D-3E6AA2AC90EB}"/>
            </c:ext>
          </c:extLst>
        </c:ser>
        <c:ser>
          <c:idx val="1"/>
          <c:order val="1"/>
          <c:tx>
            <c:strRef>
              <c:f>'[63]OCTUBRE 2025'!$D$53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64A9-4726-820D-3E6AA2AC90EB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64A9-4726-820D-3E6AA2AC90EB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0-64A9-4726-820D-3E6AA2AC90EB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2-64A9-4726-820D-3E6AA2AC90EB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4-64A9-4726-820D-3E6AA2AC90E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'[63]OCTUBRE 2025'!$B$54:$B$58</c:f>
              <c:strCache>
                <c:ptCount val="5"/>
                <c:pt idx="0">
                  <c:v>PRESTACIONES SOCIALES  OPERATIVA BAJO TIERRA</c:v>
                </c:pt>
                <c:pt idx="1">
                  <c:v>PRESTACIONES SOCIALES ADMINISTRADORES OPERATIVOS</c:v>
                </c:pt>
                <c:pt idx="2">
                  <c:v>PRESTACIONES SOCIALES PERSONAL ADTIVO MANTENIMIENTO</c:v>
                </c:pt>
                <c:pt idx="3">
                  <c:v>PRESTACIONES SOCIALES PERSONAL ADMINISTRATIVO</c:v>
                </c:pt>
                <c:pt idx="4">
                  <c:v>PRESTACIONES SOCIALES ALTA GERENCIA</c:v>
                </c:pt>
              </c:strCache>
            </c:strRef>
          </c:cat>
          <c:val>
            <c:numRef>
              <c:f>'[63]OCTUBRE 2025'!$D$54:$D$58</c:f>
              <c:numCache>
                <c:formatCode>General</c:formatCode>
                <c:ptCount val="5"/>
                <c:pt idx="0">
                  <c:v>0.69389586478697796</c:v>
                </c:pt>
                <c:pt idx="1">
                  <c:v>3.4577779983371332E-2</c:v>
                </c:pt>
                <c:pt idx="2">
                  <c:v>2.7546964720085824E-2</c:v>
                </c:pt>
                <c:pt idx="3">
                  <c:v>9.2516390711813182E-2</c:v>
                </c:pt>
                <c:pt idx="4">
                  <c:v>0.15146299979775177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4A9-4726-820D-3E6AA2AC90E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NOMINA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'[63]JULIO 2025 '!$C$19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7E2-4725-A563-D02E183983D7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7E2-4725-A563-D02E183983D7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7E2-4725-A563-D02E183983D7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7E2-4725-A563-D02E183983D7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7E2-4725-A563-D02E183983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'[63]JULIO 2025 '!$B$20:$B$24</c:f>
              <c:strCache>
                <c:ptCount val="5"/>
                <c:pt idx="0">
                  <c:v>NOMINA OPERATIVA BAJO TIERRA</c:v>
                </c:pt>
                <c:pt idx="1">
                  <c:v>ADMINISTRADORES OPERATIVOS</c:v>
                </c:pt>
                <c:pt idx="2">
                  <c:v>PERSONAL ADTIVO MANTENIMIENTO</c:v>
                </c:pt>
                <c:pt idx="3">
                  <c:v>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'[63]JULIO 2025 '!$C$20:$C$24</c:f>
              <c:numCache>
                <c:formatCode>General</c:formatCode>
                <c:ptCount val="5"/>
                <c:pt idx="0">
                  <c:v>131623210.70208333</c:v>
                </c:pt>
                <c:pt idx="1">
                  <c:v>12369989.199999999</c:v>
                </c:pt>
                <c:pt idx="2">
                  <c:v>4738296.4000000004</c:v>
                </c:pt>
                <c:pt idx="3">
                  <c:v>26273587.199999999</c:v>
                </c:pt>
                <c:pt idx="4">
                  <c:v>19864829.346832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7E2-4725-A563-D02E183983D7}"/>
            </c:ext>
          </c:extLst>
        </c:ser>
        <c:ser>
          <c:idx val="1"/>
          <c:order val="1"/>
          <c:tx>
            <c:strRef>
              <c:f>'[63]JULIO 2025 '!$D$19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17E2-4725-A563-D02E183983D7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17E2-4725-A563-D02E183983D7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17E2-4725-A563-D02E183983D7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17E2-4725-A563-D02E183983D7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17E2-4725-A563-D02E183983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'[63]JULIO 2025 '!$B$20:$B$24</c:f>
              <c:strCache>
                <c:ptCount val="5"/>
                <c:pt idx="0">
                  <c:v>NOMINA OPERATIVA BAJO TIERRA</c:v>
                </c:pt>
                <c:pt idx="1">
                  <c:v>ADMINISTRADORES OPERATIVOS</c:v>
                </c:pt>
                <c:pt idx="2">
                  <c:v>PERSONAL ADTIVO MANTENIMIENTO</c:v>
                </c:pt>
                <c:pt idx="3">
                  <c:v>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'[63]JULIO 2025 '!$D$20:$D$24</c:f>
              <c:numCache>
                <c:formatCode>General</c:formatCode>
                <c:ptCount val="5"/>
                <c:pt idx="0">
                  <c:v>0.67544142026754106</c:v>
                </c:pt>
                <c:pt idx="1">
                  <c:v>6.3478189214312322E-2</c:v>
                </c:pt>
                <c:pt idx="2">
                  <c:v>2.4315176882506489E-2</c:v>
                </c:pt>
                <c:pt idx="3">
                  <c:v>0.13482628906582508</c:v>
                </c:pt>
                <c:pt idx="4">
                  <c:v>0.10193892456981499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7E2-4725-A563-D02E183983D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SEGURIDAD SOCIAL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'[63]JULIO 2025 '!$L$19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DD0-4C39-A283-1CCD153BDFA5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DD0-4C39-A283-1CCD153BDFA5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DD0-4C39-A283-1CCD153BDFA5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DD0-4C39-A283-1CCD153BDFA5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DD0-4C39-A283-1CCD153BDF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'[63]JULIO 2025 '!$K$20:$K$24</c:f>
              <c:strCache>
                <c:ptCount val="5"/>
                <c:pt idx="0">
                  <c:v>SEG SOCIAL OPERATIVA BAJO TIERRA</c:v>
                </c:pt>
                <c:pt idx="1">
                  <c:v>SEG SOCIAL ADMINISTRADORES OPERATIVOS</c:v>
                </c:pt>
                <c:pt idx="2">
                  <c:v>SEG SOCIAL PERSONAL ADTIVO MANTENIMIENTO</c:v>
                </c:pt>
                <c:pt idx="3">
                  <c:v>SEG SOCIAL 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'[63]JULIO 2025 '!$L$20:$L$24</c:f>
              <c:numCache>
                <c:formatCode>General</c:formatCode>
                <c:ptCount val="5"/>
                <c:pt idx="0">
                  <c:v>24605532</c:v>
                </c:pt>
                <c:pt idx="1">
                  <c:v>1171692</c:v>
                </c:pt>
                <c:pt idx="2">
                  <c:v>781128</c:v>
                </c:pt>
                <c:pt idx="3">
                  <c:v>2733948</c:v>
                </c:pt>
                <c:pt idx="4">
                  <c:v>5998500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DD0-4C39-A283-1CCD153BDFA5}"/>
            </c:ext>
          </c:extLst>
        </c:ser>
        <c:ser>
          <c:idx val="1"/>
          <c:order val="1"/>
          <c:tx>
            <c:strRef>
              <c:f>'[63]JULIO 2025 '!$M$19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BDD0-4C39-A283-1CCD153BDFA5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BDD0-4C39-A283-1CCD153BDFA5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BDD0-4C39-A283-1CCD153BDFA5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BDD0-4C39-A283-1CCD153BDFA5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BDD0-4C39-A283-1CCD153BDF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'[63]JULIO 2025 '!$K$20:$K$24</c:f>
              <c:strCache>
                <c:ptCount val="5"/>
                <c:pt idx="0">
                  <c:v>SEG SOCIAL OPERATIVA BAJO TIERRA</c:v>
                </c:pt>
                <c:pt idx="1">
                  <c:v>SEG SOCIAL ADMINISTRADORES OPERATIVOS</c:v>
                </c:pt>
                <c:pt idx="2">
                  <c:v>SEG SOCIAL PERSONAL ADTIVO MANTENIMIENTO</c:v>
                </c:pt>
                <c:pt idx="3">
                  <c:v>SEG SOCIAL 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'[63]JULIO 2025 '!$M$20:$M$24</c:f>
              <c:numCache>
                <c:formatCode>General</c:formatCode>
                <c:ptCount val="5"/>
                <c:pt idx="0">
                  <c:v>0.69722227889421606</c:v>
                </c:pt>
                <c:pt idx="1">
                  <c:v>3.3201060899724577E-2</c:v>
                </c:pt>
                <c:pt idx="2">
                  <c:v>2.2134040599816381E-2</c:v>
                </c:pt>
                <c:pt idx="3">
                  <c:v>7.7469142099357347E-2</c:v>
                </c:pt>
                <c:pt idx="4">
                  <c:v>0.16997347750688566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DD0-4C39-A283-1CCD153BDFA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PRESTACIONES SOCIALES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2777777777777778E-2"/>
          <c:y val="0.13412037037037036"/>
          <c:w val="0.58961964129483813"/>
          <c:h val="0.75476851851851856"/>
        </c:manualLayout>
      </c:layout>
      <c:pie3DChart>
        <c:varyColors val="1"/>
        <c:ser>
          <c:idx val="0"/>
          <c:order val="0"/>
          <c:tx>
            <c:strRef>
              <c:f>'[63]JULIO 2025 '!$C$53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081-4651-A11B-D9450BEA9FA1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081-4651-A11B-D9450BEA9FA1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081-4651-A11B-D9450BEA9FA1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F081-4651-A11B-D9450BEA9FA1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F081-4651-A11B-D9450BEA9FA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'[63]JULIO 2025 '!$B$54:$B$58</c:f>
              <c:strCache>
                <c:ptCount val="5"/>
                <c:pt idx="0">
                  <c:v>PRESTACIONES SOCIALES  OPERATIVA BAJO TIERRA</c:v>
                </c:pt>
                <c:pt idx="1">
                  <c:v>PRESTACIONES SOCIALES ADMINISTRADORES OPERATIVOS</c:v>
                </c:pt>
                <c:pt idx="2">
                  <c:v>PRESTACIONES SOCIALES PERSONAL ADTIVO MANTENIMIENTO</c:v>
                </c:pt>
                <c:pt idx="3">
                  <c:v>PRESTACIONES SOCIALES PERSONAL ADMINISTRATIVO</c:v>
                </c:pt>
                <c:pt idx="4">
                  <c:v>PRESTACIONES SOCIALES ALTA GERENCIA</c:v>
                </c:pt>
              </c:strCache>
            </c:strRef>
          </c:cat>
          <c:val>
            <c:numRef>
              <c:f>'[63]JULIO 2025 '!$C$54:$C$58</c:f>
              <c:numCache>
                <c:formatCode>General</c:formatCode>
                <c:ptCount val="5"/>
                <c:pt idx="0">
                  <c:v>16512152.840040009</c:v>
                </c:pt>
                <c:pt idx="1">
                  <c:v>932233.06800000009</c:v>
                </c:pt>
                <c:pt idx="2">
                  <c:v>621488.71200000006</c:v>
                </c:pt>
                <c:pt idx="3">
                  <c:v>2857906.1279599997</c:v>
                </c:pt>
                <c:pt idx="4">
                  <c:v>4083513.0843520002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081-4651-A11B-D9450BEA9FA1}"/>
            </c:ext>
          </c:extLst>
        </c:ser>
        <c:ser>
          <c:idx val="1"/>
          <c:order val="1"/>
          <c:tx>
            <c:strRef>
              <c:f>'[63]JULIO 2025 '!$D$53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F081-4651-A11B-D9450BEA9FA1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F081-4651-A11B-D9450BEA9FA1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0-F081-4651-A11B-D9450BEA9FA1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2-F081-4651-A11B-D9450BEA9FA1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4-F081-4651-A11B-D9450BEA9FA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'[63]JULIO 2025 '!$B$54:$B$58</c:f>
              <c:strCache>
                <c:ptCount val="5"/>
                <c:pt idx="0">
                  <c:v>PRESTACIONES SOCIALES  OPERATIVA BAJO TIERRA</c:v>
                </c:pt>
                <c:pt idx="1">
                  <c:v>PRESTACIONES SOCIALES ADMINISTRADORES OPERATIVOS</c:v>
                </c:pt>
                <c:pt idx="2">
                  <c:v>PRESTACIONES SOCIALES PERSONAL ADTIVO MANTENIMIENTO</c:v>
                </c:pt>
                <c:pt idx="3">
                  <c:v>PRESTACIONES SOCIALES PERSONAL ADMINISTRATIVO</c:v>
                </c:pt>
                <c:pt idx="4">
                  <c:v>PRESTACIONES SOCIALES ALTA GERENCIA</c:v>
                </c:pt>
              </c:strCache>
            </c:strRef>
          </c:cat>
          <c:val>
            <c:numRef>
              <c:f>'[63]JULIO 2025 '!$D$54:$D$58</c:f>
              <c:numCache>
                <c:formatCode>General</c:formatCode>
                <c:ptCount val="5"/>
                <c:pt idx="0">
                  <c:v>0.66029347080643275</c:v>
                </c:pt>
                <c:pt idx="1">
                  <c:v>3.7278446610403214E-2</c:v>
                </c:pt>
                <c:pt idx="2">
                  <c:v>2.485229774026881E-2</c:v>
                </c:pt>
                <c:pt idx="3">
                  <c:v>0.1142829027050787</c:v>
                </c:pt>
                <c:pt idx="4">
                  <c:v>0.1632928821378164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081-4651-A11B-D9450BEA9FA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NOMINA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'NOVIEMBRE 2026'!$C$19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84-4EF7-A9DE-EE4F29FD9CF3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84-4EF7-A9DE-EE4F29FD9CF3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884-4EF7-A9DE-EE4F29FD9CF3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884-4EF7-A9DE-EE4F29FD9CF3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884-4EF7-A9DE-EE4F29FD9C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'NOVIEMBRE 2026'!$B$20:$B$24</c:f>
              <c:strCache>
                <c:ptCount val="5"/>
                <c:pt idx="0">
                  <c:v>NOMINA OPERATIVA BAJO TIERRA</c:v>
                </c:pt>
                <c:pt idx="1">
                  <c:v>ADMINISTRADORES OPERATIVOS</c:v>
                </c:pt>
                <c:pt idx="2">
                  <c:v>PERSONAL ADTIVO MANTENIMIENTO</c:v>
                </c:pt>
                <c:pt idx="3">
                  <c:v>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'NOVIEMBRE 2026'!$C$20:$C$24</c:f>
              <c:numCache>
                <c:formatCode>"$"\ 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884-4EF7-A9DE-EE4F29FD9CF3}"/>
            </c:ext>
          </c:extLst>
        </c:ser>
        <c:ser>
          <c:idx val="1"/>
          <c:order val="1"/>
          <c:tx>
            <c:strRef>
              <c:f>'NOVIEMBRE 2026'!$D$19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D884-4EF7-A9DE-EE4F29FD9CF3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D884-4EF7-A9DE-EE4F29FD9CF3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D884-4EF7-A9DE-EE4F29FD9CF3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D884-4EF7-A9DE-EE4F29FD9CF3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D884-4EF7-A9DE-EE4F29FD9C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'NOVIEMBRE 2026'!$B$20:$B$24</c:f>
              <c:strCache>
                <c:ptCount val="5"/>
                <c:pt idx="0">
                  <c:v>NOMINA OPERATIVA BAJO TIERRA</c:v>
                </c:pt>
                <c:pt idx="1">
                  <c:v>ADMINISTRADORES OPERATIVOS</c:v>
                </c:pt>
                <c:pt idx="2">
                  <c:v>PERSONAL ADTIVO MANTENIMIENTO</c:v>
                </c:pt>
                <c:pt idx="3">
                  <c:v>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'NOVIEMBRE 2026'!$D$20:$D$24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 formatCode="0.00%">
                  <c:v>0</c:v>
                </c:pt>
                <c:pt idx="3" formatCode="0.00%">
                  <c:v>0</c:v>
                </c:pt>
                <c:pt idx="4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884-4EF7-A9DE-EE4F29FD9CF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SEGURIDAD SOCIAL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'NOVIEMBRE 2026'!$L$19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8F-491F-993D-F95D1949323F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8F-491F-993D-F95D1949323F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18F-491F-993D-F95D1949323F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18F-491F-993D-F95D1949323F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18F-491F-993D-F95D194932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'NOVIEMBRE 2026'!$K$20:$K$24</c:f>
              <c:strCache>
                <c:ptCount val="5"/>
                <c:pt idx="0">
                  <c:v>SEG SOCIAL OPERATIVA BAJO TIERRA</c:v>
                </c:pt>
                <c:pt idx="1">
                  <c:v>SEG SOCIAL ADMINISTRADORES OPERATIVOS</c:v>
                </c:pt>
                <c:pt idx="2">
                  <c:v>SEG SOCIAL PERSONAL ADTIVO MANTENIMIENTO</c:v>
                </c:pt>
                <c:pt idx="3">
                  <c:v>SEG SOCIAL 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'NOVIEMBRE 2026'!$L$20:$L$24</c:f>
              <c:numCache>
                <c:formatCode>"$"\ 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18F-491F-993D-F95D1949323F}"/>
            </c:ext>
          </c:extLst>
        </c:ser>
        <c:ser>
          <c:idx val="1"/>
          <c:order val="1"/>
          <c:tx>
            <c:strRef>
              <c:f>'NOVIEMBRE 2026'!$M$19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518F-491F-993D-F95D1949323F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518F-491F-993D-F95D1949323F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518F-491F-993D-F95D1949323F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518F-491F-993D-F95D1949323F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518F-491F-993D-F95D194932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'NOVIEMBRE 2026'!$K$20:$K$24</c:f>
              <c:strCache>
                <c:ptCount val="5"/>
                <c:pt idx="0">
                  <c:v>SEG SOCIAL OPERATIVA BAJO TIERRA</c:v>
                </c:pt>
                <c:pt idx="1">
                  <c:v>SEG SOCIAL ADMINISTRADORES OPERATIVOS</c:v>
                </c:pt>
                <c:pt idx="2">
                  <c:v>SEG SOCIAL PERSONAL ADTIVO MANTENIMIENTO</c:v>
                </c:pt>
                <c:pt idx="3">
                  <c:v>SEG SOCIAL 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'NOVIEMBRE 2026'!$M$20:$M$24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 formatCode="0.00%">
                  <c:v>0</c:v>
                </c:pt>
                <c:pt idx="3" formatCode="0.00%">
                  <c:v>0</c:v>
                </c:pt>
                <c:pt idx="4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518F-491F-993D-F95D1949323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PRESTACIONES SOCIALES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2777777777777778E-2"/>
          <c:y val="0.13412037037037036"/>
          <c:w val="0.58961964129483813"/>
          <c:h val="0.75476851851851856"/>
        </c:manualLayout>
      </c:layout>
      <c:pie3DChart>
        <c:varyColors val="1"/>
        <c:ser>
          <c:idx val="0"/>
          <c:order val="0"/>
          <c:tx>
            <c:strRef>
              <c:f>'NOVIEMBRE 2026'!$C$53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8217-4C12-A5BE-23C90929650A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8217-4C12-A5BE-23C90929650A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8217-4C12-A5BE-23C90929650A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8217-4C12-A5BE-23C90929650A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8217-4C12-A5BE-23C90929650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'NOVIEMBRE 2026'!$B$54:$B$58</c:f>
              <c:strCache>
                <c:ptCount val="5"/>
                <c:pt idx="0">
                  <c:v>PRESTACIONES SOCIALES  OPERATIVA BAJO TIERRA</c:v>
                </c:pt>
                <c:pt idx="1">
                  <c:v>PRESTACIONES SOCIALES ADMINISTRADORES OPERATIVOS</c:v>
                </c:pt>
                <c:pt idx="2">
                  <c:v>PRESTACIONES SOCIALES PERSONAL ADTIVO MANTENIMIENTO</c:v>
                </c:pt>
                <c:pt idx="3">
                  <c:v>PRESTACIONES SOCIALES PERSONAL ADMINISTRATIVO</c:v>
                </c:pt>
                <c:pt idx="4">
                  <c:v>PRESTACIONES SOCIALES ALTA GERENCIA</c:v>
                </c:pt>
              </c:strCache>
            </c:strRef>
          </c:cat>
          <c:val>
            <c:numRef>
              <c:f>'NOVIEMBRE 2026'!$C$54:$C$58</c:f>
              <c:numCache>
                <c:formatCode>"$"\ 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217-4C12-A5BE-23C90929650A}"/>
            </c:ext>
          </c:extLst>
        </c:ser>
        <c:ser>
          <c:idx val="1"/>
          <c:order val="1"/>
          <c:tx>
            <c:strRef>
              <c:f>'NOVIEMBRE 2026'!$D$53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8217-4C12-A5BE-23C90929650A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8217-4C12-A5BE-23C90929650A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0-8217-4C12-A5BE-23C90929650A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2-8217-4C12-A5BE-23C90929650A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4-8217-4C12-A5BE-23C90929650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'NOVIEMBRE 2026'!$B$54:$B$58</c:f>
              <c:strCache>
                <c:ptCount val="5"/>
                <c:pt idx="0">
                  <c:v>PRESTACIONES SOCIALES  OPERATIVA BAJO TIERRA</c:v>
                </c:pt>
                <c:pt idx="1">
                  <c:v>PRESTACIONES SOCIALES ADMINISTRADORES OPERATIVOS</c:v>
                </c:pt>
                <c:pt idx="2">
                  <c:v>PRESTACIONES SOCIALES PERSONAL ADTIVO MANTENIMIENTO</c:v>
                </c:pt>
                <c:pt idx="3">
                  <c:v>PRESTACIONES SOCIALES PERSONAL ADMINISTRATIVO</c:v>
                </c:pt>
                <c:pt idx="4">
                  <c:v>PRESTACIONES SOCIALES ALTA GERENCIA</c:v>
                </c:pt>
              </c:strCache>
            </c:strRef>
          </c:cat>
          <c:val>
            <c:numRef>
              <c:f>'NOVIEMBRE 2026'!$D$54:$D$58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 formatCode="0.00%">
                  <c:v>0</c:v>
                </c:pt>
                <c:pt idx="3" formatCode="0.00%">
                  <c:v>0</c:v>
                </c:pt>
                <c:pt idx="4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8217-4C12-A5BE-23C90929650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NOMINA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'JULIO 2026'!$C$19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9C-4DDE-8563-72CADCDFB6AA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9C-4DDE-8563-72CADCDFB6AA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09C-4DDE-8563-72CADCDFB6AA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09C-4DDE-8563-72CADCDFB6AA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09C-4DDE-8563-72CADCDFB6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'JULIO 2026'!$B$20:$B$24</c:f>
              <c:strCache>
                <c:ptCount val="5"/>
                <c:pt idx="0">
                  <c:v>NOMINA OPERATIVA BAJO TIERRA</c:v>
                </c:pt>
                <c:pt idx="1">
                  <c:v>ADMINISTRADORES OPERATIVOS</c:v>
                </c:pt>
                <c:pt idx="2">
                  <c:v>PERSONAL ADTIVO MANTENIMIENTO</c:v>
                </c:pt>
                <c:pt idx="3">
                  <c:v>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'JULIO 2026'!$C$20:$C$24</c:f>
              <c:numCache>
                <c:formatCode>[$$-240A]\ #,##0;\-[$$-240A]\ #,##0</c:formatCode>
                <c:ptCount val="5"/>
                <c:pt idx="0" formatCode="&quot;$&quot;\ #,##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09C-4DDE-8563-72CADCDFB6AA}"/>
            </c:ext>
          </c:extLst>
        </c:ser>
        <c:ser>
          <c:idx val="1"/>
          <c:order val="1"/>
          <c:tx>
            <c:strRef>
              <c:f>'JULIO 2026'!$D$19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109C-4DDE-8563-72CADCDFB6AA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109C-4DDE-8563-72CADCDFB6AA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109C-4DDE-8563-72CADCDFB6AA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109C-4DDE-8563-72CADCDFB6AA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109C-4DDE-8563-72CADCDFB6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'JULIO 2026'!$B$20:$B$24</c:f>
              <c:strCache>
                <c:ptCount val="5"/>
                <c:pt idx="0">
                  <c:v>NOMINA OPERATIVA BAJO TIERRA</c:v>
                </c:pt>
                <c:pt idx="1">
                  <c:v>ADMINISTRADORES OPERATIVOS</c:v>
                </c:pt>
                <c:pt idx="2">
                  <c:v>PERSONAL ADTIVO MANTENIMIENTO</c:v>
                </c:pt>
                <c:pt idx="3">
                  <c:v>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'JULIO 2026'!$D$20:$D$24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 formatCode="0.00%">
                  <c:v>0</c:v>
                </c:pt>
                <c:pt idx="3" formatCode="0.00%">
                  <c:v>0</c:v>
                </c:pt>
                <c:pt idx="4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09C-4DDE-8563-72CADCDFB6A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SEGURIDAD SOCIAL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'JULIO 2026'!$L$19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AA-4198-BDDF-8EB72CE15D17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AA-4198-BDDF-8EB72CE15D17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3AA-4198-BDDF-8EB72CE15D17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3AA-4198-BDDF-8EB72CE15D17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3AA-4198-BDDF-8EB72CE15D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'JULIO 2026'!$K$20:$K$24</c:f>
              <c:strCache>
                <c:ptCount val="5"/>
                <c:pt idx="0">
                  <c:v>SEG SOCIAL OPERATIVA BAJO TIERRA</c:v>
                </c:pt>
                <c:pt idx="1">
                  <c:v>SEG SOCIAL ADMINISTRADORES OPERATIVOS</c:v>
                </c:pt>
                <c:pt idx="2">
                  <c:v>SEG SOCIAL PERSONAL ADTIVO MANTENIMIENTO</c:v>
                </c:pt>
                <c:pt idx="3">
                  <c:v>SEG SOCIAL 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'JULIO 2026'!$L$20:$L$24</c:f>
              <c:numCache>
                <c:formatCode>[$$-240A]\ #,##0;\-[$$-240A]\ #,##0</c:formatCode>
                <c:ptCount val="5"/>
                <c:pt idx="0" formatCode="&quot;$&quot;\ #,##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3AA-4198-BDDF-8EB72CE15D17}"/>
            </c:ext>
          </c:extLst>
        </c:ser>
        <c:ser>
          <c:idx val="1"/>
          <c:order val="1"/>
          <c:tx>
            <c:strRef>
              <c:f>'JULIO 2026'!$M$19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73AA-4198-BDDF-8EB72CE15D17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73AA-4198-BDDF-8EB72CE15D17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73AA-4198-BDDF-8EB72CE15D17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73AA-4198-BDDF-8EB72CE15D17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73AA-4198-BDDF-8EB72CE15D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'JULIO 2026'!$K$20:$K$24</c:f>
              <c:strCache>
                <c:ptCount val="5"/>
                <c:pt idx="0">
                  <c:v>SEG SOCIAL OPERATIVA BAJO TIERRA</c:v>
                </c:pt>
                <c:pt idx="1">
                  <c:v>SEG SOCIAL ADMINISTRADORES OPERATIVOS</c:v>
                </c:pt>
                <c:pt idx="2">
                  <c:v>SEG SOCIAL PERSONAL ADTIVO MANTENIMIENTO</c:v>
                </c:pt>
                <c:pt idx="3">
                  <c:v>SEG SOCIAL 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'JULIO 2026'!$M$20:$M$24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 formatCode="0.00%">
                  <c:v>0</c:v>
                </c:pt>
                <c:pt idx="3" formatCode="0.00%">
                  <c:v>0</c:v>
                </c:pt>
                <c:pt idx="4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3AA-4198-BDDF-8EB72CE15D1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PRESTACIONES SOCIALES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2777777777777778E-2"/>
          <c:y val="0.13412037037037036"/>
          <c:w val="0.58961964129483813"/>
          <c:h val="0.75476851851851856"/>
        </c:manualLayout>
      </c:layout>
      <c:pie3DChart>
        <c:varyColors val="1"/>
        <c:ser>
          <c:idx val="0"/>
          <c:order val="0"/>
          <c:tx>
            <c:strRef>
              <c:f>'JULIO 2026'!$C$53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B941-4CFA-AEAE-A8F5CD1D7810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B941-4CFA-AEAE-A8F5CD1D7810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B941-4CFA-AEAE-A8F5CD1D7810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B941-4CFA-AEAE-A8F5CD1D7810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B941-4CFA-AEAE-A8F5CD1D781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'JULIO 2026'!$B$54:$B$58</c:f>
              <c:strCache>
                <c:ptCount val="5"/>
                <c:pt idx="0">
                  <c:v>PRESTACIONES SOCIALES  OPERATIVA BAJO TIERRA</c:v>
                </c:pt>
                <c:pt idx="1">
                  <c:v>PRESTACIONES SOCIALES ADMINISTRADORES OPERATIVOS</c:v>
                </c:pt>
                <c:pt idx="2">
                  <c:v>PRESTACIONES SOCIALES PERSONAL ADTIVO MANTENIMIENTO</c:v>
                </c:pt>
                <c:pt idx="3">
                  <c:v>PRESTACIONES SOCIALES PERSONAL ADMINISTRATIVO</c:v>
                </c:pt>
                <c:pt idx="4">
                  <c:v>PRESTACIONES SOCIALES ALTA GERENCIA</c:v>
                </c:pt>
              </c:strCache>
            </c:strRef>
          </c:cat>
          <c:val>
            <c:numRef>
              <c:f>'JULIO 2026'!$C$54:$C$58</c:f>
              <c:numCache>
                <c:formatCode>[$$-240A]\ #,##0;\-[$$-240A]\ #,##0</c:formatCode>
                <c:ptCount val="5"/>
                <c:pt idx="0" formatCode="&quot;$&quot;\ #,##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941-4CFA-AEAE-A8F5CD1D7810}"/>
            </c:ext>
          </c:extLst>
        </c:ser>
        <c:ser>
          <c:idx val="1"/>
          <c:order val="1"/>
          <c:tx>
            <c:strRef>
              <c:f>'JULIO 2026'!$D$53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B941-4CFA-AEAE-A8F5CD1D7810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B941-4CFA-AEAE-A8F5CD1D7810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0-B941-4CFA-AEAE-A8F5CD1D7810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2-B941-4CFA-AEAE-A8F5CD1D7810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4-B941-4CFA-AEAE-A8F5CD1D781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'JULIO 2026'!$B$54:$B$58</c:f>
              <c:strCache>
                <c:ptCount val="5"/>
                <c:pt idx="0">
                  <c:v>PRESTACIONES SOCIALES  OPERATIVA BAJO TIERRA</c:v>
                </c:pt>
                <c:pt idx="1">
                  <c:v>PRESTACIONES SOCIALES ADMINISTRADORES OPERATIVOS</c:v>
                </c:pt>
                <c:pt idx="2">
                  <c:v>PRESTACIONES SOCIALES PERSONAL ADTIVO MANTENIMIENTO</c:v>
                </c:pt>
                <c:pt idx="3">
                  <c:v>PRESTACIONES SOCIALES PERSONAL ADMINISTRATIVO</c:v>
                </c:pt>
                <c:pt idx="4">
                  <c:v>PRESTACIONES SOCIALES ALTA GERENCIA</c:v>
                </c:pt>
              </c:strCache>
            </c:strRef>
          </c:cat>
          <c:val>
            <c:numRef>
              <c:f>'JULIO 2026'!$D$54:$D$58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 formatCode="0.00%">
                  <c:v>0</c:v>
                </c:pt>
                <c:pt idx="3" formatCode="0.00%">
                  <c:v>0</c:v>
                </c:pt>
                <c:pt idx="4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941-4CFA-AEAE-A8F5CD1D781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NOVIEMBRE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BDBA-46E2-A927-61BD97462AB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BDBA-46E2-A927-61BD97462AB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BDBA-46E2-A927-61BD97462A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'NOVIEMBRE 2026'!$B$93:$B$95</c:f>
              <c:strCache>
                <c:ptCount val="3"/>
                <c:pt idx="0">
                  <c:v>NOMINA MES DE NOVIEMBRE</c:v>
                </c:pt>
                <c:pt idx="1">
                  <c:v>PRESTACIONES SOCIALES</c:v>
                </c:pt>
                <c:pt idx="2">
                  <c:v>SEGURIDAD SOCIAL</c:v>
                </c:pt>
              </c:strCache>
            </c:strRef>
          </c:cat>
          <c:val>
            <c:numRef>
              <c:f>'NOVIEMBRE 2026'!$C$93:$C$95</c:f>
              <c:numCache>
                <c:formatCode>[$$-240A]\ #,##0;\-[$$-240A]\ 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BA-46E2-A927-61BD97462AB0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8-BDBA-46E2-A927-61BD97462AB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A-BDBA-46E2-A927-61BD97462AB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BDBA-46E2-A927-61BD97462A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'NOVIEMBRE 2026'!$B$93:$B$95</c:f>
              <c:strCache>
                <c:ptCount val="3"/>
                <c:pt idx="0">
                  <c:v>NOMINA MES DE NOVIEMBRE</c:v>
                </c:pt>
                <c:pt idx="1">
                  <c:v>PRESTACIONES SOCIALES</c:v>
                </c:pt>
                <c:pt idx="2">
                  <c:v>SEGURIDAD SOCIAL</c:v>
                </c:pt>
              </c:strCache>
            </c:strRef>
          </c:cat>
          <c:val>
            <c:numRef>
              <c:f>'NOVIEMBRE 2026'!$D$93:$D$95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DBA-46E2-A927-61BD97462AB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NOMINA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'DICIEMBRE 2026'!$C$19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BC6-4D58-BEA9-49CB728ADFAD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BC6-4D58-BEA9-49CB728ADFAD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BC6-4D58-BEA9-49CB728ADFAD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BC6-4D58-BEA9-49CB728ADFAD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BC6-4D58-BEA9-49CB728ADF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'DICIEMBRE 2026'!$B$20:$B$24</c:f>
              <c:strCache>
                <c:ptCount val="5"/>
                <c:pt idx="0">
                  <c:v>NOMINA OPERATIVA BAJO TIERRA</c:v>
                </c:pt>
                <c:pt idx="1">
                  <c:v>ADMINISTRADORES OPERATIVOS</c:v>
                </c:pt>
                <c:pt idx="2">
                  <c:v>PERSONAL ADTIVO MANTENIMIENTO</c:v>
                </c:pt>
                <c:pt idx="3">
                  <c:v>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'DICIEMBRE 2026'!$C$20:$C$24</c:f>
              <c:numCache>
                <c:formatCode>"$"\ 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BC6-4D58-BEA9-49CB728ADFAD}"/>
            </c:ext>
          </c:extLst>
        </c:ser>
        <c:ser>
          <c:idx val="1"/>
          <c:order val="1"/>
          <c:tx>
            <c:strRef>
              <c:f>'DICIEMBRE 2026'!$D$19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5BC6-4D58-BEA9-49CB728ADFAD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5BC6-4D58-BEA9-49CB728ADFAD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5BC6-4D58-BEA9-49CB728ADFAD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5BC6-4D58-BEA9-49CB728ADFAD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5BC6-4D58-BEA9-49CB728ADF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'DICIEMBRE 2026'!$B$20:$B$24</c:f>
              <c:strCache>
                <c:ptCount val="5"/>
                <c:pt idx="0">
                  <c:v>NOMINA OPERATIVA BAJO TIERRA</c:v>
                </c:pt>
                <c:pt idx="1">
                  <c:v>ADMINISTRADORES OPERATIVOS</c:v>
                </c:pt>
                <c:pt idx="2">
                  <c:v>PERSONAL ADTIVO MANTENIMIENTO</c:v>
                </c:pt>
                <c:pt idx="3">
                  <c:v>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'DICIEMBRE 2026'!$D$20:$D$24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 formatCode="0.00%">
                  <c:v>0</c:v>
                </c:pt>
                <c:pt idx="3" formatCode="0.00%">
                  <c:v>0</c:v>
                </c:pt>
                <c:pt idx="4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5BC6-4D58-BEA9-49CB728ADFA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SEGURIDAD SOCIAL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'DICIEMBRE 2026'!$L$19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7D7-4784-8ACA-08917289026B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D7-4784-8ACA-08917289026B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7D7-4784-8ACA-08917289026B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7D7-4784-8ACA-08917289026B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7D7-4784-8ACA-0891728902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'DICIEMBRE 2026'!$K$20:$K$24</c:f>
              <c:strCache>
                <c:ptCount val="5"/>
                <c:pt idx="0">
                  <c:v>SEG SOCIAL OPERATIVA BAJO TIERRA</c:v>
                </c:pt>
                <c:pt idx="1">
                  <c:v>SEG SOCIAL ADMINISTRADORES OPERATIVOS</c:v>
                </c:pt>
                <c:pt idx="2">
                  <c:v>SEG SOCIAL PERSONAL ADTIVO MANTENIMIENTO</c:v>
                </c:pt>
                <c:pt idx="3">
                  <c:v>SEG SOCIAL 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'DICIEMBRE 2026'!$L$20:$L$24</c:f>
              <c:numCache>
                <c:formatCode>"$"\ 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7D7-4784-8ACA-08917289026B}"/>
            </c:ext>
          </c:extLst>
        </c:ser>
        <c:ser>
          <c:idx val="1"/>
          <c:order val="1"/>
          <c:tx>
            <c:strRef>
              <c:f>'DICIEMBRE 2026'!$M$19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B7D7-4784-8ACA-08917289026B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B7D7-4784-8ACA-08917289026B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B7D7-4784-8ACA-08917289026B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B7D7-4784-8ACA-08917289026B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B7D7-4784-8ACA-0891728902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'DICIEMBRE 2026'!$K$20:$K$24</c:f>
              <c:strCache>
                <c:ptCount val="5"/>
                <c:pt idx="0">
                  <c:v>SEG SOCIAL OPERATIVA BAJO TIERRA</c:v>
                </c:pt>
                <c:pt idx="1">
                  <c:v>SEG SOCIAL ADMINISTRADORES OPERATIVOS</c:v>
                </c:pt>
                <c:pt idx="2">
                  <c:v>SEG SOCIAL PERSONAL ADTIVO MANTENIMIENTO</c:v>
                </c:pt>
                <c:pt idx="3">
                  <c:v>SEG SOCIAL 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'DICIEMBRE 2026'!$M$20:$M$24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 formatCode="0.00%">
                  <c:v>0</c:v>
                </c:pt>
                <c:pt idx="3" formatCode="0.00%">
                  <c:v>0</c:v>
                </c:pt>
                <c:pt idx="4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7D7-4784-8ACA-08917289026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PRESTACIONES SOCIALES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2777777777777778E-2"/>
          <c:y val="0.13412037037037036"/>
          <c:w val="0.58961964129483813"/>
          <c:h val="0.75476851851851856"/>
        </c:manualLayout>
      </c:layout>
      <c:pie3DChart>
        <c:varyColors val="1"/>
        <c:ser>
          <c:idx val="0"/>
          <c:order val="0"/>
          <c:tx>
            <c:strRef>
              <c:f>'DICIEMBRE 2026'!$C$53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BC5-449B-BEAA-99D18B855D8C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BC5-449B-BEAA-99D18B855D8C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BC5-449B-BEAA-99D18B855D8C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FBC5-449B-BEAA-99D18B855D8C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FBC5-449B-BEAA-99D18B855D8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'DICIEMBRE 2026'!$B$54:$B$58</c:f>
              <c:strCache>
                <c:ptCount val="5"/>
                <c:pt idx="0">
                  <c:v>PRESTACIONES SOCIALES  OPERATIVA BAJO TIERRA</c:v>
                </c:pt>
                <c:pt idx="1">
                  <c:v>PRESTACIONES SOCIALES ADMINISTRADORES OPERATIVOS</c:v>
                </c:pt>
                <c:pt idx="2">
                  <c:v>PRESTACIONES SOCIALES PERSONAL ADTIVO MANTENIMIENTO</c:v>
                </c:pt>
                <c:pt idx="3">
                  <c:v>PRESTACIONES SOCIALES PERSONAL ADMINISTRATIVO</c:v>
                </c:pt>
                <c:pt idx="4">
                  <c:v>PRESTACIONES SOCIALES ALTA GERENCIA</c:v>
                </c:pt>
              </c:strCache>
            </c:strRef>
          </c:cat>
          <c:val>
            <c:numRef>
              <c:f>'DICIEMBRE 2026'!$C$54:$C$58</c:f>
              <c:numCache>
                <c:formatCode>"$"\ 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BC5-449B-BEAA-99D18B855D8C}"/>
            </c:ext>
          </c:extLst>
        </c:ser>
        <c:ser>
          <c:idx val="1"/>
          <c:order val="1"/>
          <c:tx>
            <c:strRef>
              <c:f>'DICIEMBRE 2026'!$D$53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FBC5-449B-BEAA-99D18B855D8C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FBC5-449B-BEAA-99D18B855D8C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0-FBC5-449B-BEAA-99D18B855D8C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2-FBC5-449B-BEAA-99D18B855D8C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4-FBC5-449B-BEAA-99D18B855D8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'DICIEMBRE 2026'!$B$54:$B$58</c:f>
              <c:strCache>
                <c:ptCount val="5"/>
                <c:pt idx="0">
                  <c:v>PRESTACIONES SOCIALES  OPERATIVA BAJO TIERRA</c:v>
                </c:pt>
                <c:pt idx="1">
                  <c:v>PRESTACIONES SOCIALES ADMINISTRADORES OPERATIVOS</c:v>
                </c:pt>
                <c:pt idx="2">
                  <c:v>PRESTACIONES SOCIALES PERSONAL ADTIVO MANTENIMIENTO</c:v>
                </c:pt>
                <c:pt idx="3">
                  <c:v>PRESTACIONES SOCIALES PERSONAL ADMINISTRATIVO</c:v>
                </c:pt>
                <c:pt idx="4">
                  <c:v>PRESTACIONES SOCIALES ALTA GERENCIA</c:v>
                </c:pt>
              </c:strCache>
            </c:strRef>
          </c:cat>
          <c:val>
            <c:numRef>
              <c:f>'DICIEMBRE 2026'!$D$54:$D$58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 formatCode="0.00%">
                  <c:v>0</c:v>
                </c:pt>
                <c:pt idx="3" formatCode="0.00%">
                  <c:v>0</c:v>
                </c:pt>
                <c:pt idx="4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BC5-449B-BEAA-99D18B855D8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NOMINA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'JULIO 2026'!$C$19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D1-45EC-B5F4-F1756F290E27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D1-45EC-B5F4-F1756F290E27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8D1-45EC-B5F4-F1756F290E27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8D1-45EC-B5F4-F1756F290E27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8D1-45EC-B5F4-F1756F290E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'JULIO 2026'!$B$20:$B$24</c:f>
              <c:strCache>
                <c:ptCount val="5"/>
                <c:pt idx="0">
                  <c:v>NOMINA OPERATIVA BAJO TIERRA</c:v>
                </c:pt>
                <c:pt idx="1">
                  <c:v>ADMINISTRADORES OPERATIVOS</c:v>
                </c:pt>
                <c:pt idx="2">
                  <c:v>PERSONAL ADTIVO MANTENIMIENTO</c:v>
                </c:pt>
                <c:pt idx="3">
                  <c:v>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'JULIO 2026'!$C$20:$C$24</c:f>
              <c:numCache>
                <c:formatCode>[$$-240A]\ #,##0;\-[$$-240A]\ #,##0</c:formatCode>
                <c:ptCount val="5"/>
                <c:pt idx="0" formatCode="&quot;$&quot;\ #,##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8D1-45EC-B5F4-F1756F290E27}"/>
            </c:ext>
          </c:extLst>
        </c:ser>
        <c:ser>
          <c:idx val="1"/>
          <c:order val="1"/>
          <c:tx>
            <c:strRef>
              <c:f>'JULIO 2026'!$D$19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C8D1-45EC-B5F4-F1756F290E27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C8D1-45EC-B5F4-F1756F290E27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C8D1-45EC-B5F4-F1756F290E27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C8D1-45EC-B5F4-F1756F290E27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C8D1-45EC-B5F4-F1756F290E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'JULIO 2026'!$B$20:$B$24</c:f>
              <c:strCache>
                <c:ptCount val="5"/>
                <c:pt idx="0">
                  <c:v>NOMINA OPERATIVA BAJO TIERRA</c:v>
                </c:pt>
                <c:pt idx="1">
                  <c:v>ADMINISTRADORES OPERATIVOS</c:v>
                </c:pt>
                <c:pt idx="2">
                  <c:v>PERSONAL ADTIVO MANTENIMIENTO</c:v>
                </c:pt>
                <c:pt idx="3">
                  <c:v>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'JULIO 2026'!$D$20:$D$24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 formatCode="0.00%">
                  <c:v>0</c:v>
                </c:pt>
                <c:pt idx="3" formatCode="0.00%">
                  <c:v>0</c:v>
                </c:pt>
                <c:pt idx="4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8D1-45EC-B5F4-F1756F290E2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SEGURIDAD SOCIAL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'JULIO 2026'!$L$19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3B1-4FA4-B06E-06E8A06F113F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3B1-4FA4-B06E-06E8A06F113F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3B1-4FA4-B06E-06E8A06F113F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3B1-4FA4-B06E-06E8A06F113F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3B1-4FA4-B06E-06E8A06F11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'JULIO 2026'!$K$20:$K$24</c:f>
              <c:strCache>
                <c:ptCount val="5"/>
                <c:pt idx="0">
                  <c:v>SEG SOCIAL OPERATIVA BAJO TIERRA</c:v>
                </c:pt>
                <c:pt idx="1">
                  <c:v>SEG SOCIAL ADMINISTRADORES OPERATIVOS</c:v>
                </c:pt>
                <c:pt idx="2">
                  <c:v>SEG SOCIAL PERSONAL ADTIVO MANTENIMIENTO</c:v>
                </c:pt>
                <c:pt idx="3">
                  <c:v>SEG SOCIAL 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'JULIO 2026'!$L$20:$L$24</c:f>
              <c:numCache>
                <c:formatCode>[$$-240A]\ #,##0;\-[$$-240A]\ #,##0</c:formatCode>
                <c:ptCount val="5"/>
                <c:pt idx="0" formatCode="&quot;$&quot;\ #,##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3B1-4FA4-B06E-06E8A06F113F}"/>
            </c:ext>
          </c:extLst>
        </c:ser>
        <c:ser>
          <c:idx val="1"/>
          <c:order val="1"/>
          <c:tx>
            <c:strRef>
              <c:f>'JULIO 2026'!$M$19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D3B1-4FA4-B06E-06E8A06F113F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D3B1-4FA4-B06E-06E8A06F113F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D3B1-4FA4-B06E-06E8A06F113F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D3B1-4FA4-B06E-06E8A06F113F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D3B1-4FA4-B06E-06E8A06F11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'JULIO 2026'!$K$20:$K$24</c:f>
              <c:strCache>
                <c:ptCount val="5"/>
                <c:pt idx="0">
                  <c:v>SEG SOCIAL OPERATIVA BAJO TIERRA</c:v>
                </c:pt>
                <c:pt idx="1">
                  <c:v>SEG SOCIAL ADMINISTRADORES OPERATIVOS</c:v>
                </c:pt>
                <c:pt idx="2">
                  <c:v>SEG SOCIAL PERSONAL ADTIVO MANTENIMIENTO</c:v>
                </c:pt>
                <c:pt idx="3">
                  <c:v>SEG SOCIAL PERSONAL ADMINISTRATIVO</c:v>
                </c:pt>
                <c:pt idx="4">
                  <c:v>ALTA GERENCIA</c:v>
                </c:pt>
              </c:strCache>
            </c:strRef>
          </c:cat>
          <c:val>
            <c:numRef>
              <c:f>'JULIO 2026'!$M$20:$M$24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 formatCode="0.00%">
                  <c:v>0</c:v>
                </c:pt>
                <c:pt idx="3" formatCode="0.00%">
                  <c:v>0</c:v>
                </c:pt>
                <c:pt idx="4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3B1-4FA4-B06E-06E8A06F113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PRESTACIONES SOCIALES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2777777777777778E-2"/>
          <c:y val="0.13412037037037036"/>
          <c:w val="0.58961964129483813"/>
          <c:h val="0.75476851851851856"/>
        </c:manualLayout>
      </c:layout>
      <c:pie3DChart>
        <c:varyColors val="1"/>
        <c:ser>
          <c:idx val="0"/>
          <c:order val="0"/>
          <c:tx>
            <c:strRef>
              <c:f>'JULIO 2026'!$C$53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D1F9-4F92-B78E-216551316A5C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D1F9-4F92-B78E-216551316A5C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D1F9-4F92-B78E-216551316A5C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D1F9-4F92-B78E-216551316A5C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D1F9-4F92-B78E-216551316A5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'JULIO 2026'!$B$54:$B$58</c:f>
              <c:strCache>
                <c:ptCount val="5"/>
                <c:pt idx="0">
                  <c:v>PRESTACIONES SOCIALES  OPERATIVA BAJO TIERRA</c:v>
                </c:pt>
                <c:pt idx="1">
                  <c:v>PRESTACIONES SOCIALES ADMINISTRADORES OPERATIVOS</c:v>
                </c:pt>
                <c:pt idx="2">
                  <c:v>PRESTACIONES SOCIALES PERSONAL ADTIVO MANTENIMIENTO</c:v>
                </c:pt>
                <c:pt idx="3">
                  <c:v>PRESTACIONES SOCIALES PERSONAL ADMINISTRATIVO</c:v>
                </c:pt>
                <c:pt idx="4">
                  <c:v>PRESTACIONES SOCIALES ALTA GERENCIA</c:v>
                </c:pt>
              </c:strCache>
            </c:strRef>
          </c:cat>
          <c:val>
            <c:numRef>
              <c:f>'JULIO 2026'!$C$54:$C$58</c:f>
              <c:numCache>
                <c:formatCode>[$$-240A]\ #,##0;\-[$$-240A]\ #,##0</c:formatCode>
                <c:ptCount val="5"/>
                <c:pt idx="0" formatCode="&quot;$&quot;\ #,##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F9-4F92-B78E-216551316A5C}"/>
            </c:ext>
          </c:extLst>
        </c:ser>
        <c:ser>
          <c:idx val="1"/>
          <c:order val="1"/>
          <c:tx>
            <c:strRef>
              <c:f>'JULIO 2026'!$D$53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D1F9-4F92-B78E-216551316A5C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D1F9-4F92-B78E-216551316A5C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0-D1F9-4F92-B78E-216551316A5C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2-D1F9-4F92-B78E-216551316A5C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4-D1F9-4F92-B78E-216551316A5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'JULIO 2026'!$B$54:$B$58</c:f>
              <c:strCache>
                <c:ptCount val="5"/>
                <c:pt idx="0">
                  <c:v>PRESTACIONES SOCIALES  OPERATIVA BAJO TIERRA</c:v>
                </c:pt>
                <c:pt idx="1">
                  <c:v>PRESTACIONES SOCIALES ADMINISTRADORES OPERATIVOS</c:v>
                </c:pt>
                <c:pt idx="2">
                  <c:v>PRESTACIONES SOCIALES PERSONAL ADTIVO MANTENIMIENTO</c:v>
                </c:pt>
                <c:pt idx="3">
                  <c:v>PRESTACIONES SOCIALES PERSONAL ADMINISTRATIVO</c:v>
                </c:pt>
                <c:pt idx="4">
                  <c:v>PRESTACIONES SOCIALES ALTA GERENCIA</c:v>
                </c:pt>
              </c:strCache>
            </c:strRef>
          </c:cat>
          <c:val>
            <c:numRef>
              <c:f>'JULIO 2026'!$D$54:$D$58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 formatCode="0.00%">
                  <c:v>0</c:v>
                </c:pt>
                <c:pt idx="3" formatCode="0.00%">
                  <c:v>0</c:v>
                </c:pt>
                <c:pt idx="4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1F9-4F92-B78E-216551316A5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DICIEMBRE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573C-4E54-8C2F-1B89B370447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573C-4E54-8C2F-1B89B370447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573C-4E54-8C2F-1B89B37044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'DICIEMBRE 2026'!$B$93:$B$95</c:f>
              <c:strCache>
                <c:ptCount val="3"/>
                <c:pt idx="0">
                  <c:v>NOMINA MES DE JULIO</c:v>
                </c:pt>
                <c:pt idx="1">
                  <c:v>PRESTACIONES SOCIALES</c:v>
                </c:pt>
                <c:pt idx="2">
                  <c:v>SEGURIDAD SOCIAL</c:v>
                </c:pt>
              </c:strCache>
            </c:strRef>
          </c:cat>
          <c:val>
            <c:numRef>
              <c:f>'DICIEMBRE 2026'!$C$93:$C$95</c:f>
              <c:numCache>
                <c:formatCode>[$$-240A]\ #,##0;\-[$$-240A]\ 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73C-4E54-8C2F-1B89B370447D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8-573C-4E54-8C2F-1B89B370447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A-573C-4E54-8C2F-1B89B370447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573C-4E54-8C2F-1B89B37044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'DICIEMBRE 2026'!$B$93:$B$95</c:f>
              <c:strCache>
                <c:ptCount val="3"/>
                <c:pt idx="0">
                  <c:v>NOMINA MES DE JULIO</c:v>
                </c:pt>
                <c:pt idx="1">
                  <c:v>PRESTACIONES SOCIALES</c:v>
                </c:pt>
                <c:pt idx="2">
                  <c:v>SEGURIDAD SOCIAL</c:v>
                </c:pt>
              </c:strCache>
            </c:strRef>
          </c:cat>
          <c:val>
            <c:numRef>
              <c:f>'DICIEMBRE 2026'!$D$93:$D$95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73C-4E54-8C2F-1B89B370447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COSTOS NOMINA V/S PRODUCCION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CONSOLIDADO!$C$20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CONSOLIDADO!$B$21:$B$32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 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CONSOLIDADO!$C$21:$C$32</c:f>
              <c:numCache>
                <c:formatCode>_("$"* #,##0.00_);_("$"* \(#,##0.00\);_("$"* "-"??_);_(@_)</c:formatCode>
                <c:ptCount val="12"/>
                <c:pt idx="0">
                  <c:v>244689564.49192381</c:v>
                </c:pt>
                <c:pt idx="1">
                  <c:v>269825390.13624936</c:v>
                </c:pt>
                <c:pt idx="2">
                  <c:v>290271561.69818497</c:v>
                </c:pt>
                <c:pt idx="3">
                  <c:v>291108216.84869874</c:v>
                </c:pt>
                <c:pt idx="4">
                  <c:v>238395520.79618371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42-454A-A247-B89764A9C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6196511"/>
        <c:axId val="1076200255"/>
      </c:barChart>
      <c:lineChart>
        <c:grouping val="standard"/>
        <c:varyColors val="0"/>
        <c:ser>
          <c:idx val="1"/>
          <c:order val="1"/>
          <c:tx>
            <c:strRef>
              <c:f>CONSOLIDADO!$D$20</c:f>
              <c:strCache>
                <c:ptCount val="1"/>
                <c:pt idx="0">
                  <c:v>PRODUCCION 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CONSOLIDADO!$B$21:$B$32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 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CONSOLIDADO!$D$21:$D$32</c:f>
              <c:numCache>
                <c:formatCode>0.00</c:formatCode>
                <c:ptCount val="12"/>
                <c:pt idx="0">
                  <c:v>1698.66</c:v>
                </c:pt>
                <c:pt idx="1">
                  <c:v>1830.15</c:v>
                </c:pt>
                <c:pt idx="2">
                  <c:v>1898.77</c:v>
                </c:pt>
                <c:pt idx="3">
                  <c:v>1800.91</c:v>
                </c:pt>
                <c:pt idx="4">
                  <c:v>1964.1099999999997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42-454A-A247-B89764A9C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648464"/>
        <c:axId val="178659280"/>
      </c:lineChart>
      <c:catAx>
        <c:axId val="10761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6200255"/>
        <c:crosses val="autoZero"/>
        <c:auto val="1"/>
        <c:lblAlgn val="ctr"/>
        <c:lblOffset val="100"/>
        <c:noMultiLvlLbl val="0"/>
      </c:catAx>
      <c:valAx>
        <c:axId val="107620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6196511"/>
        <c:crosses val="autoZero"/>
        <c:crossBetween val="between"/>
      </c:valAx>
      <c:valAx>
        <c:axId val="178659280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8648464"/>
        <c:crosses val="max"/>
        <c:crossBetween val="between"/>
      </c:valAx>
      <c:catAx>
        <c:axId val="1786484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86592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COSTO TONELADA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CONSOLIDADO!$B$53:$B$65</c:f>
              <c:strCache>
                <c:ptCount val="13"/>
                <c:pt idx="0">
                  <c:v>COSTOS POR NOMINA</c:v>
                </c:pt>
                <c:pt idx="1">
                  <c:v>ENERO</c:v>
                </c:pt>
                <c:pt idx="2">
                  <c:v>FEBRERO</c:v>
                </c:pt>
                <c:pt idx="3">
                  <c:v>MARZO 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SEPTIEMBRE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CONSOLIDADO!$C$53:$C$65</c:f>
              <c:numCache>
                <c:formatCode>_-"$"\ * #,##0_-;\-"$"\ * #,##0_-;_-"$"\ * "-"??_-;_-@_-</c:formatCode>
                <c:ptCount val="13"/>
                <c:pt idx="1">
                  <c:v>144048.58211291477</c:v>
                </c:pt>
                <c:pt idx="2">
                  <c:v>147433.48366868799</c:v>
                </c:pt>
                <c:pt idx="3">
                  <c:v>152873.47161487961</c:v>
                </c:pt>
                <c:pt idx="4">
                  <c:v>161645.06657672994</c:v>
                </c:pt>
                <c:pt idx="5">
                  <c:v>121375.85002682322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AA-4A65-879E-131C910F43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25558544"/>
        <c:axId val="364000336"/>
      </c:barChart>
      <c:catAx>
        <c:axId val="22555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64000336"/>
        <c:crosses val="autoZero"/>
        <c:auto val="1"/>
        <c:lblAlgn val="ctr"/>
        <c:lblOffset val="100"/>
        <c:noMultiLvlLbl val="0"/>
      </c:catAx>
      <c:valAx>
        <c:axId val="36400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555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2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5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8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9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0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2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4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5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6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7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8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9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0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2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3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4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5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6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7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8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9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0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2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4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5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6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7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8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9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0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13" Type="http://schemas.openxmlformats.org/officeDocument/2006/relationships/chart" Target="../charts/chart18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12" Type="http://schemas.openxmlformats.org/officeDocument/2006/relationships/chart" Target="../charts/chart17.xml"/><Relationship Id="rId17" Type="http://schemas.openxmlformats.org/officeDocument/2006/relationships/chart" Target="../charts/chart22.xml"/><Relationship Id="rId2" Type="http://schemas.openxmlformats.org/officeDocument/2006/relationships/chart" Target="../charts/chart7.xml"/><Relationship Id="rId16" Type="http://schemas.openxmlformats.org/officeDocument/2006/relationships/chart" Target="../charts/chart21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11" Type="http://schemas.openxmlformats.org/officeDocument/2006/relationships/chart" Target="../charts/chart16.xml"/><Relationship Id="rId5" Type="http://schemas.openxmlformats.org/officeDocument/2006/relationships/chart" Target="../charts/chart10.xml"/><Relationship Id="rId15" Type="http://schemas.openxmlformats.org/officeDocument/2006/relationships/chart" Target="../charts/chart20.xml"/><Relationship Id="rId10" Type="http://schemas.openxmlformats.org/officeDocument/2006/relationships/chart" Target="../charts/chart15.xml"/><Relationship Id="rId4" Type="http://schemas.openxmlformats.org/officeDocument/2006/relationships/chart" Target="../charts/chart9.xml"/><Relationship Id="rId9" Type="http://schemas.openxmlformats.org/officeDocument/2006/relationships/chart" Target="../charts/chart14.xml"/><Relationship Id="rId1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image" Target="../media/image1.png"/><Relationship Id="rId1" Type="http://schemas.openxmlformats.org/officeDocument/2006/relationships/chart" Target="../charts/chart23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image" Target="../media/image1.png"/><Relationship Id="rId1" Type="http://schemas.openxmlformats.org/officeDocument/2006/relationships/chart" Target="../charts/chart27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image" Target="../media/image1.png"/><Relationship Id="rId1" Type="http://schemas.openxmlformats.org/officeDocument/2006/relationships/chart" Target="../charts/chart31.xml"/><Relationship Id="rId5" Type="http://schemas.openxmlformats.org/officeDocument/2006/relationships/chart" Target="../charts/chart34.xml"/><Relationship Id="rId4" Type="http://schemas.openxmlformats.org/officeDocument/2006/relationships/chart" Target="../charts/chart33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image" Target="../media/image1.png"/><Relationship Id="rId1" Type="http://schemas.openxmlformats.org/officeDocument/2006/relationships/chart" Target="../charts/chart35.xml"/><Relationship Id="rId5" Type="http://schemas.openxmlformats.org/officeDocument/2006/relationships/chart" Target="../charts/chart38.xml"/><Relationship Id="rId4" Type="http://schemas.openxmlformats.org/officeDocument/2006/relationships/chart" Target="../charts/chart37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.xml"/><Relationship Id="rId2" Type="http://schemas.openxmlformats.org/officeDocument/2006/relationships/image" Target="../media/image1.png"/><Relationship Id="rId1" Type="http://schemas.openxmlformats.org/officeDocument/2006/relationships/chart" Target="../charts/chart39.xml"/><Relationship Id="rId5" Type="http://schemas.openxmlformats.org/officeDocument/2006/relationships/chart" Target="../charts/chart42.xml"/><Relationship Id="rId4" Type="http://schemas.openxmlformats.org/officeDocument/2006/relationships/chart" Target="../charts/chart41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4.xml"/><Relationship Id="rId2" Type="http://schemas.openxmlformats.org/officeDocument/2006/relationships/image" Target="../media/image1.png"/><Relationship Id="rId1" Type="http://schemas.openxmlformats.org/officeDocument/2006/relationships/chart" Target="../charts/chart43.xml"/><Relationship Id="rId5" Type="http://schemas.openxmlformats.org/officeDocument/2006/relationships/chart" Target="../charts/chart46.xml"/><Relationship Id="rId4" Type="http://schemas.openxmlformats.org/officeDocument/2006/relationships/chart" Target="../charts/chart45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image" Target="../media/image1.png"/><Relationship Id="rId1" Type="http://schemas.openxmlformats.org/officeDocument/2006/relationships/chart" Target="../charts/chart47.xml"/><Relationship Id="rId5" Type="http://schemas.openxmlformats.org/officeDocument/2006/relationships/chart" Target="../charts/chart50.xml"/><Relationship Id="rId4" Type="http://schemas.openxmlformats.org/officeDocument/2006/relationships/chart" Target="../charts/chart49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7.xml"/><Relationship Id="rId3" Type="http://schemas.openxmlformats.org/officeDocument/2006/relationships/chart" Target="../charts/chart52.xml"/><Relationship Id="rId7" Type="http://schemas.openxmlformats.org/officeDocument/2006/relationships/chart" Target="../charts/chart56.xml"/><Relationship Id="rId2" Type="http://schemas.openxmlformats.org/officeDocument/2006/relationships/image" Target="../media/image1.png"/><Relationship Id="rId1" Type="http://schemas.openxmlformats.org/officeDocument/2006/relationships/chart" Target="../charts/chart51.xml"/><Relationship Id="rId6" Type="http://schemas.openxmlformats.org/officeDocument/2006/relationships/chart" Target="../charts/chart55.xml"/><Relationship Id="rId5" Type="http://schemas.openxmlformats.org/officeDocument/2006/relationships/chart" Target="../charts/chart54.xml"/><Relationship Id="rId4" Type="http://schemas.openxmlformats.org/officeDocument/2006/relationships/chart" Target="../charts/chart53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4.xml"/><Relationship Id="rId3" Type="http://schemas.openxmlformats.org/officeDocument/2006/relationships/chart" Target="../charts/chart59.xml"/><Relationship Id="rId7" Type="http://schemas.openxmlformats.org/officeDocument/2006/relationships/chart" Target="../charts/chart63.xml"/><Relationship Id="rId2" Type="http://schemas.openxmlformats.org/officeDocument/2006/relationships/image" Target="../media/image1.png"/><Relationship Id="rId1" Type="http://schemas.openxmlformats.org/officeDocument/2006/relationships/chart" Target="../charts/chart58.xml"/><Relationship Id="rId6" Type="http://schemas.openxmlformats.org/officeDocument/2006/relationships/chart" Target="../charts/chart62.xml"/><Relationship Id="rId5" Type="http://schemas.openxmlformats.org/officeDocument/2006/relationships/chart" Target="../charts/chart61.xml"/><Relationship Id="rId4" Type="http://schemas.openxmlformats.org/officeDocument/2006/relationships/chart" Target="../charts/chart60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1.xml"/><Relationship Id="rId13" Type="http://schemas.openxmlformats.org/officeDocument/2006/relationships/chart" Target="../charts/chart76.xml"/><Relationship Id="rId3" Type="http://schemas.openxmlformats.org/officeDocument/2006/relationships/chart" Target="../charts/chart66.xml"/><Relationship Id="rId7" Type="http://schemas.openxmlformats.org/officeDocument/2006/relationships/chart" Target="../charts/chart70.xml"/><Relationship Id="rId12" Type="http://schemas.openxmlformats.org/officeDocument/2006/relationships/chart" Target="../charts/chart75.xml"/><Relationship Id="rId2" Type="http://schemas.openxmlformats.org/officeDocument/2006/relationships/image" Target="../media/image1.png"/><Relationship Id="rId1" Type="http://schemas.openxmlformats.org/officeDocument/2006/relationships/chart" Target="../charts/chart65.xml"/><Relationship Id="rId6" Type="http://schemas.openxmlformats.org/officeDocument/2006/relationships/chart" Target="../charts/chart69.xml"/><Relationship Id="rId11" Type="http://schemas.openxmlformats.org/officeDocument/2006/relationships/chart" Target="../charts/chart74.xml"/><Relationship Id="rId5" Type="http://schemas.openxmlformats.org/officeDocument/2006/relationships/chart" Target="../charts/chart68.xml"/><Relationship Id="rId10" Type="http://schemas.openxmlformats.org/officeDocument/2006/relationships/chart" Target="../charts/chart73.xml"/><Relationship Id="rId4" Type="http://schemas.openxmlformats.org/officeDocument/2006/relationships/chart" Target="../charts/chart67.xml"/><Relationship Id="rId9" Type="http://schemas.openxmlformats.org/officeDocument/2006/relationships/chart" Target="../charts/chart72.xml"/><Relationship Id="rId14" Type="http://schemas.openxmlformats.org/officeDocument/2006/relationships/chart" Target="../charts/chart77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4.xml"/><Relationship Id="rId3" Type="http://schemas.openxmlformats.org/officeDocument/2006/relationships/chart" Target="../charts/chart79.xml"/><Relationship Id="rId7" Type="http://schemas.openxmlformats.org/officeDocument/2006/relationships/chart" Target="../charts/chart83.xml"/><Relationship Id="rId2" Type="http://schemas.openxmlformats.org/officeDocument/2006/relationships/image" Target="../media/image1.png"/><Relationship Id="rId1" Type="http://schemas.openxmlformats.org/officeDocument/2006/relationships/chart" Target="../charts/chart78.xml"/><Relationship Id="rId6" Type="http://schemas.openxmlformats.org/officeDocument/2006/relationships/chart" Target="../charts/chart82.xml"/><Relationship Id="rId5" Type="http://schemas.openxmlformats.org/officeDocument/2006/relationships/chart" Target="../charts/chart81.xml"/><Relationship Id="rId4" Type="http://schemas.openxmlformats.org/officeDocument/2006/relationships/chart" Target="../charts/chart80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1.xml"/><Relationship Id="rId3" Type="http://schemas.openxmlformats.org/officeDocument/2006/relationships/chart" Target="../charts/chart86.xml"/><Relationship Id="rId7" Type="http://schemas.openxmlformats.org/officeDocument/2006/relationships/chart" Target="../charts/chart90.xml"/><Relationship Id="rId2" Type="http://schemas.openxmlformats.org/officeDocument/2006/relationships/image" Target="../media/image1.png"/><Relationship Id="rId1" Type="http://schemas.openxmlformats.org/officeDocument/2006/relationships/chart" Target="../charts/chart85.xml"/><Relationship Id="rId6" Type="http://schemas.openxmlformats.org/officeDocument/2006/relationships/chart" Target="../charts/chart89.xml"/><Relationship Id="rId5" Type="http://schemas.openxmlformats.org/officeDocument/2006/relationships/chart" Target="../charts/chart88.xml"/><Relationship Id="rId4" Type="http://schemas.openxmlformats.org/officeDocument/2006/relationships/chart" Target="../charts/chart87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3.xml"/><Relationship Id="rId2" Type="http://schemas.openxmlformats.org/officeDocument/2006/relationships/chart" Target="../charts/chart92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129540</xdr:colOff>
      <xdr:row>0</xdr:row>
      <xdr:rowOff>53341</xdr:rowOff>
    </xdr:from>
    <xdr:to>
      <xdr:col>8</xdr:col>
      <xdr:colOff>129540</xdr:colOff>
      <xdr:row>5</xdr:row>
      <xdr:rowOff>60961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Años (FECHA  LIQUIDACION) 1">
              <a:extLst>
                <a:ext uri="{FF2B5EF4-FFF2-40B4-BE49-F238E27FC236}">
                  <a16:creationId xmlns:a16="http://schemas.microsoft.com/office/drawing/2014/main" id="{8EF0AA4C-52AB-4FCE-83D3-C3CD1B18E7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s (FECHA  LIQUIDACION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67795" y="53341"/>
              <a:ext cx="1579418" cy="9081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8</xdr:col>
      <xdr:colOff>129540</xdr:colOff>
      <xdr:row>1</xdr:row>
      <xdr:rowOff>19050</xdr:rowOff>
    </xdr:from>
    <xdr:to>
      <xdr:col>13</xdr:col>
      <xdr:colOff>739140</xdr:colOff>
      <xdr:row>16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5A213DB-55F2-0803-0421-368E8F6A6C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266700</xdr:colOff>
      <xdr:row>1</xdr:row>
      <xdr:rowOff>11430</xdr:rowOff>
    </xdr:from>
    <xdr:to>
      <xdr:col>5</xdr:col>
      <xdr:colOff>320040</xdr:colOff>
      <xdr:row>11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E4892D7-119F-3BB8-17C7-B69BD15D98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130628</xdr:colOff>
      <xdr:row>16</xdr:row>
      <xdr:rowOff>108859</xdr:rowOff>
    </xdr:from>
    <xdr:to>
      <xdr:col>10</xdr:col>
      <xdr:colOff>642257</xdr:colOff>
      <xdr:row>38</xdr:row>
      <xdr:rowOff>124691</xdr:rowOff>
    </xdr:to>
    <xdr:graphicFrame macro="">
      <xdr:nvGraphicFramePr>
        <xdr:cNvPr id="7" name="Gráfico 8">
          <a:extLst>
            <a:ext uri="{FF2B5EF4-FFF2-40B4-BE49-F238E27FC236}">
              <a16:creationId xmlns:a16="http://schemas.microsoft.com/office/drawing/2014/main" id="{57D80B88-909B-8A78-5EF9-424B728F96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1363980</xdr:colOff>
      <xdr:row>7</xdr:row>
      <xdr:rowOff>76200</xdr:rowOff>
    </xdr:from>
    <xdr:to>
      <xdr:col>17</xdr:col>
      <xdr:colOff>701040</xdr:colOff>
      <xdr:row>24</xdr:row>
      <xdr:rowOff>129540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0DFB9D7-EDD2-423F-89DF-DCF5BE2BD4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238126</xdr:colOff>
      <xdr:row>0</xdr:row>
      <xdr:rowOff>114299</xdr:rowOff>
    </xdr:from>
    <xdr:to>
      <xdr:col>9</xdr:col>
      <xdr:colOff>514350</xdr:colOff>
      <xdr:row>29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254162C-B9C0-4C74-8C2B-7482A790EA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7620</xdr:rowOff>
    </xdr:from>
    <xdr:to>
      <xdr:col>3</xdr:col>
      <xdr:colOff>784860</xdr:colOff>
      <xdr:row>36</xdr:row>
      <xdr:rowOff>45720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0B454CF-791D-4D0E-B4F0-D97DC20748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8</xdr:col>
      <xdr:colOff>769620</xdr:colOff>
      <xdr:row>36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BD325FA-CB6E-468F-B0F9-6023C47DE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229639</xdr:colOff>
      <xdr:row>23</xdr:row>
      <xdr:rowOff>137507</xdr:rowOff>
    </xdr:from>
    <xdr:to>
      <xdr:col>14</xdr:col>
      <xdr:colOff>199159</xdr:colOff>
      <xdr:row>40</xdr:row>
      <xdr:rowOff>160367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2C7300D-DA78-4EBB-9946-0411FDEE12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281940</xdr:colOff>
      <xdr:row>28</xdr:row>
      <xdr:rowOff>152400</xdr:rowOff>
    </xdr:from>
    <xdr:to>
      <xdr:col>1</xdr:col>
      <xdr:colOff>643466</xdr:colOff>
      <xdr:row>35</xdr:row>
      <xdr:rowOff>129540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E76EE2CC-5619-4CAB-BAB5-EDD9EA0F7BFA}"/>
            </a:ext>
          </a:extLst>
        </xdr:cNvPr>
        <xdr:cNvSpPr/>
      </xdr:nvSpPr>
      <xdr:spPr>
        <a:xfrm>
          <a:off x="281940" y="5393267"/>
          <a:ext cx="1157393" cy="1281006"/>
        </a:xfrm>
        <a:prstGeom prst="roundRect">
          <a:avLst/>
        </a:prstGeom>
        <a:noFill/>
        <a:ln w="28575"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174172</xdr:colOff>
      <xdr:row>29</xdr:row>
      <xdr:rowOff>65316</xdr:rowOff>
    </xdr:from>
    <xdr:to>
      <xdr:col>6</xdr:col>
      <xdr:colOff>571500</xdr:colOff>
      <xdr:row>35</xdr:row>
      <xdr:rowOff>106681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21258684-81C1-461C-B076-B3CE10F2CA92}"/>
            </a:ext>
          </a:extLst>
        </xdr:cNvPr>
        <xdr:cNvSpPr/>
      </xdr:nvSpPr>
      <xdr:spPr>
        <a:xfrm>
          <a:off x="5693229" y="5464630"/>
          <a:ext cx="1191985" cy="1151708"/>
        </a:xfrm>
        <a:prstGeom prst="roundRect">
          <a:avLst/>
        </a:prstGeom>
        <a:noFill/>
        <a:ln w="28575"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199572</xdr:colOff>
      <xdr:row>50</xdr:row>
      <xdr:rowOff>110067</xdr:rowOff>
    </xdr:from>
    <xdr:to>
      <xdr:col>12</xdr:col>
      <xdr:colOff>1230086</xdr:colOff>
      <xdr:row>74</xdr:row>
      <xdr:rowOff>0</xdr:rowOff>
    </xdr:to>
    <xdr:graphicFrame macro="">
      <xdr:nvGraphicFramePr>
        <xdr:cNvPr id="45" name="Gráfico 44">
          <a:extLst>
            <a:ext uri="{FF2B5EF4-FFF2-40B4-BE49-F238E27FC236}">
              <a16:creationId xmlns:a16="http://schemas.microsoft.com/office/drawing/2014/main" id="{2AE010E9-E432-4A7D-8EBF-B3A768A600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272143</xdr:colOff>
      <xdr:row>74</xdr:row>
      <xdr:rowOff>152400</xdr:rowOff>
    </xdr:from>
    <xdr:to>
      <xdr:col>15</xdr:col>
      <xdr:colOff>174171</xdr:colOff>
      <xdr:row>95</xdr:row>
      <xdr:rowOff>10885</xdr:rowOff>
    </xdr:to>
    <xdr:graphicFrame macro="">
      <xdr:nvGraphicFramePr>
        <xdr:cNvPr id="46" name="Gráfico 45">
          <a:extLst>
            <a:ext uri="{FF2B5EF4-FFF2-40B4-BE49-F238E27FC236}">
              <a16:creationId xmlns:a16="http://schemas.microsoft.com/office/drawing/2014/main" id="{4EFBE31F-7B82-A3CE-E984-A2C85B535B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129886</xdr:colOff>
      <xdr:row>23</xdr:row>
      <xdr:rowOff>133350</xdr:rowOff>
    </xdr:from>
    <xdr:to>
      <xdr:col>20</xdr:col>
      <xdr:colOff>462395</xdr:colOff>
      <xdr:row>40</xdr:row>
      <xdr:rowOff>66156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6716C91-A5B5-46E6-BCDD-D3B00FAA53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27710</xdr:colOff>
      <xdr:row>24</xdr:row>
      <xdr:rowOff>17318</xdr:rowOff>
    </xdr:from>
    <xdr:to>
      <xdr:col>26</xdr:col>
      <xdr:colOff>540328</xdr:colOff>
      <xdr:row>39</xdr:row>
      <xdr:rowOff>58882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F69E25C-C59E-464F-B691-246DC3D1E2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374767</xdr:colOff>
      <xdr:row>29</xdr:row>
      <xdr:rowOff>131617</xdr:rowOff>
    </xdr:from>
    <xdr:to>
      <xdr:col>23</xdr:col>
      <xdr:colOff>725287</xdr:colOff>
      <xdr:row>34</xdr:row>
      <xdr:rowOff>144086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E04DB683-D401-4D12-874A-C2850EB8B7BF}"/>
            </a:ext>
          </a:extLst>
        </xdr:cNvPr>
        <xdr:cNvSpPr/>
      </xdr:nvSpPr>
      <xdr:spPr>
        <a:xfrm>
          <a:off x="24537094" y="5382490"/>
          <a:ext cx="1140229" cy="913014"/>
        </a:xfrm>
        <a:prstGeom prst="roundRect">
          <a:avLst/>
        </a:prstGeom>
        <a:noFill/>
        <a:ln w="28575"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28</xdr:col>
      <xdr:colOff>708313</xdr:colOff>
      <xdr:row>22</xdr:row>
      <xdr:rowOff>58881</xdr:rowOff>
    </xdr:from>
    <xdr:to>
      <xdr:col>33</xdr:col>
      <xdr:colOff>507423</xdr:colOff>
      <xdr:row>37</xdr:row>
      <xdr:rowOff>31172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3713EB8B-A710-4E37-8407-EFBE62E0B5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381694</xdr:colOff>
      <xdr:row>29</xdr:row>
      <xdr:rowOff>159326</xdr:rowOff>
    </xdr:from>
    <xdr:to>
      <xdr:col>30</xdr:col>
      <xdr:colOff>732214</xdr:colOff>
      <xdr:row>34</xdr:row>
      <xdr:rowOff>171795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25B8161E-AC92-44A7-AED3-B70C243E7416}"/>
            </a:ext>
          </a:extLst>
        </xdr:cNvPr>
        <xdr:cNvSpPr/>
      </xdr:nvSpPr>
      <xdr:spPr>
        <a:xfrm>
          <a:off x="30979458" y="5410199"/>
          <a:ext cx="1140229" cy="913014"/>
        </a:xfrm>
        <a:prstGeom prst="roundRect">
          <a:avLst/>
        </a:prstGeom>
        <a:noFill/>
        <a:ln w="28575"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36</xdr:col>
      <xdr:colOff>0</xdr:colOff>
      <xdr:row>20</xdr:row>
      <xdr:rowOff>0</xdr:rowOff>
    </xdr:from>
    <xdr:to>
      <xdr:col>42</xdr:col>
      <xdr:colOff>263237</xdr:colOff>
      <xdr:row>34</xdr:row>
      <xdr:rowOff>152400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59A13834-CE75-4DC5-9D14-EB171B035E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36</xdr:col>
      <xdr:colOff>728058</xdr:colOff>
      <xdr:row>29</xdr:row>
      <xdr:rowOff>76199</xdr:rowOff>
    </xdr:from>
    <xdr:to>
      <xdr:col>37</xdr:col>
      <xdr:colOff>1078578</xdr:colOff>
      <xdr:row>34</xdr:row>
      <xdr:rowOff>88668</xdr:rowOff>
    </xdr:to>
    <xdr:sp macro="" textlink="">
      <xdr:nvSpPr>
        <xdr:cNvPr id="15" name="Rectángulo: esquinas redondeadas 14">
          <a:extLst>
            <a:ext uri="{FF2B5EF4-FFF2-40B4-BE49-F238E27FC236}">
              <a16:creationId xmlns:a16="http://schemas.microsoft.com/office/drawing/2014/main" id="{77D22B1E-A3F9-44BC-A180-C33BB97A409B}"/>
            </a:ext>
          </a:extLst>
        </xdr:cNvPr>
        <xdr:cNvSpPr/>
      </xdr:nvSpPr>
      <xdr:spPr>
        <a:xfrm>
          <a:off x="38107622" y="5327072"/>
          <a:ext cx="1140229" cy="913014"/>
        </a:xfrm>
        <a:prstGeom prst="roundRect">
          <a:avLst/>
        </a:prstGeom>
        <a:noFill/>
        <a:ln w="28575"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44</xdr:col>
      <xdr:colOff>0</xdr:colOff>
      <xdr:row>22</xdr:row>
      <xdr:rowOff>0</xdr:rowOff>
    </xdr:from>
    <xdr:to>
      <xdr:col>50</xdr:col>
      <xdr:colOff>263237</xdr:colOff>
      <xdr:row>36</xdr:row>
      <xdr:rowOff>152400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AAF92DE7-E108-4CD3-BE41-9D9758F647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44</xdr:col>
      <xdr:colOff>728058</xdr:colOff>
      <xdr:row>31</xdr:row>
      <xdr:rowOff>76199</xdr:rowOff>
    </xdr:from>
    <xdr:to>
      <xdr:col>45</xdr:col>
      <xdr:colOff>1078578</xdr:colOff>
      <xdr:row>36</xdr:row>
      <xdr:rowOff>88668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826CABA1-C624-4A55-9F2F-5F79AC70157D}"/>
            </a:ext>
          </a:extLst>
        </xdr:cNvPr>
        <xdr:cNvSpPr/>
      </xdr:nvSpPr>
      <xdr:spPr>
        <a:xfrm>
          <a:off x="49429383" y="5714999"/>
          <a:ext cx="1188720" cy="917344"/>
        </a:xfrm>
        <a:prstGeom prst="roundRect">
          <a:avLst/>
        </a:prstGeom>
        <a:noFill/>
        <a:ln w="28575"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52</xdr:col>
      <xdr:colOff>0</xdr:colOff>
      <xdr:row>22</xdr:row>
      <xdr:rowOff>0</xdr:rowOff>
    </xdr:from>
    <xdr:to>
      <xdr:col>58</xdr:col>
      <xdr:colOff>263237</xdr:colOff>
      <xdr:row>36</xdr:row>
      <xdr:rowOff>152400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E0B3929B-43CF-43D2-B724-B42BBB2EF4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52</xdr:col>
      <xdr:colOff>728058</xdr:colOff>
      <xdr:row>31</xdr:row>
      <xdr:rowOff>76199</xdr:rowOff>
    </xdr:from>
    <xdr:to>
      <xdr:col>53</xdr:col>
      <xdr:colOff>1078578</xdr:colOff>
      <xdr:row>36</xdr:row>
      <xdr:rowOff>88668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0ABD6261-AE86-4217-B407-9FAEEF1D36B6}"/>
            </a:ext>
          </a:extLst>
        </xdr:cNvPr>
        <xdr:cNvSpPr/>
      </xdr:nvSpPr>
      <xdr:spPr>
        <a:xfrm>
          <a:off x="56468358" y="5714999"/>
          <a:ext cx="1188720" cy="917344"/>
        </a:xfrm>
        <a:prstGeom prst="roundRect">
          <a:avLst/>
        </a:prstGeom>
        <a:noFill/>
        <a:ln w="28575"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59</xdr:col>
      <xdr:colOff>115454</xdr:colOff>
      <xdr:row>23</xdr:row>
      <xdr:rowOff>98137</xdr:rowOff>
    </xdr:from>
    <xdr:to>
      <xdr:col>63</xdr:col>
      <xdr:colOff>635000</xdr:colOff>
      <xdr:row>38</xdr:row>
      <xdr:rowOff>69273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6F22D72C-0924-445C-B6AB-C77C5262D9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59</xdr:col>
      <xdr:colOff>508695</xdr:colOff>
      <xdr:row>34</xdr:row>
      <xdr:rowOff>138545</xdr:rowOff>
    </xdr:from>
    <xdr:to>
      <xdr:col>60</xdr:col>
      <xdr:colOff>859215</xdr:colOff>
      <xdr:row>37</xdr:row>
      <xdr:rowOff>88666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BD3B0E6C-B192-4C4D-AD91-7DFC09B4FF7B}"/>
            </a:ext>
          </a:extLst>
        </xdr:cNvPr>
        <xdr:cNvSpPr/>
      </xdr:nvSpPr>
      <xdr:spPr>
        <a:xfrm>
          <a:off x="64288095" y="6320270"/>
          <a:ext cx="1350645" cy="493046"/>
        </a:xfrm>
        <a:prstGeom prst="roundRect">
          <a:avLst/>
        </a:prstGeom>
        <a:noFill/>
        <a:ln w="28575"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58</xdr:col>
      <xdr:colOff>802408</xdr:colOff>
      <xdr:row>39</xdr:row>
      <xdr:rowOff>115455</xdr:rowOff>
    </xdr:from>
    <xdr:to>
      <xdr:col>63</xdr:col>
      <xdr:colOff>675409</xdr:colOff>
      <xdr:row>52</xdr:row>
      <xdr:rowOff>175492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B2B84102-0218-4932-BA1B-018975B42E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66</xdr:col>
      <xdr:colOff>0</xdr:colOff>
      <xdr:row>23</xdr:row>
      <xdr:rowOff>0</xdr:rowOff>
    </xdr:from>
    <xdr:to>
      <xdr:col>70</xdr:col>
      <xdr:colOff>629226</xdr:colOff>
      <xdr:row>37</xdr:row>
      <xdr:rowOff>94672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15B693C5-0475-4963-8521-D2749AC526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66</xdr:col>
      <xdr:colOff>0</xdr:colOff>
      <xdr:row>39</xdr:row>
      <xdr:rowOff>0</xdr:rowOff>
    </xdr:from>
    <xdr:to>
      <xdr:col>70</xdr:col>
      <xdr:colOff>686955</xdr:colOff>
      <xdr:row>52</xdr:row>
      <xdr:rowOff>60037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68E6A757-54D7-43B1-9A32-C5FBBBA407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73</xdr:col>
      <xdr:colOff>0</xdr:colOff>
      <xdr:row>23</xdr:row>
      <xdr:rowOff>0</xdr:rowOff>
    </xdr:from>
    <xdr:to>
      <xdr:col>77</xdr:col>
      <xdr:colOff>629226</xdr:colOff>
      <xdr:row>37</xdr:row>
      <xdr:rowOff>94672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AD229837-F2E4-4E64-9D5D-1031B7DDF0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73</xdr:col>
      <xdr:colOff>0</xdr:colOff>
      <xdr:row>39</xdr:row>
      <xdr:rowOff>0</xdr:rowOff>
    </xdr:from>
    <xdr:to>
      <xdr:col>77</xdr:col>
      <xdr:colOff>686955</xdr:colOff>
      <xdr:row>52</xdr:row>
      <xdr:rowOff>60037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A45B338A-5BCE-4104-8493-77E8C30913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825500</xdr:colOff>
      <xdr:row>25</xdr:row>
      <xdr:rowOff>147108</xdr:rowOff>
    </xdr:from>
    <xdr:to>
      <xdr:col>6</xdr:col>
      <xdr:colOff>42333</xdr:colOff>
      <xdr:row>48</xdr:row>
      <xdr:rowOff>31750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1E5B7AB-4D87-A835-5A31-9839D0CF2B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0</xdr:row>
      <xdr:rowOff>0</xdr:rowOff>
    </xdr:from>
    <xdr:to>
      <xdr:col>6</xdr:col>
      <xdr:colOff>219074</xdr:colOff>
      <xdr:row>9</xdr:row>
      <xdr:rowOff>141817</xdr:rowOff>
    </xdr:to>
    <xdr:pic>
      <xdr:nvPicPr>
        <xdr:cNvPr id="2" name="Imagen 1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BE5A1B4B-C64B-4820-B124-CE13389FD05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677332</xdr:colOff>
      <xdr:row>26</xdr:row>
      <xdr:rowOff>41274</xdr:rowOff>
    </xdr:from>
    <xdr:to>
      <xdr:col>14</xdr:col>
      <xdr:colOff>349249</xdr:colOff>
      <xdr:row>46</xdr:row>
      <xdr:rowOff>126999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CAF9942-304A-CA0C-A3E7-2810427CFA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1121833</xdr:colOff>
      <xdr:row>61</xdr:row>
      <xdr:rowOff>41275</xdr:rowOff>
    </xdr:from>
    <xdr:to>
      <xdr:col>6</xdr:col>
      <xdr:colOff>857249</xdr:colOff>
      <xdr:row>80</xdr:row>
      <xdr:rowOff>179916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C7EB1E2-0F4F-412E-B0D5-44DA6B2838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751416</xdr:colOff>
      <xdr:row>94</xdr:row>
      <xdr:rowOff>83606</xdr:rowOff>
    </xdr:from>
    <xdr:to>
      <xdr:col>5</xdr:col>
      <xdr:colOff>518583</xdr:colOff>
      <xdr:row>119</xdr:row>
      <xdr:rowOff>179915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9BCB4F5-7019-0A88-5B9E-D4A8D91D3A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825500</xdr:colOff>
      <xdr:row>25</xdr:row>
      <xdr:rowOff>147108</xdr:rowOff>
    </xdr:from>
    <xdr:to>
      <xdr:col>5</xdr:col>
      <xdr:colOff>666749</xdr:colOff>
      <xdr:row>47</xdr:row>
      <xdr:rowOff>116417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12EDEE9-562F-4594-88F7-FCCD37E3DD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0</xdr:row>
      <xdr:rowOff>0</xdr:rowOff>
    </xdr:from>
    <xdr:to>
      <xdr:col>6</xdr:col>
      <xdr:colOff>219074</xdr:colOff>
      <xdr:row>9</xdr:row>
      <xdr:rowOff>141817</xdr:rowOff>
    </xdr:to>
    <xdr:pic>
      <xdr:nvPicPr>
        <xdr:cNvPr id="3" name="Imagen 2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882AD7BA-CC0A-435B-8FE7-1B2217F83FD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0"/>
          <a:ext cx="6429374" cy="18563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677332</xdr:colOff>
      <xdr:row>26</xdr:row>
      <xdr:rowOff>41274</xdr:rowOff>
    </xdr:from>
    <xdr:to>
      <xdr:col>14</xdr:col>
      <xdr:colOff>349249</xdr:colOff>
      <xdr:row>46</xdr:row>
      <xdr:rowOff>126999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23DE86E-863C-4740-9ABE-38564DB53C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1121833</xdr:colOff>
      <xdr:row>61</xdr:row>
      <xdr:rowOff>41275</xdr:rowOff>
    </xdr:from>
    <xdr:to>
      <xdr:col>6</xdr:col>
      <xdr:colOff>857249</xdr:colOff>
      <xdr:row>80</xdr:row>
      <xdr:rowOff>179916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B62E878-B192-4BF1-BB0D-7A8EF4FBD2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762000</xdr:colOff>
      <xdr:row>97</xdr:row>
      <xdr:rowOff>30690</xdr:rowOff>
    </xdr:from>
    <xdr:to>
      <xdr:col>5</xdr:col>
      <xdr:colOff>285750</xdr:colOff>
      <xdr:row>116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C3FBD96-BF9A-FEB2-86BC-03EEFF8C7E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825500</xdr:colOff>
      <xdr:row>25</xdr:row>
      <xdr:rowOff>147108</xdr:rowOff>
    </xdr:from>
    <xdr:to>
      <xdr:col>5</xdr:col>
      <xdr:colOff>666749</xdr:colOff>
      <xdr:row>47</xdr:row>
      <xdr:rowOff>116417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B203D70-40EE-4E91-8C63-35C8340963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0</xdr:row>
      <xdr:rowOff>0</xdr:rowOff>
    </xdr:from>
    <xdr:to>
      <xdr:col>6</xdr:col>
      <xdr:colOff>219074</xdr:colOff>
      <xdr:row>9</xdr:row>
      <xdr:rowOff>141817</xdr:rowOff>
    </xdr:to>
    <xdr:pic>
      <xdr:nvPicPr>
        <xdr:cNvPr id="3" name="Imagen 2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BD75223F-CBED-4B14-B008-4450A1CA1B5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0"/>
          <a:ext cx="6429374" cy="18563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677332</xdr:colOff>
      <xdr:row>26</xdr:row>
      <xdr:rowOff>41274</xdr:rowOff>
    </xdr:from>
    <xdr:to>
      <xdr:col>14</xdr:col>
      <xdr:colOff>349249</xdr:colOff>
      <xdr:row>46</xdr:row>
      <xdr:rowOff>126999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A272D61-C0CD-4C72-B46B-A7B7113108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1121833</xdr:colOff>
      <xdr:row>61</xdr:row>
      <xdr:rowOff>41275</xdr:rowOff>
    </xdr:from>
    <xdr:to>
      <xdr:col>6</xdr:col>
      <xdr:colOff>857249</xdr:colOff>
      <xdr:row>80</xdr:row>
      <xdr:rowOff>179916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F34F0D3-F261-458C-885E-EA2CBE0B67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814915</xdr:colOff>
      <xdr:row>96</xdr:row>
      <xdr:rowOff>157689</xdr:rowOff>
    </xdr:from>
    <xdr:to>
      <xdr:col>5</xdr:col>
      <xdr:colOff>508000</xdr:colOff>
      <xdr:row>122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CD607E5-4EE0-AF87-A9C7-D16190188E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825500</xdr:colOff>
      <xdr:row>25</xdr:row>
      <xdr:rowOff>147108</xdr:rowOff>
    </xdr:from>
    <xdr:to>
      <xdr:col>5</xdr:col>
      <xdr:colOff>666749</xdr:colOff>
      <xdr:row>47</xdr:row>
      <xdr:rowOff>116417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4E85B46-C325-491A-9EC4-02DF3AE42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0</xdr:row>
      <xdr:rowOff>0</xdr:rowOff>
    </xdr:from>
    <xdr:to>
      <xdr:col>6</xdr:col>
      <xdr:colOff>219074</xdr:colOff>
      <xdr:row>9</xdr:row>
      <xdr:rowOff>141817</xdr:rowOff>
    </xdr:to>
    <xdr:pic>
      <xdr:nvPicPr>
        <xdr:cNvPr id="3" name="Imagen 2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2B93A163-28A2-48E8-A7AE-346A5E9A9CF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0"/>
          <a:ext cx="6429374" cy="18563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677332</xdr:colOff>
      <xdr:row>26</xdr:row>
      <xdr:rowOff>41274</xdr:rowOff>
    </xdr:from>
    <xdr:to>
      <xdr:col>14</xdr:col>
      <xdr:colOff>349249</xdr:colOff>
      <xdr:row>46</xdr:row>
      <xdr:rowOff>126999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5A7559C-B268-4D9C-A134-06B75653FA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1121833</xdr:colOff>
      <xdr:row>61</xdr:row>
      <xdr:rowOff>41275</xdr:rowOff>
    </xdr:from>
    <xdr:to>
      <xdr:col>6</xdr:col>
      <xdr:colOff>857249</xdr:colOff>
      <xdr:row>80</xdr:row>
      <xdr:rowOff>179916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36D640D-87C4-4640-8F9A-B3147F7776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95250</xdr:colOff>
      <xdr:row>96</xdr:row>
      <xdr:rowOff>62440</xdr:rowOff>
    </xdr:from>
    <xdr:to>
      <xdr:col>5</xdr:col>
      <xdr:colOff>402167</xdr:colOff>
      <xdr:row>118</xdr:row>
      <xdr:rowOff>137583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12C1B34-04D6-23BD-971B-8B9A3659BE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825500</xdr:colOff>
      <xdr:row>25</xdr:row>
      <xdr:rowOff>147108</xdr:rowOff>
    </xdr:from>
    <xdr:to>
      <xdr:col>5</xdr:col>
      <xdr:colOff>666749</xdr:colOff>
      <xdr:row>47</xdr:row>
      <xdr:rowOff>116417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1AD06A-FDD5-4C0B-A0E1-872802D8C8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0</xdr:row>
      <xdr:rowOff>0</xdr:rowOff>
    </xdr:from>
    <xdr:to>
      <xdr:col>6</xdr:col>
      <xdr:colOff>219074</xdr:colOff>
      <xdr:row>9</xdr:row>
      <xdr:rowOff>141817</xdr:rowOff>
    </xdr:to>
    <xdr:pic>
      <xdr:nvPicPr>
        <xdr:cNvPr id="3" name="Imagen 2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6019E697-1B71-48A9-9924-F71E7AB6B8A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0"/>
          <a:ext cx="6429374" cy="18563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677332</xdr:colOff>
      <xdr:row>26</xdr:row>
      <xdr:rowOff>41274</xdr:rowOff>
    </xdr:from>
    <xdr:to>
      <xdr:col>14</xdr:col>
      <xdr:colOff>349249</xdr:colOff>
      <xdr:row>46</xdr:row>
      <xdr:rowOff>126999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101F0FD-E8FB-43BA-8B34-1AA4B405F6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1121833</xdr:colOff>
      <xdr:row>61</xdr:row>
      <xdr:rowOff>41275</xdr:rowOff>
    </xdr:from>
    <xdr:to>
      <xdr:col>6</xdr:col>
      <xdr:colOff>857249</xdr:colOff>
      <xdr:row>80</xdr:row>
      <xdr:rowOff>179916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A004E75-F50E-4BF7-8086-CCEACFF4D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740833</xdr:colOff>
      <xdr:row>97</xdr:row>
      <xdr:rowOff>147107</xdr:rowOff>
    </xdr:from>
    <xdr:to>
      <xdr:col>6</xdr:col>
      <xdr:colOff>465667</xdr:colOff>
      <xdr:row>119</xdr:row>
      <xdr:rowOff>179916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17BC19B-FB34-616A-E426-8A92A49360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825500</xdr:colOff>
      <xdr:row>25</xdr:row>
      <xdr:rowOff>147108</xdr:rowOff>
    </xdr:from>
    <xdr:to>
      <xdr:col>5</xdr:col>
      <xdr:colOff>666749</xdr:colOff>
      <xdr:row>47</xdr:row>
      <xdr:rowOff>116417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031FB24-A2EB-4014-AF56-1BA9831DD8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0</xdr:row>
      <xdr:rowOff>0</xdr:rowOff>
    </xdr:from>
    <xdr:to>
      <xdr:col>6</xdr:col>
      <xdr:colOff>219074</xdr:colOff>
      <xdr:row>9</xdr:row>
      <xdr:rowOff>141817</xdr:rowOff>
    </xdr:to>
    <xdr:pic>
      <xdr:nvPicPr>
        <xdr:cNvPr id="3" name="Imagen 2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5E123298-94D7-4A09-9621-57C622BF8E4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0"/>
          <a:ext cx="6429374" cy="18563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677332</xdr:colOff>
      <xdr:row>26</xdr:row>
      <xdr:rowOff>41274</xdr:rowOff>
    </xdr:from>
    <xdr:to>
      <xdr:col>14</xdr:col>
      <xdr:colOff>349249</xdr:colOff>
      <xdr:row>46</xdr:row>
      <xdr:rowOff>126999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1EA0F55-01E6-423E-8D13-59B12384DD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1121833</xdr:colOff>
      <xdr:row>61</xdr:row>
      <xdr:rowOff>41275</xdr:rowOff>
    </xdr:from>
    <xdr:to>
      <xdr:col>6</xdr:col>
      <xdr:colOff>857249</xdr:colOff>
      <xdr:row>80</xdr:row>
      <xdr:rowOff>179916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D08C680-A162-462D-AEDE-EBE7206421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10584</xdr:colOff>
      <xdr:row>95</xdr:row>
      <xdr:rowOff>30690</xdr:rowOff>
    </xdr:from>
    <xdr:to>
      <xdr:col>6</xdr:col>
      <xdr:colOff>264583</xdr:colOff>
      <xdr:row>118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9AB6E67-DBFB-EAB5-688E-770FCC492B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825500</xdr:colOff>
      <xdr:row>25</xdr:row>
      <xdr:rowOff>147108</xdr:rowOff>
    </xdr:from>
    <xdr:to>
      <xdr:col>5</xdr:col>
      <xdr:colOff>666749</xdr:colOff>
      <xdr:row>47</xdr:row>
      <xdr:rowOff>116417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5A26644-CB05-4BC7-BCDA-9C4830D0F2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0</xdr:row>
      <xdr:rowOff>0</xdr:rowOff>
    </xdr:from>
    <xdr:to>
      <xdr:col>6</xdr:col>
      <xdr:colOff>219074</xdr:colOff>
      <xdr:row>9</xdr:row>
      <xdr:rowOff>141817</xdr:rowOff>
    </xdr:to>
    <xdr:pic>
      <xdr:nvPicPr>
        <xdr:cNvPr id="3" name="Imagen 2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583E54A9-BEC3-4D7F-9DC3-75350144A04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0"/>
          <a:ext cx="6429374" cy="18563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677332</xdr:colOff>
      <xdr:row>26</xdr:row>
      <xdr:rowOff>41274</xdr:rowOff>
    </xdr:from>
    <xdr:to>
      <xdr:col>14</xdr:col>
      <xdr:colOff>349249</xdr:colOff>
      <xdr:row>46</xdr:row>
      <xdr:rowOff>126999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B254E3C-F719-4A1D-ABB0-EAB2938463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1121833</xdr:colOff>
      <xdr:row>61</xdr:row>
      <xdr:rowOff>41275</xdr:rowOff>
    </xdr:from>
    <xdr:to>
      <xdr:col>6</xdr:col>
      <xdr:colOff>857249</xdr:colOff>
      <xdr:row>80</xdr:row>
      <xdr:rowOff>179916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869B1AF-72BF-4C08-A34D-4ABC2CDA6A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751417</xdr:colOff>
      <xdr:row>97</xdr:row>
      <xdr:rowOff>9524</xdr:rowOff>
    </xdr:from>
    <xdr:to>
      <xdr:col>5</xdr:col>
      <xdr:colOff>560917</xdr:colOff>
      <xdr:row>119</xdr:row>
      <xdr:rowOff>63499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FD1AB9B-F459-4C90-2305-F9D1F1F1EE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825500</xdr:colOff>
      <xdr:row>25</xdr:row>
      <xdr:rowOff>147108</xdr:rowOff>
    </xdr:from>
    <xdr:to>
      <xdr:col>5</xdr:col>
      <xdr:colOff>666749</xdr:colOff>
      <xdr:row>47</xdr:row>
      <xdr:rowOff>116417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8B6B3AB-4EDC-43E8-A4E8-BB0A5BCCE7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0</xdr:row>
      <xdr:rowOff>0</xdr:rowOff>
    </xdr:from>
    <xdr:to>
      <xdr:col>6</xdr:col>
      <xdr:colOff>219074</xdr:colOff>
      <xdr:row>9</xdr:row>
      <xdr:rowOff>141817</xdr:rowOff>
    </xdr:to>
    <xdr:pic>
      <xdr:nvPicPr>
        <xdr:cNvPr id="3" name="Imagen 2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95391374-4FDD-4A83-B7B7-A28A539DC70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0"/>
          <a:ext cx="6429374" cy="18563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677332</xdr:colOff>
      <xdr:row>26</xdr:row>
      <xdr:rowOff>41274</xdr:rowOff>
    </xdr:from>
    <xdr:to>
      <xdr:col>14</xdr:col>
      <xdr:colOff>349249</xdr:colOff>
      <xdr:row>46</xdr:row>
      <xdr:rowOff>126999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9DC6497-32A3-4C41-ACFA-70EA500DE3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1121833</xdr:colOff>
      <xdr:row>61</xdr:row>
      <xdr:rowOff>41275</xdr:rowOff>
    </xdr:from>
    <xdr:to>
      <xdr:col>6</xdr:col>
      <xdr:colOff>857249</xdr:colOff>
      <xdr:row>80</xdr:row>
      <xdr:rowOff>179916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211E7ED-2D9C-4CD6-97A7-19D0B0EF39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825499</xdr:colOff>
      <xdr:row>25</xdr:row>
      <xdr:rowOff>147108</xdr:rowOff>
    </xdr:from>
    <xdr:to>
      <xdr:col>6</xdr:col>
      <xdr:colOff>126999</xdr:colOff>
      <xdr:row>50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D5C9788-2478-4C5E-B4E5-97B21FDBFB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0</xdr:row>
      <xdr:rowOff>0</xdr:rowOff>
    </xdr:from>
    <xdr:to>
      <xdr:col>6</xdr:col>
      <xdr:colOff>219074</xdr:colOff>
      <xdr:row>9</xdr:row>
      <xdr:rowOff>141817</xdr:rowOff>
    </xdr:to>
    <xdr:pic>
      <xdr:nvPicPr>
        <xdr:cNvPr id="8" name="Imagen 7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FC8DDF2A-B88B-466E-9831-34944D8065F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0"/>
          <a:ext cx="6429374" cy="18563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677332</xdr:colOff>
      <xdr:row>26</xdr:row>
      <xdr:rowOff>41274</xdr:rowOff>
    </xdr:from>
    <xdr:to>
      <xdr:col>14</xdr:col>
      <xdr:colOff>349249</xdr:colOff>
      <xdr:row>46</xdr:row>
      <xdr:rowOff>126999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269D1D79-CF4E-4FED-8F81-05962D1CED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1121833</xdr:colOff>
      <xdr:row>61</xdr:row>
      <xdr:rowOff>41275</xdr:rowOff>
    </xdr:from>
    <xdr:to>
      <xdr:col>6</xdr:col>
      <xdr:colOff>857249</xdr:colOff>
      <xdr:row>80</xdr:row>
      <xdr:rowOff>179916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D9482D25-29B3-46BA-A5DD-7D258E7AB7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95250</xdr:colOff>
      <xdr:row>97</xdr:row>
      <xdr:rowOff>94190</xdr:rowOff>
    </xdr:from>
    <xdr:to>
      <xdr:col>5</xdr:col>
      <xdr:colOff>687917</xdr:colOff>
      <xdr:row>124</xdr:row>
      <xdr:rowOff>105834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29260D45-A232-CCDF-0925-D5D0DEA5F4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825500</xdr:colOff>
      <xdr:row>25</xdr:row>
      <xdr:rowOff>147108</xdr:rowOff>
    </xdr:from>
    <xdr:to>
      <xdr:col>5</xdr:col>
      <xdr:colOff>666749</xdr:colOff>
      <xdr:row>47</xdr:row>
      <xdr:rowOff>116417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DEF8E01-7184-45BA-B517-3E1FF34C18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0</xdr:row>
      <xdr:rowOff>0</xdr:rowOff>
    </xdr:from>
    <xdr:to>
      <xdr:col>6</xdr:col>
      <xdr:colOff>219074</xdr:colOff>
      <xdr:row>9</xdr:row>
      <xdr:rowOff>141817</xdr:rowOff>
    </xdr:to>
    <xdr:pic>
      <xdr:nvPicPr>
        <xdr:cNvPr id="3" name="Imagen 2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93E9333A-F345-4C1E-84B0-99833FCB47D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0"/>
          <a:ext cx="6429374" cy="18563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677332</xdr:colOff>
      <xdr:row>26</xdr:row>
      <xdr:rowOff>41274</xdr:rowOff>
    </xdr:from>
    <xdr:to>
      <xdr:col>14</xdr:col>
      <xdr:colOff>349249</xdr:colOff>
      <xdr:row>46</xdr:row>
      <xdr:rowOff>126999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70B7D32-163B-40FF-A094-B9149728F9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1121833</xdr:colOff>
      <xdr:row>61</xdr:row>
      <xdr:rowOff>41275</xdr:rowOff>
    </xdr:from>
    <xdr:to>
      <xdr:col>6</xdr:col>
      <xdr:colOff>857249</xdr:colOff>
      <xdr:row>80</xdr:row>
      <xdr:rowOff>179916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14452F-FA52-4DFE-B404-91E526F794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825500</xdr:colOff>
      <xdr:row>25</xdr:row>
      <xdr:rowOff>147108</xdr:rowOff>
    </xdr:from>
    <xdr:to>
      <xdr:col>5</xdr:col>
      <xdr:colOff>666749</xdr:colOff>
      <xdr:row>47</xdr:row>
      <xdr:rowOff>116417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DEF6F00-6E36-4FB5-BB58-B863C1EEF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0</xdr:row>
      <xdr:rowOff>0</xdr:rowOff>
    </xdr:from>
    <xdr:to>
      <xdr:col>6</xdr:col>
      <xdr:colOff>219074</xdr:colOff>
      <xdr:row>9</xdr:row>
      <xdr:rowOff>141817</xdr:rowOff>
    </xdr:to>
    <xdr:pic>
      <xdr:nvPicPr>
        <xdr:cNvPr id="8" name="Imagen 7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0B584744-0875-47EC-8A70-98EE79D631D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0"/>
          <a:ext cx="6429374" cy="18563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677332</xdr:colOff>
      <xdr:row>26</xdr:row>
      <xdr:rowOff>41274</xdr:rowOff>
    </xdr:from>
    <xdr:to>
      <xdr:col>14</xdr:col>
      <xdr:colOff>349249</xdr:colOff>
      <xdr:row>46</xdr:row>
      <xdr:rowOff>126999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E57715B-E44D-46C6-BBBA-B656760F79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1121833</xdr:colOff>
      <xdr:row>61</xdr:row>
      <xdr:rowOff>41275</xdr:rowOff>
    </xdr:from>
    <xdr:to>
      <xdr:col>6</xdr:col>
      <xdr:colOff>857249</xdr:colOff>
      <xdr:row>80</xdr:row>
      <xdr:rowOff>179916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D2CA3F18-A17D-4A33-85A3-7C394BB8A9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148166</xdr:colOff>
      <xdr:row>97</xdr:row>
      <xdr:rowOff>178857</xdr:rowOff>
    </xdr:from>
    <xdr:to>
      <xdr:col>5</xdr:col>
      <xdr:colOff>550332</xdr:colOff>
      <xdr:row>116</xdr:row>
      <xdr:rowOff>179916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65613236-5330-DB2C-354E-C27EA1210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825500</xdr:colOff>
      <xdr:row>25</xdr:row>
      <xdr:rowOff>147108</xdr:rowOff>
    </xdr:from>
    <xdr:to>
      <xdr:col>5</xdr:col>
      <xdr:colOff>666749</xdr:colOff>
      <xdr:row>47</xdr:row>
      <xdr:rowOff>116417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2314A11-78C5-4CBB-9A79-A6AB161728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0</xdr:row>
      <xdr:rowOff>0</xdr:rowOff>
    </xdr:from>
    <xdr:to>
      <xdr:col>6</xdr:col>
      <xdr:colOff>219074</xdr:colOff>
      <xdr:row>9</xdr:row>
      <xdr:rowOff>141817</xdr:rowOff>
    </xdr:to>
    <xdr:pic>
      <xdr:nvPicPr>
        <xdr:cNvPr id="3" name="Imagen 2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35771F7B-FC6F-4D2E-8831-CE260628548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0"/>
          <a:ext cx="6429374" cy="18563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677332</xdr:colOff>
      <xdr:row>26</xdr:row>
      <xdr:rowOff>41274</xdr:rowOff>
    </xdr:from>
    <xdr:to>
      <xdr:col>14</xdr:col>
      <xdr:colOff>349249</xdr:colOff>
      <xdr:row>46</xdr:row>
      <xdr:rowOff>126999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396832A-5CAA-4CB1-998B-5406755C54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1121833</xdr:colOff>
      <xdr:row>61</xdr:row>
      <xdr:rowOff>41275</xdr:rowOff>
    </xdr:from>
    <xdr:to>
      <xdr:col>6</xdr:col>
      <xdr:colOff>857249</xdr:colOff>
      <xdr:row>80</xdr:row>
      <xdr:rowOff>179916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F63A6C8-A4ED-47FD-8BD3-EF20E339E6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825500</xdr:colOff>
      <xdr:row>25</xdr:row>
      <xdr:rowOff>147108</xdr:rowOff>
    </xdr:from>
    <xdr:to>
      <xdr:col>5</xdr:col>
      <xdr:colOff>666749</xdr:colOff>
      <xdr:row>47</xdr:row>
      <xdr:rowOff>116417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188750A-88BF-4FD1-99CF-A3BC492CED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0</xdr:row>
      <xdr:rowOff>0</xdr:rowOff>
    </xdr:from>
    <xdr:to>
      <xdr:col>6</xdr:col>
      <xdr:colOff>219074</xdr:colOff>
      <xdr:row>9</xdr:row>
      <xdr:rowOff>141817</xdr:rowOff>
    </xdr:to>
    <xdr:pic>
      <xdr:nvPicPr>
        <xdr:cNvPr id="7" name="Imagen 6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75C0ABB5-69D6-4A72-82CF-AD1AC466F3C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0"/>
          <a:ext cx="6429374" cy="18563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677332</xdr:colOff>
      <xdr:row>26</xdr:row>
      <xdr:rowOff>41274</xdr:rowOff>
    </xdr:from>
    <xdr:to>
      <xdr:col>14</xdr:col>
      <xdr:colOff>349249</xdr:colOff>
      <xdr:row>46</xdr:row>
      <xdr:rowOff>126999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9CC1DED-C5A6-4F17-A860-AE3D857D4C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1121833</xdr:colOff>
      <xdr:row>61</xdr:row>
      <xdr:rowOff>41275</xdr:rowOff>
    </xdr:from>
    <xdr:to>
      <xdr:col>6</xdr:col>
      <xdr:colOff>857249</xdr:colOff>
      <xdr:row>80</xdr:row>
      <xdr:rowOff>179916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A6C4C74-6583-4FCE-8C01-7A494C7E09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148166</xdr:colOff>
      <xdr:row>97</xdr:row>
      <xdr:rowOff>178857</xdr:rowOff>
    </xdr:from>
    <xdr:to>
      <xdr:col>5</xdr:col>
      <xdr:colOff>550332</xdr:colOff>
      <xdr:row>116</xdr:row>
      <xdr:rowOff>179916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67853186-EF26-476B-8910-CDE39B6EBB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825500</xdr:colOff>
      <xdr:row>25</xdr:row>
      <xdr:rowOff>147108</xdr:rowOff>
    </xdr:from>
    <xdr:to>
      <xdr:col>5</xdr:col>
      <xdr:colOff>666749</xdr:colOff>
      <xdr:row>47</xdr:row>
      <xdr:rowOff>116417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9B3CF54-0E0F-4DCA-A610-1AA27F0D1B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</xdr:col>
      <xdr:colOff>0</xdr:colOff>
      <xdr:row>0</xdr:row>
      <xdr:rowOff>0</xdr:rowOff>
    </xdr:from>
    <xdr:to>
      <xdr:col>6</xdr:col>
      <xdr:colOff>219074</xdr:colOff>
      <xdr:row>9</xdr:row>
      <xdr:rowOff>141817</xdr:rowOff>
    </xdr:to>
    <xdr:pic>
      <xdr:nvPicPr>
        <xdr:cNvPr id="12" name="Imagen 11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27F6ADD4-57D0-49F5-A3E9-CA8AD67944B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0"/>
          <a:ext cx="5648324" cy="18563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677332</xdr:colOff>
      <xdr:row>26</xdr:row>
      <xdr:rowOff>41274</xdr:rowOff>
    </xdr:from>
    <xdr:to>
      <xdr:col>14</xdr:col>
      <xdr:colOff>349249</xdr:colOff>
      <xdr:row>46</xdr:row>
      <xdr:rowOff>126999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7902AED6-811F-4666-BA7D-4A85392F31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1121833</xdr:colOff>
      <xdr:row>61</xdr:row>
      <xdr:rowOff>41275</xdr:rowOff>
    </xdr:from>
    <xdr:to>
      <xdr:col>6</xdr:col>
      <xdr:colOff>857249</xdr:colOff>
      <xdr:row>80</xdr:row>
      <xdr:rowOff>179916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54143B87-D97C-48C7-8C40-99282C65FE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825500</xdr:colOff>
      <xdr:row>25</xdr:row>
      <xdr:rowOff>147108</xdr:rowOff>
    </xdr:from>
    <xdr:to>
      <xdr:col>5</xdr:col>
      <xdr:colOff>666749</xdr:colOff>
      <xdr:row>47</xdr:row>
      <xdr:rowOff>116417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295C3670-89F1-496A-90D1-E62C490FC7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</xdr:col>
      <xdr:colOff>0</xdr:colOff>
      <xdr:row>0</xdr:row>
      <xdr:rowOff>0</xdr:rowOff>
    </xdr:from>
    <xdr:to>
      <xdr:col>6</xdr:col>
      <xdr:colOff>219074</xdr:colOff>
      <xdr:row>9</xdr:row>
      <xdr:rowOff>141817</xdr:rowOff>
    </xdr:to>
    <xdr:pic>
      <xdr:nvPicPr>
        <xdr:cNvPr id="16" name="Imagen 15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3E1DDE85-709B-4355-86E6-868B13085D4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0"/>
          <a:ext cx="5648324" cy="18563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677332</xdr:colOff>
      <xdr:row>26</xdr:row>
      <xdr:rowOff>41274</xdr:rowOff>
    </xdr:from>
    <xdr:to>
      <xdr:col>14</xdr:col>
      <xdr:colOff>349249</xdr:colOff>
      <xdr:row>46</xdr:row>
      <xdr:rowOff>126999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3D0B16A9-D4DF-4E49-9162-21A2B3C756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1121833</xdr:colOff>
      <xdr:row>61</xdr:row>
      <xdr:rowOff>41275</xdr:rowOff>
    </xdr:from>
    <xdr:to>
      <xdr:col>6</xdr:col>
      <xdr:colOff>857249</xdr:colOff>
      <xdr:row>80</xdr:row>
      <xdr:rowOff>179916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C3A18BA1-EA42-48C5-9AD8-731CFC0D5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825500</xdr:colOff>
      <xdr:row>25</xdr:row>
      <xdr:rowOff>147108</xdr:rowOff>
    </xdr:from>
    <xdr:to>
      <xdr:col>5</xdr:col>
      <xdr:colOff>666749</xdr:colOff>
      <xdr:row>47</xdr:row>
      <xdr:rowOff>116417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515DC6-59CC-4990-9CA3-BD7CE2DC43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0</xdr:row>
      <xdr:rowOff>0</xdr:rowOff>
    </xdr:from>
    <xdr:to>
      <xdr:col>6</xdr:col>
      <xdr:colOff>219074</xdr:colOff>
      <xdr:row>9</xdr:row>
      <xdr:rowOff>141817</xdr:rowOff>
    </xdr:to>
    <xdr:pic>
      <xdr:nvPicPr>
        <xdr:cNvPr id="3" name="Imagen 2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FB848FA9-086E-4E61-8ED9-54A75C18976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0"/>
          <a:ext cx="6429374" cy="18563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677332</xdr:colOff>
      <xdr:row>26</xdr:row>
      <xdr:rowOff>41274</xdr:rowOff>
    </xdr:from>
    <xdr:to>
      <xdr:col>14</xdr:col>
      <xdr:colOff>349249</xdr:colOff>
      <xdr:row>46</xdr:row>
      <xdr:rowOff>126999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957AEC7-7419-48BD-8DD6-DF0D40A733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1121833</xdr:colOff>
      <xdr:row>61</xdr:row>
      <xdr:rowOff>41275</xdr:rowOff>
    </xdr:from>
    <xdr:to>
      <xdr:col>6</xdr:col>
      <xdr:colOff>857249</xdr:colOff>
      <xdr:row>80</xdr:row>
      <xdr:rowOff>179916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F1B0BE2-CF7D-4D8A-800A-CBED93E742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825500</xdr:colOff>
      <xdr:row>25</xdr:row>
      <xdr:rowOff>147108</xdr:rowOff>
    </xdr:from>
    <xdr:to>
      <xdr:col>5</xdr:col>
      <xdr:colOff>666749</xdr:colOff>
      <xdr:row>47</xdr:row>
      <xdr:rowOff>116417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A76F02E-E9B0-4B5F-B010-B6E2E18ACB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0</xdr:row>
      <xdr:rowOff>0</xdr:rowOff>
    </xdr:from>
    <xdr:to>
      <xdr:col>6</xdr:col>
      <xdr:colOff>219074</xdr:colOff>
      <xdr:row>9</xdr:row>
      <xdr:rowOff>141817</xdr:rowOff>
    </xdr:to>
    <xdr:pic>
      <xdr:nvPicPr>
        <xdr:cNvPr id="7" name="Imagen 6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5703E6C4-2C61-4D9A-B61D-982BFC16319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0"/>
          <a:ext cx="6429374" cy="18563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677332</xdr:colOff>
      <xdr:row>26</xdr:row>
      <xdr:rowOff>41274</xdr:rowOff>
    </xdr:from>
    <xdr:to>
      <xdr:col>14</xdr:col>
      <xdr:colOff>349249</xdr:colOff>
      <xdr:row>46</xdr:row>
      <xdr:rowOff>126999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F620F16-F7CB-4463-AF50-64EC77A23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1121833</xdr:colOff>
      <xdr:row>61</xdr:row>
      <xdr:rowOff>41275</xdr:rowOff>
    </xdr:from>
    <xdr:to>
      <xdr:col>6</xdr:col>
      <xdr:colOff>857249</xdr:colOff>
      <xdr:row>80</xdr:row>
      <xdr:rowOff>179916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B0CD1A7-F9CE-4D02-8F92-D74CAE94B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148166</xdr:colOff>
      <xdr:row>97</xdr:row>
      <xdr:rowOff>178857</xdr:rowOff>
    </xdr:from>
    <xdr:to>
      <xdr:col>5</xdr:col>
      <xdr:colOff>550332</xdr:colOff>
      <xdr:row>116</xdr:row>
      <xdr:rowOff>179916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84E9AB4D-903A-4340-B7E0-72EBE42E8C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825500</xdr:colOff>
      <xdr:row>25</xdr:row>
      <xdr:rowOff>147108</xdr:rowOff>
    </xdr:from>
    <xdr:to>
      <xdr:col>5</xdr:col>
      <xdr:colOff>666749</xdr:colOff>
      <xdr:row>47</xdr:row>
      <xdr:rowOff>116417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A50E613-12B6-4A1E-B6C5-27D2D48F2B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0</xdr:row>
      <xdr:rowOff>0</xdr:rowOff>
    </xdr:from>
    <xdr:to>
      <xdr:col>6</xdr:col>
      <xdr:colOff>219074</xdr:colOff>
      <xdr:row>9</xdr:row>
      <xdr:rowOff>141817</xdr:rowOff>
    </xdr:to>
    <xdr:pic>
      <xdr:nvPicPr>
        <xdr:cNvPr id="3" name="Imagen 2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1AF7CD98-9BE1-48FF-BF28-863F705222E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0"/>
          <a:ext cx="6429374" cy="18563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677332</xdr:colOff>
      <xdr:row>26</xdr:row>
      <xdr:rowOff>41274</xdr:rowOff>
    </xdr:from>
    <xdr:to>
      <xdr:col>14</xdr:col>
      <xdr:colOff>349249</xdr:colOff>
      <xdr:row>46</xdr:row>
      <xdr:rowOff>126999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3D3FD7C-6540-46EF-A791-A5A447DE66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1121833</xdr:colOff>
      <xdr:row>61</xdr:row>
      <xdr:rowOff>41275</xdr:rowOff>
    </xdr:from>
    <xdr:to>
      <xdr:col>6</xdr:col>
      <xdr:colOff>857249</xdr:colOff>
      <xdr:row>80</xdr:row>
      <xdr:rowOff>179916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8DD0C07-AB68-404E-B128-F8B5843F65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825500</xdr:colOff>
      <xdr:row>25</xdr:row>
      <xdr:rowOff>147108</xdr:rowOff>
    </xdr:from>
    <xdr:to>
      <xdr:col>5</xdr:col>
      <xdr:colOff>666749</xdr:colOff>
      <xdr:row>47</xdr:row>
      <xdr:rowOff>116417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2F5CF03-B4C7-4FC2-8713-B63298F784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0</xdr:row>
      <xdr:rowOff>0</xdr:rowOff>
    </xdr:from>
    <xdr:to>
      <xdr:col>6</xdr:col>
      <xdr:colOff>219074</xdr:colOff>
      <xdr:row>9</xdr:row>
      <xdr:rowOff>141817</xdr:rowOff>
    </xdr:to>
    <xdr:pic>
      <xdr:nvPicPr>
        <xdr:cNvPr id="7" name="Imagen 6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02AC2998-4579-4CD6-9818-8E28B86201E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0"/>
          <a:ext cx="6429374" cy="18563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677332</xdr:colOff>
      <xdr:row>26</xdr:row>
      <xdr:rowOff>41274</xdr:rowOff>
    </xdr:from>
    <xdr:to>
      <xdr:col>14</xdr:col>
      <xdr:colOff>349249</xdr:colOff>
      <xdr:row>46</xdr:row>
      <xdr:rowOff>126999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BECA881-94B7-4B76-8B67-E60D27149E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1121833</xdr:colOff>
      <xdr:row>61</xdr:row>
      <xdr:rowOff>41275</xdr:rowOff>
    </xdr:from>
    <xdr:to>
      <xdr:col>6</xdr:col>
      <xdr:colOff>857249</xdr:colOff>
      <xdr:row>80</xdr:row>
      <xdr:rowOff>179916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00482D4-D00F-4500-9813-3A0320BE6D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148166</xdr:colOff>
      <xdr:row>97</xdr:row>
      <xdr:rowOff>178857</xdr:rowOff>
    </xdr:from>
    <xdr:to>
      <xdr:col>5</xdr:col>
      <xdr:colOff>550332</xdr:colOff>
      <xdr:row>116</xdr:row>
      <xdr:rowOff>179916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FAE6F97-319B-4035-B819-A105F7514F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6</xdr:col>
      <xdr:colOff>346074</xdr:colOff>
      <xdr:row>9</xdr:row>
      <xdr:rowOff>141817</xdr:rowOff>
    </xdr:to>
    <xdr:pic>
      <xdr:nvPicPr>
        <xdr:cNvPr id="2" name="Imagen 1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0D7E408E-1663-4CEC-83AE-320D7A3A5AC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0"/>
          <a:ext cx="5659965" cy="185631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6</xdr:col>
      <xdr:colOff>346074</xdr:colOff>
      <xdr:row>9</xdr:row>
      <xdr:rowOff>141817</xdr:rowOff>
    </xdr:to>
    <xdr:pic>
      <xdr:nvPicPr>
        <xdr:cNvPr id="3" name="Imagen 2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5C652307-B089-47FE-83AF-B61C88FB3C0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0"/>
          <a:ext cx="5659965" cy="18563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963083</xdr:colOff>
      <xdr:row>19</xdr:row>
      <xdr:rowOff>95250</xdr:rowOff>
    </xdr:from>
    <xdr:to>
      <xdr:col>11</xdr:col>
      <xdr:colOff>899583</xdr:colOff>
      <xdr:row>47</xdr:row>
      <xdr:rowOff>116417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3F3D842-D810-473E-DFED-DC66D54350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460374</xdr:colOff>
      <xdr:row>51</xdr:row>
      <xdr:rowOff>10583</xdr:rowOff>
    </xdr:from>
    <xdr:to>
      <xdr:col>12</xdr:col>
      <xdr:colOff>148167</xdr:colOff>
      <xdr:row>79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8D6C57-1662-4EEB-8C7C-BED435747F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tabilidapc\siiwis\Users\CONTABILIDAD\Downloads\NOMINA%20TRANSPORTES%20Y%20CARBONES%20METALURGICO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iego/OneDrive/Desktop/personal%20diego%20rivera/informaciondisco%20duro%2010-11/coexcol%20inerno/NOMINAS/octubre/OPERATIVA/Nomina%20operativa%201Q%20Octubre%202023%20REVISADA%20%2019-10-2023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iego/OneDrive/Desktop/personal%20diego%20rivera/informaciondisco%20duro%2010-11/coexcol%20inerno/NOMINAS/octubre/OPERATIVA/30_10_23%20Nomina%20operativa%202A%20Octubre%20definitva%203-11-2023.xlsb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iego/OneDrive/Desktop/personal%20diego%20rivera/informaciondisco%20duro%2010-11/coexcol%20inerno/NOMINAS/NOVIEMBRE/Nomina%20Operativa%201er%20Q%20Noviembre%202023%20DEFINITIVA.xlsb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iego/OneDrive/Desktop/personal%20diego%20rivera/informaciondisco%20duro%2010-11/coexcol%20inerno/NOMINAS/NOVIEMBRE/30_11_23%20Nomina%20Operativa%202da%20Q.%20Nov%202023%20DEF.xlsb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iego/OneDrive/Desktop/personal%20diego%20rivera/informaciondisco%20duro%2010-11/coexcol%20inerno/NOMINAS/DICIEMBRE/15_12_23%20Nomina%201Q%20DICIEMBRE%20%20operativa%20VERFICADA.xlsb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iego/OneDrive/Desktop/personal%20diego%20rivera/informaciondisco%20duro%2010-11/coexcol%20inerno/NOMINAS/DICIEMBRE/30_12_23%20Nomina%20Operativa%202Q%20Diciembre.xlsb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iego/OneDrive/Desktop/personal%20diego%20rivera/informaciondisco%20duro%2010-11/coexcol%20inerno/NOMINAS/2024/ENERO/15_01_24%20Nomina%20Operativa%201Q%20ENERO%20OK.xlsb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iego/OneDrive/Desktop/personal%20diego%20rivera/informaciondisco%20duro%2010-11/coexcol%20inerno/NOMINAS/2024/ENERO/30_01_24%20Nomina%20Operativa%202Q%20ENERO%20(1).xlsb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iego/Downloads/15_02_24%20Nomina%20Operativa%201Q%20FEBRERO(4850).xlsb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iego/OneDrive/Desktop/personal%20diego%20rivera/informaciondisco%20duro%2010-11/coexcol%20inerno/NOMINAS/2024/FEBRERO/29_02_24%20Nomina%20Operativa%202Q%20FEB.xlsb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iego/Downloads/15_03_24%20Nomina%20Oper%201Q%20MARZO.xlsb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iego/Downloads/31_03_24%20Nomina%20Operativa%202Q%20MARZO.xlsb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iego/Downloads/15_04_24%20Nomina%20Operativa%201Q%20ABRIL%20RV.xlsb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iego/Downloads/30_04_24%20Nomina%20Operativa%202Q%20ABRIL%20REVISADA%20ok.xlsb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wnloads/15_05_24%20Nomina%20Operativa%201Q%20MAYO%20VERIFICADA.xlsb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wnloads/15_06_24%20Nomina%20Operativa%201Q%20JUNIO%20VERIFICADA.xlsb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wnloads/30_06_24%20Nomina%20Operativa%202Q%20JUNIO%20VERIFICADA.xlsb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wnloads/15_07_24%20Nomina%20Operativa%201Q%20JULIO%20VERIFCADA.xlsb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wnloads/31_07_24%20Nomina%20Operativa%202Q%20JULIO%20VERIFICADA.xlsb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wnloads/15_08_24%20Nomina%20Operativa%201Q%20AGOSTO%20VERIFICADA.xlsb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wnloads/31_08_24%20Nomina%20Operativa%202Q%20AGOSTO%20VERIFICADO.xlsb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wnloads/15_09_24%20Nomina%20Operativa%20SEPT%20ver.xlsb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wnloads/30_09_24%20Nomina%20Operativa%202Q%20SEPTIEMBRE%20VER.xlsb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wnloads/15_10_24_Nomina_Operativa_1Q_OCTUBRE%20VER.xlsb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wnloads/31_10_24_Nomina_Operativa_2Q%20Octubre%20VERIFICADA.xlsb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wnloads/15_11_24_Nomina_Operativa_1Q_NOV_Sara%20RV.xlsb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wnloads/05_12_2024Nomina_Operativa_2Q_NOVIEMBRE%20ver.xlsb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wnloads/15_12_2024%20Nomina_Operativa_1Q_DICIEMBRE%20VERIFICADA.xlsb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wnloads/31_12_2024%20Nomina_Operativa_2Q_DICIEMBRE%20VER.xlsb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wnloads/28_02_2025%20Nomina_Operativa_2Q_FEBRERO%20VER.xlsb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wnloads/15_03_2025%20Nomina_Operativa_1Q_MARZO%20VER.xlsb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wnloads/31_03_2025%20Nomina_Operativa_2Q_MARZO%20ver.xlsb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wnloads/15_05_2025%20Nomina_Operativa_1Q_MAYO%20VER.xlsb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wnloads/31_05_2025%20Nomina_Operativa_2Q_MAYO%20ver.xlsb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wnloads/15_06_2025%20Nomina_Operativa_1Q_JUNIO%20VER.xlsb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wnloads/30_06_2025%20Nomina_Operativa_2Q%20JUNIO%20ver.xlsb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wnloads/15_07_2025%20Nomina_Operativa_1Q%20JULIO%20VER.xlsb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wnloads/31_07_2025%20Nomina_Operativa_2Q%20JULIO%20VER.xlsb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ABILIDAD/COEXCCOL%20SAS/COEXCCOL%20SAS/FACTURACION/PRODUCCION%20SOCHA/2026/31_01_26%20PRODUCCCION%20MINA%20COSTA%20RICA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ABILIDAD/COEXCCOL%20SAS/COEXCCOL%20SAS/FACTURACION/PRODUCCION%20SOCHA/2026/28_02_26%20PRODUCCCION%20MINA%20COSTA%20RICA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ABILIDAD/COEXCCOL%20SAS/COEXCCOL%20SAS/FACTURACION/PRODUCCION%20SOCHA/2026/31_03_26%20PRODUCCCION%20MINA%20COSTA%20RICA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ABILIDAD/COEXCCOL%20SAS/COEXCCOL%20SAS/FACTURACION/PRODUCCION%20SOCHA/2026/30_05_26%20PRODUCCCION%20MINA%20COSTA%20RICA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ABILIDAD/COEXCCOL%20SAS/COEXCCOL%20SAS/GTOS%20MINA/SOCHA/COSTOS/2026/Febrero/RESUMEN%20COSTOS%20NOMINAS%20SARA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ABILIDAD/COEXCCOL%20SAS/COEXCCOL%20SAS/GTOS%20MINA/SOCHA/COSTOS/2025/Diciembre/Informe/RESUMEN%20COSTOS%20NOMINAS%20SARA%20(1)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wnloads/15_03_25%20Nomina%20Administrativa%201Q%20MARZO%20ver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wnloads/30_03_25%20Nomina%20Administrativa%202Q%20MARZO%20%20ver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wnloads/28_02_25%20Nomina%20Administrativa%201ER%20Q%20FEB%20Sara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wnloads/28_02_25%20Nomina%20Administrativa%202Q%20FEB%20%20VER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wnloads/15_12_2024%20Nomina%20Administrativa%201Q%20Enero%20VER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ABILIDAD/COEXCCOL%20SAS/COEXCCOL%20SAS/GTOS%20MINA/SOCHA/COSTOS/RESUMEN%20COSTOS%20NOMINAS%20SARA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ABILIDAD/COEXCCOL%20SAS/COEXCCOL%20SAS/GTOS%20MINA/SOCHA/COSTOS/2026/Febrero/COSTO%20NOMINA%202026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ABILIDAD/COEXCCOL%20SAS/COEXCCOL%20SAS/GTOS%20MINA/SOCHA/COSTOS/2026/Enero/15_01_26%20Nomina%20Administrativa%201Q%20Enero%20Sara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ABILIDAD/COEXCCOL%20SAS/COEXCCOL%20SAS/GTOS%20MINA/SOCHA/COSTOS/2026/Febrero/Nomina/15_02_2026%20Nomina%20Adiministrativa%201Q%20Febrero%20Sara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ABILIDAD/COEXCCOL%20SAS/COEXCCOL%20SAS/CONSOLIDADOS%20DIANA/2026/Consolidado%20nomina%20FEBRERO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ABILIDAD/COEXCCOL%20SAS/COEXCCOL%20SAS/GTOS%20MINA/SOCHA/COSTOS/2026/Marzo/15_03_26%20Nomina%20Administrativa%201Q%20Marzo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ABILIDAD/COEXCCOL%20SAS/COEXCCOL%20SAS/CONSOLIDADOS%20DIANA/2026/Consolidado%20nomina%20MARZO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UARIO\Desktop\COEXCOL%20DIAN\COSTOS\costos%20abril\15_04_26%20Nomina%20Administrativa%201Q%20ABRIL%20Sara.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UARIO\Desktop\COEXCOL%20DIAN\COSTOS\costos%20abril\Consolidado%20nomina%20ABRIL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15_05_26%20Nomina%20Administrativa%201Q%20MAYO%20Sara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ABILIDAD/COEXCCOL%20SAS/COEXCCOL%20SAS/CONSOLIDADOS%20DIANA/2026/Consolidado%20nomina%20MAYO%20rev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ABILIDAD/COEXCCOL%20SAS/COEXCCOL%20SAS/GTOS%20MINA/SOCHA/COSTOS/2025/Diciembre/30_12_25%20COSTOS%20DICIEMBRE%20MINA%20COSTA%20RICA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ABILIDAD/COEXCCOL%20SAS/COEXCCOL%20SAS/GTOS%20MINA/SOCHA/COSTOS/2025/Octubre/31_10_25%20Costos%20nomina%20Tonelada%202025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oise\OneDrive\Desktop\COEXCCOL\INFORME%20GERENCIA%202025-2026\RESUMEN%20COSTOS%20NOMINAS%20SA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Básicos"/>
      <sheetName val="Calculos"/>
      <sheetName val="Nomina"/>
      <sheetName val="Hoja1"/>
    </sheetNames>
    <sheetDataSet>
      <sheetData sheetId="0">
        <row r="5">
          <cell r="B5">
            <v>566700</v>
          </cell>
        </row>
        <row r="6">
          <cell r="B6">
            <v>67800</v>
          </cell>
        </row>
        <row r="9">
          <cell r="B9">
            <v>0.01</v>
          </cell>
          <cell r="F9">
            <v>6.9599999999999995E-2</v>
          </cell>
        </row>
        <row r="10">
          <cell r="B10">
            <v>1.4999999999999999E-2</v>
          </cell>
        </row>
        <row r="11">
          <cell r="B11">
            <v>0.02</v>
          </cell>
          <cell r="F11">
            <v>26049</v>
          </cell>
        </row>
        <row r="15">
          <cell r="B15">
            <v>0.04</v>
          </cell>
          <cell r="C15">
            <v>8.5000000000000006E-2</v>
          </cell>
          <cell r="F15">
            <v>0</v>
          </cell>
        </row>
        <row r="16">
          <cell r="B16">
            <v>0.04</v>
          </cell>
          <cell r="C16">
            <v>0.12</v>
          </cell>
          <cell r="F16">
            <v>0</v>
          </cell>
        </row>
        <row r="19">
          <cell r="B19">
            <v>8.3333333333333343E-2</v>
          </cell>
        </row>
        <row r="20">
          <cell r="B20">
            <v>8.3333333333333343E-2</v>
          </cell>
        </row>
        <row r="21">
          <cell r="B21">
            <v>4.1666666666666671E-2</v>
          </cell>
        </row>
        <row r="22">
          <cell r="B22">
            <v>0.01</v>
          </cell>
        </row>
        <row r="26">
          <cell r="B26">
            <v>0.01</v>
          </cell>
        </row>
        <row r="27">
          <cell r="B27">
            <v>1.2E-2</v>
          </cell>
        </row>
        <row r="28">
          <cell r="B28">
            <v>1.4E-2</v>
          </cell>
        </row>
        <row r="29">
          <cell r="B29">
            <v>1.6E-2</v>
          </cell>
        </row>
        <row r="30">
          <cell r="B30">
            <v>1.7999999999999999E-2</v>
          </cell>
        </row>
        <row r="31">
          <cell r="B31">
            <v>0.02</v>
          </cell>
        </row>
      </sheetData>
      <sheetData sheetId="1">
        <row r="4">
          <cell r="B4">
            <v>0</v>
          </cell>
        </row>
      </sheetData>
      <sheetData sheetId="2">
        <row r="8">
          <cell r="A8" t="str">
            <v>GRANDAS PINZON WILFER- TEP-077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DRADE LUIS"/>
      <sheetName val="ANDRADE YEINER"/>
      <sheetName val="ARIAS HECTOR"/>
      <sheetName val="ARIZA ALEXANDER"/>
      <sheetName val="CAMACHO ENRRIQUE"/>
      <sheetName val="CAMPOS DIEGO"/>
      <sheetName val="CARVAJAL EDISON"/>
      <sheetName val="CENTENO JEICOLL"/>
      <sheetName val="DURAN CRISTIAN"/>
      <sheetName val="DURAN ALDAIRO "/>
      <sheetName val="GIL EDGAR"/>
      <sheetName val="GONZALEZ HELBER"/>
      <sheetName val="GUTIERREZ JUAN C."/>
      <sheetName val="HERNANDEZ JESUS "/>
      <sheetName val="JAIMES KEVIN"/>
      <sheetName val="JIMENEZ DIEGO"/>
      <sheetName val="LEDEZMA SANTIAGO"/>
      <sheetName val="LEON NELSON "/>
      <sheetName val="LOPEZ CESAR"/>
      <sheetName val="MAJIN LUIS"/>
      <sheetName val="MERCHAN JHONATHAN"/>
      <sheetName val="MOLINA JHON"/>
      <sheetName val="MOLINA NILSON "/>
      <sheetName val="MARTINEZ DAVID"/>
      <sheetName val="PABON YEIMER"/>
      <sheetName val="MORENO WILFER "/>
      <sheetName val="PATIÑO JAIRO"/>
      <sheetName val="PEREZ CARLOS"/>
      <sheetName val="PEREZ ISAAC"/>
      <sheetName val="PIRAGAUTA NESTOR"/>
      <sheetName val="RAMIREZ CESAR"/>
      <sheetName val="REALES EDIXON"/>
      <sheetName val="RODRIGUEZ JUAN "/>
      <sheetName val="RICARDO GERARDO"/>
      <sheetName val="RINCON CARLOS"/>
      <sheetName val="RINCON SEBASTIAN"/>
      <sheetName val="SANCHEZ BRAYAN"/>
      <sheetName val="PATACON JOSE"/>
      <sheetName val="SERRANO JOSE"/>
      <sheetName val="SILVA GABRIEL"/>
      <sheetName val="TIRADO FREDIS"/>
      <sheetName val="TRIANA ANDERSON"/>
      <sheetName val="TRIANA DIEGO"/>
      <sheetName val="ZAMBRANO CESAR"/>
      <sheetName val="BLANCO ALONSO"/>
      <sheetName val="MARTINEZ CARLOS"/>
      <sheetName val="ZUNIGA JORGE"/>
      <sheetName val="PAJARITA"/>
      <sheetName val="CONSOLIDADO"/>
      <sheetName val="ALIMENT re"/>
      <sheetName val="TOTAL DEFINIT 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>
        <row r="43">
          <cell r="AA43">
            <v>779792</v>
          </cell>
        </row>
        <row r="44">
          <cell r="AA44">
            <v>944490</v>
          </cell>
        </row>
        <row r="51">
          <cell r="AA51">
            <v>1290000</v>
          </cell>
        </row>
        <row r="54">
          <cell r="G54">
            <v>11517900</v>
          </cell>
          <cell r="H54">
            <v>6114220</v>
          </cell>
          <cell r="I54">
            <v>17093895</v>
          </cell>
          <cell r="J54">
            <v>5100760</v>
          </cell>
          <cell r="M54">
            <v>29155</v>
          </cell>
          <cell r="N54">
            <v>2760100</v>
          </cell>
          <cell r="O54">
            <v>185800</v>
          </cell>
          <cell r="P54">
            <v>1625100</v>
          </cell>
          <cell r="Q54">
            <v>17500</v>
          </cell>
          <cell r="R54">
            <v>2614400</v>
          </cell>
          <cell r="S54">
            <v>285600</v>
          </cell>
          <cell r="U54">
            <v>96250</v>
          </cell>
          <cell r="W54">
            <v>2866500</v>
          </cell>
          <cell r="X54">
            <v>1196000</v>
          </cell>
          <cell r="Y54">
            <v>566400</v>
          </cell>
          <cell r="Z54">
            <v>160000</v>
          </cell>
        </row>
      </sheetData>
      <sheetData sheetId="49" refreshError="1"/>
      <sheetData sheetId="50" refreshError="1">
        <row r="28">
          <cell r="E28">
            <v>734490</v>
          </cell>
        </row>
        <row r="60">
          <cell r="E60">
            <v>1243000</v>
          </cell>
        </row>
        <row r="61">
          <cell r="E61">
            <v>1243000</v>
          </cell>
        </row>
        <row r="63">
          <cell r="O63">
            <v>12206000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DRADE LUIS"/>
      <sheetName val="ANDRADE YEINER"/>
      <sheetName val="ARIAS HECTOR"/>
      <sheetName val="ARIZA ALEXANDER"/>
      <sheetName val="BLANCO ALONSO"/>
      <sheetName val="CAMPOS DIEGO"/>
      <sheetName val="CARVAJAL EDISON"/>
      <sheetName val="CABANA YABETH"/>
      <sheetName val="CENTENO JEICOLL"/>
      <sheetName val="DURAN ALDAIRO "/>
      <sheetName val="DURAN CRISTIAN"/>
      <sheetName val="GIL EDGAR"/>
      <sheetName val="GONZALEZ HELBER"/>
      <sheetName val="GOMEZ JOSE"/>
      <sheetName val="HERNANDEZ JESUS "/>
      <sheetName val="JAIMES KEVIN"/>
      <sheetName val="JIMENEZ DIEGO"/>
      <sheetName val="LEDEZMA SANTIAGO"/>
      <sheetName val="LEON NELSON "/>
      <sheetName val="LOPEZ CESAR"/>
      <sheetName val="MAJIN LUIS"/>
      <sheetName val="MARTINEZ DAVID"/>
      <sheetName val="MARTINEZ CARLOS"/>
      <sheetName val="MERCHAN JHONATHAN"/>
      <sheetName val="MOLINA JHON"/>
      <sheetName val="MOLINA NILSON "/>
      <sheetName val="MORENO WILFER "/>
      <sheetName val="PABON YEIMER"/>
      <sheetName val="PATIÑO JAIRO"/>
      <sheetName val="PATACON JOSE"/>
      <sheetName val="PEREZ CARLOS"/>
      <sheetName val="PEREZ ISAAC"/>
      <sheetName val="PIRAGAUTA NESTOR"/>
      <sheetName val="RAMIREZ CESAR"/>
      <sheetName val="REALES EDIXON"/>
      <sheetName val="RODRIGUEZ JUAN "/>
      <sheetName val="RICARDO GERARDO"/>
      <sheetName val="RINCON CARLOS"/>
      <sheetName val="RINCON SEBASTIAN"/>
      <sheetName val="SANCHEZ BRAYAN"/>
      <sheetName val="SERRANO JOSE"/>
      <sheetName val="SILVA GABRIEL"/>
      <sheetName val="TIRADO FREDIS"/>
      <sheetName val="TRIANA ANDERSON"/>
      <sheetName val="TRIANA DIEGO"/>
      <sheetName val="ZAMBRANO CESAR"/>
      <sheetName val="ZUNIGA JORGE"/>
      <sheetName val="PAJARITA"/>
      <sheetName val="ALIMENT"/>
      <sheetName val="CONSOLIDADO"/>
      <sheetName val="TOTAL DEFINI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>
        <row r="45">
          <cell r="V45">
            <v>815094</v>
          </cell>
        </row>
        <row r="46">
          <cell r="V46">
            <v>835094</v>
          </cell>
        </row>
        <row r="51">
          <cell r="V51">
            <v>1289260</v>
          </cell>
        </row>
        <row r="54">
          <cell r="C54">
            <v>12695870</v>
          </cell>
          <cell r="D54">
            <v>4245850</v>
          </cell>
          <cell r="E54">
            <v>25138568</v>
          </cell>
          <cell r="F54">
            <v>3700900</v>
          </cell>
          <cell r="I54">
            <v>2059680</v>
          </cell>
          <cell r="J54">
            <v>52800</v>
          </cell>
          <cell r="K54">
            <v>1945600</v>
          </cell>
          <cell r="L54">
            <v>320810</v>
          </cell>
          <cell r="M54">
            <v>1536100</v>
          </cell>
          <cell r="O54">
            <v>1090800</v>
          </cell>
          <cell r="P54">
            <v>449143.1</v>
          </cell>
          <cell r="Q54">
            <v>300000</v>
          </cell>
          <cell r="R54">
            <v>3363500</v>
          </cell>
          <cell r="S54">
            <v>400000</v>
          </cell>
          <cell r="U54">
            <v>33000</v>
          </cell>
        </row>
      </sheetData>
      <sheetData sheetId="50" refreshError="1">
        <row r="35">
          <cell r="E35">
            <v>734490</v>
          </cell>
        </row>
        <row r="55">
          <cell r="E55">
            <v>1566445</v>
          </cell>
        </row>
        <row r="56">
          <cell r="E56">
            <v>1057875</v>
          </cell>
        </row>
        <row r="58">
          <cell r="W58">
            <v>12979500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DRADE LUIS"/>
      <sheetName val="ANDRADE YEINER"/>
      <sheetName val="ARIAS HECTOR"/>
      <sheetName val="ARIZA ALEXANDER"/>
      <sheetName val="BLANCO ALONSO"/>
      <sheetName val="CAMPOS DIEGO"/>
      <sheetName val="CARVAJAL EDISON"/>
      <sheetName val="CABANA YABETH"/>
      <sheetName val="CENTENO JEICOLL"/>
      <sheetName val="DURAN ALDAIRO "/>
      <sheetName val="DURAN CRISTIAN"/>
      <sheetName val="GIL EDGAR"/>
      <sheetName val="GONZALEZ HELBER"/>
      <sheetName val="GOMEZ JOSE"/>
      <sheetName val="HIDALGO DANIEL"/>
      <sheetName val="HERNANDEZ JESUS "/>
      <sheetName val="JAIMES KEVIN"/>
      <sheetName val="JIMENEZ DIEGO"/>
      <sheetName val="LEDEZMA SANTIAGO"/>
      <sheetName val="LEON NELSON "/>
      <sheetName val="LOPEZ CESAR"/>
      <sheetName val="MAJIN LUIS"/>
      <sheetName val="MARTINEZ DAVID"/>
      <sheetName val="MARTINEZ CARLOS"/>
      <sheetName val="MERCHAN JHONATHAN"/>
      <sheetName val="MOLINA JHON"/>
      <sheetName val="MOLINA NILSON "/>
      <sheetName val="MORENO WILFER "/>
      <sheetName val="PABON YEIMER"/>
      <sheetName val="PATIÑO JAIRO"/>
      <sheetName val="PATACON JOSE"/>
      <sheetName val="PEREZ CARLOS"/>
      <sheetName val="PEREZ ISAAC"/>
      <sheetName val="PIRAGAUTA NESTOR"/>
      <sheetName val="RAMIREZ CESAR"/>
      <sheetName val="REALES EDIXON"/>
      <sheetName val="RODRIGUEZ JUAN "/>
      <sheetName val="RICARDO GERARDO"/>
      <sheetName val="RINCON CARLOS"/>
      <sheetName val="RINCON SEBASTIAN"/>
      <sheetName val="SANCHEZ BRAYAN"/>
      <sheetName val="SERRANO JOSE"/>
      <sheetName val="SILVA GABRIEL"/>
      <sheetName val="TIRADO FREDIS"/>
      <sheetName val="TRIANA ANDERSON"/>
      <sheetName val="TRIANA DIEGO"/>
      <sheetName val="ZAMBRANO CESAR"/>
      <sheetName val="ZUNIGA JORGE"/>
      <sheetName val="PAJARITA"/>
      <sheetName val="ALIMENT"/>
      <sheetName val="TOTAL DEFINIT "/>
      <sheetName val="CONSOLIDA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>
        <row r="36">
          <cell r="E36">
            <v>734490</v>
          </cell>
        </row>
        <row r="59">
          <cell r="W59">
            <v>12240000</v>
          </cell>
        </row>
      </sheetData>
      <sheetData sheetId="51" refreshError="1">
        <row r="5">
          <cell r="Z5">
            <v>725866.04166666663</v>
          </cell>
        </row>
        <row r="6">
          <cell r="Z6">
            <v>1083309.3333333333</v>
          </cell>
        </row>
        <row r="35">
          <cell r="Z35">
            <v>1216724.5833333335</v>
          </cell>
        </row>
        <row r="46">
          <cell r="Z46">
            <v>914490</v>
          </cell>
        </row>
        <row r="47">
          <cell r="Z47">
            <v>864490</v>
          </cell>
        </row>
        <row r="52">
          <cell r="Z52">
            <v>1305050</v>
          </cell>
        </row>
        <row r="53">
          <cell r="Z53">
            <v>866640</v>
          </cell>
        </row>
        <row r="54">
          <cell r="Z54">
            <v>1456440</v>
          </cell>
        </row>
        <row r="55">
          <cell r="C55">
            <v>7772800</v>
          </cell>
          <cell r="D55">
            <v>1557240</v>
          </cell>
          <cell r="E55">
            <v>1711080</v>
          </cell>
          <cell r="F55">
            <v>24296630</v>
          </cell>
          <cell r="G55">
            <v>2793000</v>
          </cell>
          <cell r="J55">
            <v>3236100</v>
          </cell>
          <cell r="K55">
            <v>251800</v>
          </cell>
          <cell r="L55">
            <v>1258200</v>
          </cell>
          <cell r="M55">
            <v>23100</v>
          </cell>
          <cell r="N55">
            <v>384929.99999999994</v>
          </cell>
          <cell r="O55">
            <v>2555000</v>
          </cell>
          <cell r="S55">
            <v>300000</v>
          </cell>
          <cell r="T55">
            <v>2611000</v>
          </cell>
          <cell r="V55">
            <v>600000</v>
          </cell>
          <cell r="X55">
            <v>200000</v>
          </cell>
          <cell r="Y55">
            <v>35000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DRADE LUIS"/>
      <sheetName val="ANDRADE YEINER"/>
      <sheetName val="ARIAS HECTOR"/>
      <sheetName val="ARIZA ALEXANDER"/>
      <sheetName val="ARIZA DOMICIANO "/>
      <sheetName val="BLANCO ALONSO"/>
      <sheetName val="CAMPOS DIEGO"/>
      <sheetName val="CARVAJAL EDISON"/>
      <sheetName val="CABANA YABETH"/>
      <sheetName val="CENTENO JEICOLL"/>
      <sheetName val="DURAN ALDAIRO "/>
      <sheetName val="DURAN CRISTIAN"/>
      <sheetName val="GIL EDGAR"/>
      <sheetName val="GONZALEZ HELBER"/>
      <sheetName val="GOMEZ JOSE"/>
      <sheetName val="HIDALGO DANIEL"/>
      <sheetName val="HERNANDEZ JESUS "/>
      <sheetName val="JAIMES KEVIN"/>
      <sheetName val="JIMENEZ DIEGO"/>
      <sheetName val="LEDEZMA SANTIAGO"/>
      <sheetName val="LEON NELSON "/>
      <sheetName val="LOPEZ CESAR"/>
      <sheetName val="MAJIN LUIS"/>
      <sheetName val="MARTINEZ DAVID"/>
      <sheetName val="MARTINEZ CARLOS"/>
      <sheetName val="MERCHAN JHONATHAN"/>
      <sheetName val="MOLINA JHON"/>
      <sheetName val="MOLINA NILSON "/>
      <sheetName val="MORENO WILFER "/>
      <sheetName val="PATIÑO JAIRO"/>
      <sheetName val="PATACON JOSE"/>
      <sheetName val="PEREZ CARLOS"/>
      <sheetName val="PEREZ ISAAC"/>
      <sheetName val="PIRAGAUTA NESTOR"/>
      <sheetName val="RAMIREZ CESAR"/>
      <sheetName val="REALES EDIXON"/>
      <sheetName val="RODRIGUEZ JUAN "/>
      <sheetName val="RICARDO GERARDO"/>
      <sheetName val="RINCON CARLOS"/>
      <sheetName val="RINCON SEBASTIAN"/>
      <sheetName val="SANCHEZ BRAYAN"/>
      <sheetName val="SERRANO JOSE"/>
      <sheetName val="SILVA GABRIEL"/>
      <sheetName val="TIRADO FREDIS"/>
      <sheetName val="TRIANA ANDERSON"/>
      <sheetName val="TRIANA DIEGO"/>
      <sheetName val="ZAMBRANO CESAR"/>
      <sheetName val="ZUNIGA JORGE"/>
      <sheetName val="PAJARITA"/>
      <sheetName val="ALIMENT"/>
      <sheetName val="CONSOLIDADO"/>
      <sheetName val="TOTAL DEFINI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>
        <row r="6">
          <cell r="X6">
            <v>1591600.0000000005</v>
          </cell>
        </row>
        <row r="33">
          <cell r="X33">
            <v>1625691.4583333337</v>
          </cell>
        </row>
        <row r="44">
          <cell r="X44">
            <v>1115094</v>
          </cell>
        </row>
        <row r="45">
          <cell r="X45">
            <v>955094</v>
          </cell>
        </row>
        <row r="50">
          <cell r="X50">
            <v>1465680</v>
          </cell>
        </row>
        <row r="51">
          <cell r="X51">
            <v>1974795</v>
          </cell>
        </row>
        <row r="52">
          <cell r="X52">
            <v>1481500</v>
          </cell>
        </row>
        <row r="53">
          <cell r="C53">
            <v>10092600</v>
          </cell>
          <cell r="D53">
            <v>348080</v>
          </cell>
          <cell r="E53">
            <v>1715000</v>
          </cell>
          <cell r="F53">
            <v>32253511.5</v>
          </cell>
          <cell r="G53">
            <v>3532900</v>
          </cell>
          <cell r="J53">
            <v>3060500</v>
          </cell>
          <cell r="K53">
            <v>440040</v>
          </cell>
          <cell r="L53">
            <v>1373550</v>
          </cell>
          <cell r="M53">
            <v>256619.99999999997</v>
          </cell>
          <cell r="N53">
            <v>4074630</v>
          </cell>
          <cell r="O53">
            <v>852200</v>
          </cell>
          <cell r="P53">
            <v>616500</v>
          </cell>
          <cell r="Q53">
            <v>128309.99999999999</v>
          </cell>
          <cell r="S53">
            <v>3402000</v>
          </cell>
          <cell r="T53">
            <v>150000</v>
          </cell>
          <cell r="V53">
            <v>80000</v>
          </cell>
        </row>
      </sheetData>
      <sheetData sheetId="51" refreshError="1">
        <row r="36">
          <cell r="S36">
            <v>832422</v>
          </cell>
        </row>
        <row r="60">
          <cell r="W60">
            <v>13421500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DRADE LUIS"/>
      <sheetName val="ANDRADE YEINER"/>
      <sheetName val="ARIZA ALEXANDER"/>
      <sheetName val="ARIAS HECTOR"/>
      <sheetName val="ARIZA DOMICIANO "/>
      <sheetName val="BLANCO ALONSO"/>
      <sheetName val="CAMPOS DIEGO"/>
      <sheetName val="CARVAJAL EDISON"/>
      <sheetName val="CENTENO JEICOLL"/>
      <sheetName val="DURAN ALDAIRO "/>
      <sheetName val="DURAN CRISTIAN"/>
      <sheetName val="GIL EDGAR"/>
      <sheetName val="GONZALEZ HELBER"/>
      <sheetName val="HIDALGO DANIEL"/>
      <sheetName val="HERNANDEZ JESUS "/>
      <sheetName val="HURTADO LILIANA"/>
      <sheetName val="JAIMES KEVIN"/>
      <sheetName val="JIMENEZ DIEGO"/>
      <sheetName val="LEDEZMA SANTIAGO"/>
      <sheetName val="LEON NELSON "/>
      <sheetName val="LOPEZ CESAR"/>
      <sheetName val="MAJIN LUIS"/>
      <sheetName val="MARTINEZ DAVID"/>
      <sheetName val="MARTINEZ CARLOS"/>
      <sheetName val="MERCHAN JHONATHAN"/>
      <sheetName val="MOLINA JHON"/>
      <sheetName val="MOLINA NILSON "/>
      <sheetName val="MORENO WILFER "/>
      <sheetName val="PATIÑO JAIRO"/>
      <sheetName val="PATACON JOSE"/>
      <sheetName val="PEREZ CARLOS"/>
      <sheetName val="PEREZ ISAAC"/>
      <sheetName val="PIRAGAUTA NESTOR"/>
      <sheetName val="RAMIREZ CESAR"/>
      <sheetName val="REALES EDIXON"/>
      <sheetName val="RODRIGUEZ JUAN "/>
      <sheetName val="RICARDO GERARDO"/>
      <sheetName val="RINCON CARLOS"/>
      <sheetName val="RINCON SEBASTIAN"/>
      <sheetName val="SANCHEZ BRAYAN"/>
      <sheetName val="SERRANO JOSE"/>
      <sheetName val="SILVA GABRIEL"/>
      <sheetName val="TIRADO FREDIS"/>
      <sheetName val="SOTO ROBINSON"/>
      <sheetName val="TRIANA ANDERSON"/>
      <sheetName val="TRIANA DIEGO"/>
      <sheetName val="ZAMBRANO CESAR"/>
      <sheetName val="ZUNIGA JORGE"/>
      <sheetName val="PAJARITA"/>
      <sheetName val="CONSOLIDADO"/>
      <sheetName val="ALIMENT"/>
      <sheetName val="TOTAL DEFINI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>
        <row r="16">
          <cell r="W16">
            <v>1012180.8333333334</v>
          </cell>
        </row>
        <row r="29">
          <cell r="W29">
            <v>734000</v>
          </cell>
        </row>
        <row r="32">
          <cell r="W32">
            <v>1040715.0000000001</v>
          </cell>
        </row>
        <row r="43">
          <cell r="W43">
            <v>1170949.1799999997</v>
          </cell>
        </row>
        <row r="44">
          <cell r="W44">
            <v>819792</v>
          </cell>
        </row>
        <row r="45">
          <cell r="W45">
            <v>819792</v>
          </cell>
        </row>
        <row r="50">
          <cell r="W50">
            <v>1453340</v>
          </cell>
        </row>
        <row r="51">
          <cell r="W51">
            <v>1243000</v>
          </cell>
        </row>
        <row r="52">
          <cell r="W52">
            <v>1243000</v>
          </cell>
        </row>
        <row r="53">
          <cell r="C53">
            <v>4737950</v>
          </cell>
          <cell r="D53">
            <v>3675000</v>
          </cell>
          <cell r="E53">
            <v>41041028</v>
          </cell>
          <cell r="F53">
            <v>1607900</v>
          </cell>
          <cell r="I53">
            <v>3376100.0000000005</v>
          </cell>
          <cell r="J53">
            <v>99000</v>
          </cell>
          <cell r="K53">
            <v>1332250</v>
          </cell>
          <cell r="L53">
            <v>236250</v>
          </cell>
          <cell r="M53">
            <v>1557500</v>
          </cell>
          <cell r="N53">
            <v>157300</v>
          </cell>
          <cell r="P53">
            <v>288750</v>
          </cell>
          <cell r="Q53">
            <v>300000</v>
          </cell>
          <cell r="R53">
            <v>3951500</v>
          </cell>
          <cell r="T53">
            <v>90000</v>
          </cell>
          <cell r="V53">
            <v>160000</v>
          </cell>
        </row>
      </sheetData>
      <sheetData sheetId="50" refreshError="1"/>
      <sheetData sheetId="51" refreshError="1">
        <row r="56">
          <cell r="W56">
            <v>10370000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DRADE LUIS"/>
      <sheetName val="ANDRADE YEINER"/>
      <sheetName val="ARIZA ALEXANDER"/>
      <sheetName val="ARIAS HECTOR"/>
      <sheetName val="ARIZA DOMICIANO "/>
      <sheetName val="BLANCO ALONSO"/>
      <sheetName val="CAMPOS DIEGO"/>
      <sheetName val="CARVAJAL EDISON"/>
      <sheetName val="CENTENO JEICOLL"/>
      <sheetName val="DURAN ALDAIRO "/>
      <sheetName val="DURAN CRISTIAN"/>
      <sheetName val="GIL EDGAR"/>
      <sheetName val="GONZALEZ HELBER"/>
      <sheetName val="HIDALGO DANIEL"/>
      <sheetName val="HERNANDEZ JESUS "/>
      <sheetName val="HURTADO LILIANA"/>
      <sheetName val="JAIMES KEVIN"/>
      <sheetName val="JIMENEZ DIEGO"/>
      <sheetName val="LEDEZMA SANTIAGO"/>
      <sheetName val="LEON NELSON "/>
      <sheetName val="LOPEZ CESAR"/>
      <sheetName val="MAJIN LUIS"/>
      <sheetName val="MARTINEZ DAVID"/>
      <sheetName val="MARTINEZ CARLOS"/>
      <sheetName val="MERCHAN JHONATHAN"/>
      <sheetName val="MOLINA JHON"/>
      <sheetName val="MOLINA NILSON "/>
      <sheetName val="MORENO WILFER "/>
      <sheetName val="PATIÑO JAIRO"/>
      <sheetName val="PATACON JOSE"/>
      <sheetName val="PEREZ CARLOS"/>
      <sheetName val="PEREZ ISAAC"/>
      <sheetName val="PIRAGAUTA NESTOR"/>
      <sheetName val="RAMIREZ CESAR"/>
      <sheetName val="REALES EDIXON"/>
      <sheetName val="RODRIGUEZ JUAN "/>
      <sheetName val="RICARDO GERARDO"/>
      <sheetName val="RINCON CARLOS"/>
      <sheetName val="RINCON SEBASTIAN"/>
      <sheetName val="SANCHEZ BRAYAN"/>
      <sheetName val="SERRANO JOSE"/>
      <sheetName val="SILVA GABRIEL"/>
      <sheetName val="TIRADO FREDIS"/>
      <sheetName val="SOTO ROBINSON"/>
      <sheetName val="TRIANA ANDERSON"/>
      <sheetName val="TRIANA DIEGO"/>
      <sheetName val="ZAMBRANO CESAR"/>
      <sheetName val="ZUNIGA JORGE"/>
      <sheetName val="PAJARITA"/>
      <sheetName val="ALIMENT"/>
      <sheetName val="CONSOLIDADO"/>
      <sheetName val="TOTAL DEFINI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>
        <row r="16">
          <cell r="Z16">
            <v>1042242.5</v>
          </cell>
        </row>
        <row r="32">
          <cell r="Z32">
            <v>373615</v>
          </cell>
        </row>
        <row r="43">
          <cell r="Z43">
            <v>452612.33333333331</v>
          </cell>
        </row>
        <row r="44">
          <cell r="Z44">
            <v>293796</v>
          </cell>
        </row>
        <row r="45">
          <cell r="Z45">
            <v>932652</v>
          </cell>
        </row>
        <row r="50">
          <cell r="Z50">
            <v>1159180</v>
          </cell>
        </row>
        <row r="51">
          <cell r="Z51">
            <v>1243000</v>
          </cell>
        </row>
        <row r="52">
          <cell r="Z52">
            <v>1243000</v>
          </cell>
        </row>
        <row r="53">
          <cell r="C53">
            <v>2119250</v>
          </cell>
          <cell r="D53">
            <v>196000</v>
          </cell>
          <cell r="E53">
            <v>17868305</v>
          </cell>
          <cell r="F53">
            <v>790300</v>
          </cell>
          <cell r="I53">
            <v>1141350</v>
          </cell>
          <cell r="J53">
            <v>1002000</v>
          </cell>
          <cell r="K53">
            <v>304650</v>
          </cell>
          <cell r="L53">
            <v>280000</v>
          </cell>
          <cell r="M53">
            <v>945000</v>
          </cell>
          <cell r="P53">
            <v>384929.99999999994</v>
          </cell>
          <cell r="R53">
            <v>1393000</v>
          </cell>
          <cell r="U53">
            <v>407330</v>
          </cell>
          <cell r="V53">
            <v>800000</v>
          </cell>
          <cell r="W53">
            <v>360000</v>
          </cell>
          <cell r="Y53">
            <v>360000</v>
          </cell>
        </row>
      </sheetData>
      <sheetData sheetId="51" refreshError="1">
        <row r="33">
          <cell r="P33">
            <v>313382.40000000002</v>
          </cell>
        </row>
        <row r="56">
          <cell r="S56">
            <v>5576000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DRADE YEINER"/>
      <sheetName val="ARIZA ALEXANDER"/>
      <sheetName val="ARAQUE ALVARO"/>
      <sheetName val="CAMPOS DIEGO"/>
      <sheetName val="CARVAJAL EDISON"/>
      <sheetName val="CENTENO JEICOLL"/>
      <sheetName val="DURAN ALDAIRO "/>
      <sheetName val="DURAN IVAN"/>
      <sheetName val="GIL EDGAR"/>
      <sheetName val="GOMEZ LUIS"/>
      <sheetName val="GONZALES CARLOS"/>
      <sheetName val="GONZALEZ HELBER"/>
      <sheetName val="HIDALGO DANIEL"/>
      <sheetName val="HERNANDEZ JESUS "/>
      <sheetName val="HURTADO LILIANA"/>
      <sheetName val="HURTADON JOSE"/>
      <sheetName val="JAIMES KEVIN"/>
      <sheetName val="JIMENEZ GREGORIO"/>
      <sheetName val="JIMENEZ RICARDO"/>
      <sheetName val="LEDEZMA SANTIAGO"/>
      <sheetName val="LOPEZ CESAR"/>
      <sheetName val="LOPEZ JUAN"/>
      <sheetName val="MAJIN LUIS"/>
      <sheetName val="MARTINEZ DAVID"/>
      <sheetName val="MARTINEZ CARLOS"/>
      <sheetName val="MEDINA JUAN"/>
      <sheetName val="MERCHAN JHONATHAN"/>
      <sheetName val="MOLINA JHON"/>
      <sheetName val="MOLINA NILSON "/>
      <sheetName val="MORENO WILFER "/>
      <sheetName val="ORTIZ LUIS"/>
      <sheetName val="PATIÑO JAIRO"/>
      <sheetName val="PATACON JOSE"/>
      <sheetName val="PEÑA WALTER"/>
      <sheetName val="PEREZ CARLOS"/>
      <sheetName val="PEREZ ISAAC"/>
      <sheetName val="PIRAGAUTA NESTOR"/>
      <sheetName val="RAMIREZ CESAR"/>
      <sheetName val="REALES EDIXON"/>
      <sheetName val="RICARDO GERARDO"/>
      <sheetName val="RINCON CARLOS"/>
      <sheetName val="RINCON SEBASTIAN"/>
      <sheetName val="SANCHEZ BRAYAN"/>
      <sheetName val="SERRANO JOSE"/>
      <sheetName val="GONZALES MARIO"/>
      <sheetName val="SILVA GABRIEL"/>
      <sheetName val="SOTO ROBINSON"/>
      <sheetName val="TIRADO FREDIS"/>
      <sheetName val="TRIANA ANDERSON"/>
      <sheetName val="TRIANA DIEGO"/>
      <sheetName val="ZAMBRANO CESAR"/>
      <sheetName val="VALENCIA EMILIANO"/>
      <sheetName val="GARCIA ANDRES"/>
      <sheetName val="MARTINEZ BRAYAN"/>
      <sheetName val="ZUNIGA JORGE"/>
      <sheetName val="PAJARITA"/>
      <sheetName val="ALIMENT"/>
      <sheetName val="CONSOLIDADO"/>
      <sheetName val="TOTAL DEFINI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17">
          <cell r="Z17">
            <v>525640.16666666663</v>
          </cell>
        </row>
        <row r="38">
          <cell r="Z38">
            <v>680982.16666666663</v>
          </cell>
        </row>
        <row r="49">
          <cell r="Z49">
            <v>476207.92</v>
          </cell>
        </row>
        <row r="50">
          <cell r="Z50">
            <v>398480</v>
          </cell>
        </row>
        <row r="59">
          <cell r="Z59">
            <v>1219953.1250000002</v>
          </cell>
        </row>
        <row r="60">
          <cell r="Z60">
            <v>1367300</v>
          </cell>
        </row>
        <row r="61">
          <cell r="Z61">
            <v>1367300</v>
          </cell>
        </row>
        <row r="62">
          <cell r="C62">
            <v>2580410</v>
          </cell>
          <cell r="D62">
            <v>0</v>
          </cell>
          <cell r="E62">
            <v>10117698.5</v>
          </cell>
          <cell r="F62">
            <v>5416600</v>
          </cell>
          <cell r="I62">
            <v>1520400</v>
          </cell>
          <cell r="J62">
            <v>500000</v>
          </cell>
          <cell r="K62">
            <v>1151100</v>
          </cell>
          <cell r="L62">
            <v>402500</v>
          </cell>
          <cell r="M62">
            <v>2992500</v>
          </cell>
          <cell r="N62">
            <v>207500</v>
          </cell>
          <cell r="O62">
            <v>1096400</v>
          </cell>
          <cell r="P62">
            <v>298375</v>
          </cell>
          <cell r="Q62">
            <v>300000</v>
          </cell>
          <cell r="R62">
            <v>959000</v>
          </cell>
          <cell r="U62">
            <v>1495890</v>
          </cell>
          <cell r="V62">
            <v>2051880</v>
          </cell>
          <cell r="W62">
            <v>360000</v>
          </cell>
          <cell r="X62">
            <v>332000</v>
          </cell>
        </row>
      </sheetData>
      <sheetData sheetId="58">
        <row r="65">
          <cell r="S65">
            <v>8010000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DRADE YEINER"/>
      <sheetName val="ARIZA ALEXANDER"/>
      <sheetName val="ARAQUE ALVARO"/>
      <sheetName val="CAMPOS DIEGO"/>
      <sheetName val="CARVAJAL EDISON"/>
      <sheetName val="DURAN ALDAIRO "/>
      <sheetName val="DURAN IVAN"/>
      <sheetName val="GARCIA ANDRES"/>
      <sheetName val="GIL EDGAR"/>
      <sheetName val="GOMEZ LUIS"/>
      <sheetName val="GONZALES CARLOS"/>
      <sheetName val="GONZALEZ HELBER"/>
      <sheetName val="HIDALGO DANIEL"/>
      <sheetName val="HERNANDEZ JESUS "/>
      <sheetName val="HURTADO LILIANA"/>
      <sheetName val="HURTADON JOSE"/>
      <sheetName val="HURTADO WILLIAM"/>
      <sheetName val="JAIMES KEVIN"/>
      <sheetName val="JIMENEZ GREGORIO"/>
      <sheetName val="JIMENEZ RICARDO"/>
      <sheetName val="LEDEZMA SANTIAGO"/>
      <sheetName val="LOPEZ CESAR"/>
      <sheetName val="LOPEZ JUAN"/>
      <sheetName val="MAJIN LUIS"/>
      <sheetName val="MARTINEZ BRAYAN"/>
      <sheetName val="MARTINEZ DAVID"/>
      <sheetName val="MARTINEZ CARLOS"/>
      <sheetName val="MEDINA JUAN"/>
      <sheetName val="MERCHAN JHONATHAN"/>
      <sheetName val="MOLINA JHON"/>
      <sheetName val="MOLINA NILSON "/>
      <sheetName val="MORENO WILFER "/>
      <sheetName val="ORTIZ LUIS"/>
      <sheetName val="PATIÑO JAIRO"/>
      <sheetName val="PEÑA WALTER"/>
      <sheetName val="PATACON JOSE"/>
      <sheetName val="PEREZ CARLOS"/>
      <sheetName val="PEREZ ISAAC"/>
      <sheetName val="PIRAGAUTA NESTOR"/>
      <sheetName val="RAMIREZ CESAR"/>
      <sheetName val="RANGEL LUIGI"/>
      <sheetName val="REALES EDIXON"/>
      <sheetName val="RICARDO GERARDO"/>
      <sheetName val="RINCON CARLOS"/>
      <sheetName val="SAENZ ALEJANDRO"/>
      <sheetName val="SANCHEZ BRAYAN"/>
      <sheetName val="SERRANO JOSE"/>
      <sheetName val="GONZALES MARIO"/>
      <sheetName val="SILVA GABRIEL"/>
      <sheetName val="SOTO ROBINSON"/>
      <sheetName val="TIRADO FREDIS"/>
      <sheetName val="TRIANA ANDERSON"/>
      <sheetName val="TRIANA DIEGO"/>
      <sheetName val="ZAMBRANO CESAR"/>
      <sheetName val="VALENCIA EMILIANO"/>
      <sheetName val="ZUNIGA JORGE"/>
      <sheetName val="PAJARITA"/>
      <sheetName val="ALIMENT"/>
      <sheetName val="CONSOLIDADO"/>
      <sheetName val="TOTAL DEFINI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17">
          <cell r="AA17">
            <v>996949.37500000012</v>
          </cell>
        </row>
        <row r="40">
          <cell r="AA40">
            <v>1302436.6666666667</v>
          </cell>
        </row>
        <row r="50">
          <cell r="AA50">
            <v>964455</v>
          </cell>
        </row>
        <row r="52">
          <cell r="AA52">
            <v>1151379.2600000002</v>
          </cell>
        </row>
        <row r="53">
          <cell r="AA53">
            <v>919153</v>
          </cell>
        </row>
        <row r="60">
          <cell r="AA60">
            <v>1419758.4375</v>
          </cell>
        </row>
        <row r="61">
          <cell r="AA61">
            <v>1367300</v>
          </cell>
        </row>
        <row r="62">
          <cell r="AA62">
            <v>1367300</v>
          </cell>
        </row>
        <row r="63">
          <cell r="C63">
            <v>8176630</v>
          </cell>
          <cell r="D63">
            <v>0</v>
          </cell>
          <cell r="E63">
            <v>32210633</v>
          </cell>
          <cell r="F63">
            <v>7332500</v>
          </cell>
          <cell r="I63">
            <v>4324670</v>
          </cell>
          <cell r="J63">
            <v>1241000</v>
          </cell>
          <cell r="K63">
            <v>3190800</v>
          </cell>
          <cell r="L63">
            <v>310000</v>
          </cell>
          <cell r="M63">
            <v>2290000</v>
          </cell>
          <cell r="N63">
            <v>629300</v>
          </cell>
          <cell r="O63">
            <v>8525000</v>
          </cell>
          <cell r="P63">
            <v>384929.99999999994</v>
          </cell>
          <cell r="Q63">
            <v>300000</v>
          </cell>
          <cell r="R63">
            <v>3174500</v>
          </cell>
          <cell r="U63">
            <v>541000</v>
          </cell>
          <cell r="V63">
            <v>3455280</v>
          </cell>
          <cell r="Z63">
            <v>150000</v>
          </cell>
        </row>
      </sheetData>
      <sheetData sheetId="59">
        <row r="41">
          <cell r="P41">
            <v>863938.125</v>
          </cell>
        </row>
        <row r="66">
          <cell r="S66">
            <v>15246000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IZA ALEXANDER"/>
      <sheetName val="ARAQUE ALVARO"/>
      <sheetName val="AVELLA JHONATHAN"/>
      <sheetName val="CAMPOS DIEGO"/>
      <sheetName val="CARVAJAL EDISON"/>
      <sheetName val="DURAN ALDAIRO "/>
      <sheetName val="DURAN IVAN"/>
      <sheetName val="GARCIA ANDRES"/>
      <sheetName val="GOMEZ LUIS"/>
      <sheetName val="GONZALES CARLOS"/>
      <sheetName val="GONZALEZ HELBER"/>
      <sheetName val="GUDIÑO LUIS"/>
      <sheetName val="HIDALGO DANIEL"/>
      <sheetName val="HERNANDEZ JESUS "/>
      <sheetName val="HURTADO LILIANA"/>
      <sheetName val="HURTADON JOSE"/>
      <sheetName val="HURTADO WILLIAM"/>
      <sheetName val="JAIMES KEVIN"/>
      <sheetName val="JIMENEZ GREGORIO"/>
      <sheetName val="JIMENEZ RICARDO"/>
      <sheetName val="LEDEZMA SANTIAGO"/>
      <sheetName val="LOPEZ CESAR"/>
      <sheetName val="LOPEZ JUAN"/>
      <sheetName val="MAJIN LUIS"/>
      <sheetName val="MARTINEZ BRAYAN"/>
      <sheetName val="MARTINEZ DAVID"/>
      <sheetName val="MARTINEZ CARLOS"/>
      <sheetName val="MEDINA JUAN"/>
      <sheetName val="MERCHAN JHONATHAN"/>
      <sheetName val="MOLINA JHON"/>
      <sheetName val="MOLINA NILSON "/>
      <sheetName val="MORENO WILFER "/>
      <sheetName val="ORTIZ LUIS"/>
      <sheetName val="PATIÑO JAIRO"/>
      <sheetName val="PEÑA WALTER"/>
      <sheetName val="PATACON JOSE"/>
      <sheetName val="PEREZ CARLOS"/>
      <sheetName val="PEREZ ISAAC"/>
      <sheetName val="PIRAGAUTA NESTOR"/>
      <sheetName val="RAMIREZ CESAR"/>
      <sheetName val="RODRIGUEZ RICHARD"/>
      <sheetName val="RICARDO GERARDO"/>
      <sheetName val="RINCON ALVARO"/>
      <sheetName val="RODRIGUEZ JUAN"/>
      <sheetName val="SAENZ ALEJANDRO"/>
      <sheetName val="SANCHEZ BRAYAN"/>
      <sheetName val="GONZALES MARIO"/>
      <sheetName val="SERRANO JOSE"/>
      <sheetName val="SILVA GABRIEL"/>
      <sheetName val="SOTO ROBINSON"/>
      <sheetName val="TIRADO FREDIS"/>
      <sheetName val="TRIANA ANDERSON"/>
      <sheetName val="TRIANA DIEGO"/>
      <sheetName val="ZAMBRANO CESAR"/>
      <sheetName val="VALENCIA EMILIANO"/>
      <sheetName val="ZUNIGA JORGE"/>
      <sheetName val="PAJARITA"/>
      <sheetName val="ALIMENT"/>
      <sheetName val="CONSOLIDADO"/>
      <sheetName val="TOTAL DEFINI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16">
          <cell r="AA16">
            <v>1029421.6666666667</v>
          </cell>
        </row>
        <row r="34">
          <cell r="AA34">
            <v>1079521.25</v>
          </cell>
        </row>
        <row r="44">
          <cell r="AA44">
            <v>936502</v>
          </cell>
        </row>
        <row r="46">
          <cell r="AA46">
            <v>1106963.7666666668</v>
          </cell>
        </row>
        <row r="47">
          <cell r="AA47">
            <v>939153</v>
          </cell>
        </row>
        <row r="54">
          <cell r="AA54">
            <v>1344048.125</v>
          </cell>
        </row>
        <row r="55">
          <cell r="AA55">
            <v>1367300</v>
          </cell>
        </row>
        <row r="56">
          <cell r="AA56">
            <v>1367300</v>
          </cell>
        </row>
        <row r="57">
          <cell r="C57">
            <v>4779250</v>
          </cell>
          <cell r="D57">
            <v>0</v>
          </cell>
          <cell r="E57">
            <v>36158085.600000001</v>
          </cell>
          <cell r="F57">
            <v>2727760</v>
          </cell>
          <cell r="I57">
            <v>1986215</v>
          </cell>
          <cell r="J57">
            <v>1784100</v>
          </cell>
          <cell r="K57">
            <v>797700</v>
          </cell>
          <cell r="M57">
            <v>2371600</v>
          </cell>
          <cell r="O57">
            <v>4201000</v>
          </cell>
          <cell r="P57">
            <v>384929.99999999994</v>
          </cell>
          <cell r="R57">
            <v>2978500</v>
          </cell>
          <cell r="U57">
            <v>2930000</v>
          </cell>
          <cell r="V57">
            <v>1349000</v>
          </cell>
        </row>
      </sheetData>
      <sheetData sheetId="59">
        <row r="41">
          <cell r="P41">
            <v>872471</v>
          </cell>
        </row>
        <row r="66">
          <cell r="S66">
            <v>13824000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UILAR JOSE"/>
      <sheetName val="ARIZA ALEXANDER"/>
      <sheetName val="ARAQUE ALVARO"/>
      <sheetName val="AVELLA JHONATHAN"/>
      <sheetName val="CARDENAS CARLOS"/>
      <sheetName val="CARVAJAL EDISON"/>
      <sheetName val="DURAN ALDAIRO "/>
      <sheetName val="DURAN IVAN"/>
      <sheetName val="DURAN HORACIO"/>
      <sheetName val="GALINDEZ RAFAEL"/>
      <sheetName val="GARCIA ANDRES"/>
      <sheetName val="GOMEZ LUIS"/>
      <sheetName val="GONZALES CARLOS"/>
      <sheetName val="GONZALEZ HELBER"/>
      <sheetName val="GUDIÑO LUIS"/>
      <sheetName val="HIDALGO DANIEL"/>
      <sheetName val="HERNANDEZ JESUS "/>
      <sheetName val="HURTADO LILIANA"/>
      <sheetName val="HURTADON JOSE"/>
      <sheetName val="HURTADO WILLIAM"/>
      <sheetName val="JAIMES KEVIN"/>
      <sheetName val="LAGOS HERNAN"/>
      <sheetName val="LOPEZ CESAR"/>
      <sheetName val="LOPEZ JUAN"/>
      <sheetName val="MAJIN LUIS"/>
      <sheetName val="MARTINEZ BRAYAN"/>
      <sheetName val="MARTINEZ DAVID"/>
      <sheetName val="MARTINEZ CARLOS"/>
      <sheetName val="MEDINA JUAN"/>
      <sheetName val="MERCHAN CAMILO ANDRES"/>
      <sheetName val="MERCHAN JHONATHAN"/>
      <sheetName val="MOLINA JHON"/>
      <sheetName val="MOLINA NILSON "/>
      <sheetName val="MORA ELIDER"/>
      <sheetName val="DIEGO CAMPOS"/>
      <sheetName val="MORENO WILFER "/>
      <sheetName val="PATIÑO JAIRO"/>
      <sheetName val="PEÑA WALTER"/>
      <sheetName val="PEREZ CARLOS"/>
      <sheetName val="PEREZ ISAAC"/>
      <sheetName val="PIRAGAUTA NESTOR"/>
      <sheetName val="RAMIREZ CESAR"/>
      <sheetName val="RICARDO GERARDO"/>
      <sheetName val="RINCON ALVARO"/>
      <sheetName val="RODRIGUEZ JUAN"/>
      <sheetName val="SALAZAR CRISTOBAL"/>
      <sheetName val="SAENZ ALEJANDRO"/>
      <sheetName val="SANCHEZ BRAYAN"/>
      <sheetName val="GONZALES MARIO"/>
      <sheetName val="SERRANO JOSE"/>
      <sheetName val="SILVA GABRIEL"/>
      <sheetName val="SOTO ROBINSON"/>
      <sheetName val="TIRADO FREDIS"/>
      <sheetName val="SEGOVIA ANGEL"/>
      <sheetName val="ZAMBRANO CESAR"/>
      <sheetName val="VALENCIA EMILIANO"/>
      <sheetName val="ZUNIGA JORGE"/>
      <sheetName val="PAJARITA"/>
      <sheetName val="ALIMENT"/>
      <sheetName val="CONSOLIDADO"/>
      <sheetName val="TOTAL DEFINI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>
        <row r="1">
          <cell r="N1" t="str">
            <v>TURNO</v>
          </cell>
          <cell r="T1" t="str">
            <v>coches guayados</v>
          </cell>
          <cell r="W1" t="str">
            <v>metro despate</v>
          </cell>
          <cell r="X1" t="str">
            <v>ARCO DE ACERO</v>
          </cell>
          <cell r="AB1" t="str">
            <v>coche de basura y madera</v>
          </cell>
        </row>
        <row r="19">
          <cell r="AC19">
            <v>510780.66666666663</v>
          </cell>
        </row>
        <row r="37">
          <cell r="AC37">
            <v>807945</v>
          </cell>
        </row>
        <row r="39">
          <cell r="AC39">
            <v>1083230</v>
          </cell>
        </row>
        <row r="49">
          <cell r="AC49">
            <v>1019455</v>
          </cell>
        </row>
        <row r="51">
          <cell r="AC51">
            <v>1117998.0133333332</v>
          </cell>
        </row>
        <row r="52">
          <cell r="AC52">
            <v>368174</v>
          </cell>
        </row>
        <row r="58">
          <cell r="AC58">
            <v>1491884.1666666665</v>
          </cell>
        </row>
        <row r="59">
          <cell r="AC59">
            <v>1367300</v>
          </cell>
        </row>
        <row r="60">
          <cell r="AC60">
            <v>1367300</v>
          </cell>
        </row>
        <row r="61">
          <cell r="C61">
            <v>7130250</v>
          </cell>
          <cell r="D61">
            <v>247500</v>
          </cell>
          <cell r="E61">
            <v>117000</v>
          </cell>
          <cell r="F61">
            <v>29532841.300000001</v>
          </cell>
          <cell r="G61">
            <v>2118000</v>
          </cell>
          <cell r="J61">
            <v>2470850</v>
          </cell>
          <cell r="K61">
            <v>2853800</v>
          </cell>
          <cell r="L61">
            <v>1063600</v>
          </cell>
          <cell r="N61">
            <v>3285100</v>
          </cell>
          <cell r="P61">
            <v>4150199.9999999991</v>
          </cell>
          <cell r="Q61">
            <v>122500</v>
          </cell>
          <cell r="R61">
            <v>802011</v>
          </cell>
          <cell r="T61">
            <v>3164000</v>
          </cell>
          <cell r="W61">
            <v>5511400</v>
          </cell>
          <cell r="X61">
            <v>528000</v>
          </cell>
          <cell r="AB61">
            <v>116550</v>
          </cell>
        </row>
      </sheetData>
      <sheetData sheetId="60" refreshError="1">
        <row r="66">
          <cell r="S66">
            <v>14076000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ÑA WALTER"/>
      <sheetName val="AGUILAR JOSE"/>
      <sheetName val="ARIZA ALEXANDER"/>
      <sheetName val="GALINDEZ RAFAEL"/>
      <sheetName val="ARAQUE ALVARO"/>
      <sheetName val="AVELLA JHONATHAN"/>
      <sheetName val="CARDENAS CARLOS"/>
      <sheetName val="CARVAJAL EDISON"/>
      <sheetName val="DURAN ALDAIRO "/>
      <sheetName val="DURAN IVAN"/>
      <sheetName val="DURAN HORACIO"/>
      <sheetName val="GARCIA ANDRES"/>
      <sheetName val="GOMEZ LUIS"/>
      <sheetName val="GONZALES CARLOS"/>
      <sheetName val="GONZALEZ HELBER"/>
      <sheetName val="GONZALES MARIO"/>
      <sheetName val="GUDIÑO LUIS"/>
      <sheetName val="HIDALGO DANIEL"/>
      <sheetName val="HERNANDEZ JESUS "/>
      <sheetName val="HURTADO LILIANA"/>
      <sheetName val="HURTADON JOSE"/>
      <sheetName val="HURTADO WILLIAM"/>
      <sheetName val="JAIMES KEVIN"/>
      <sheetName val="LAGOS HERNAN"/>
      <sheetName val="LOPEZ CESAR"/>
      <sheetName val="LOPEZ JUAN"/>
      <sheetName val="MAJIN LUIS"/>
      <sheetName val="CORTES EDWIN"/>
      <sheetName val="MARTINEZ DAVID"/>
      <sheetName val="MOLINA LUIS"/>
      <sheetName val="MEDINA JUAN"/>
      <sheetName val="MERCHAN CAMILO ANDRES"/>
      <sheetName val="MERCHAN JHONATHAN"/>
      <sheetName val="MOLINA JHON"/>
      <sheetName val="MOLINA NILSON "/>
      <sheetName val="MORA ELIDER"/>
      <sheetName val="ANGULO YOFRE"/>
      <sheetName val="MORENO WILFER "/>
      <sheetName val="PATIÑO JAIRO"/>
      <sheetName val="PEREZ CARLOS"/>
      <sheetName val="PEREZ ISAAC"/>
      <sheetName val="PIRAGAUTA NESTOR"/>
      <sheetName val="RAMIREZ CESAR"/>
      <sheetName val="RICARDO GERARDO"/>
      <sheetName val="RINCON ALVARO"/>
      <sheetName val="RODRIGUEZ JUAN"/>
      <sheetName val="SALAZAR CRISTOBAL"/>
      <sheetName val="SAENZ ALEJANDRO"/>
      <sheetName val="SANCHEZ BRAYAN"/>
      <sheetName val="SERRANO JOSE"/>
      <sheetName val="SAAVEDRA ROBER"/>
      <sheetName val="SOTO ROBINSON"/>
      <sheetName val="TIRADO FREDIS"/>
      <sheetName val="SEGOVIA ANGEL"/>
      <sheetName val="ZAMBRANO CESAR"/>
      <sheetName val="VALENCIA EMILIANO"/>
      <sheetName val="ZUNIGA JORGE"/>
      <sheetName val="PAJARITA"/>
      <sheetName val="ALIMENT"/>
      <sheetName val="CONSOLIDADO"/>
      <sheetName val="TOTAL DEFINI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20">
          <cell r="AC20">
            <v>1011157.3333333334</v>
          </cell>
        </row>
        <row r="38">
          <cell r="AC38">
            <v>807945</v>
          </cell>
        </row>
        <row r="50">
          <cell r="AC50">
            <v>758399</v>
          </cell>
        </row>
        <row r="52">
          <cell r="AC52">
            <v>998079.92</v>
          </cell>
        </row>
        <row r="58">
          <cell r="AC58">
            <v>1460316.6666666667</v>
          </cell>
        </row>
        <row r="59">
          <cell r="AC59">
            <v>1367300</v>
          </cell>
        </row>
        <row r="60">
          <cell r="AC60">
            <v>1367300</v>
          </cell>
        </row>
        <row r="61">
          <cell r="C61">
            <v>8558000</v>
          </cell>
          <cell r="E61">
            <v>2160931.5</v>
          </cell>
          <cell r="F61">
            <v>30489705</v>
          </cell>
          <cell r="G61">
            <v>4078100</v>
          </cell>
          <cell r="J61">
            <v>3081865.5</v>
          </cell>
          <cell r="K61">
            <v>1923000</v>
          </cell>
          <cell r="L61">
            <v>1503810</v>
          </cell>
          <cell r="N61">
            <v>4315500</v>
          </cell>
          <cell r="P61">
            <v>4587000</v>
          </cell>
          <cell r="Q61">
            <v>183750</v>
          </cell>
          <cell r="R61">
            <v>673680</v>
          </cell>
          <cell r="T61">
            <v>3589250</v>
          </cell>
          <cell r="W61">
            <v>6717490</v>
          </cell>
          <cell r="X61">
            <v>1194000</v>
          </cell>
          <cell r="AB61">
            <v>453502</v>
          </cell>
        </row>
      </sheetData>
      <sheetData sheetId="60">
        <row r="67">
          <cell r="S67">
            <v>13959000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ÑA WALTER"/>
      <sheetName val="AGUILAR JOSE"/>
      <sheetName val="ARIZA ALEXANDER"/>
      <sheetName val="GALINDEZ RAFAEL"/>
      <sheetName val="ARAQUE ALVARO"/>
      <sheetName val="AVELLA JHONATHAN"/>
      <sheetName val="CARDENAS CARLOS"/>
      <sheetName val="CARVAJAL EDISON"/>
      <sheetName val="DURAN ALDAIRO "/>
      <sheetName val="DURAN IVAN"/>
      <sheetName val="DURAN HORACIO"/>
      <sheetName val="GARCIA ANDRES"/>
      <sheetName val="GOMEZ LUIS"/>
      <sheetName val="GONZALES CARLOS"/>
      <sheetName val="GONZALEZ HELBER"/>
      <sheetName val="GONZALES MARIO"/>
      <sheetName val="GUDIÑO LUIS"/>
      <sheetName val="HIDALGO DANIEL"/>
      <sheetName val="HERNANDEZ JESUS "/>
      <sheetName val="HURTADO LILIANA"/>
      <sheetName val="HURTADON JOSE"/>
      <sheetName val="HURTADO WILLIAM"/>
      <sheetName val="JAIMES KEVIN"/>
      <sheetName val="LAGOS HERNAN"/>
      <sheetName val="LOPEZ CESAR"/>
      <sheetName val="CASTAÑEDA JAVIER"/>
      <sheetName val="LOPEZ JUAN"/>
      <sheetName val="MAJIN LUIS"/>
      <sheetName val="CORTES EDWIN"/>
      <sheetName val="MOLINA LUIS"/>
      <sheetName val="MEDINA JUAN"/>
      <sheetName val="MERCHAN CAMILO ANDRES"/>
      <sheetName val="MERCHAN JHONATHAN"/>
      <sheetName val="MOLINA JHON"/>
      <sheetName val="MOLINA NILSON "/>
      <sheetName val="MORA ELIDER"/>
      <sheetName val="ANGULO YOFRE"/>
      <sheetName val="MORENO WILFER "/>
      <sheetName val="PATIÑO JAIRO"/>
      <sheetName val="PEREZ CARLOS"/>
      <sheetName val="PEREZ ISAAC"/>
      <sheetName val="PIRAGAUTA NESTOR"/>
      <sheetName val="RAMIREZ CESAR"/>
      <sheetName val="RICARDO GERARDO"/>
      <sheetName val="RINCON ALVARO"/>
      <sheetName val="RODRIGUEZ JUAN"/>
      <sheetName val="SALAZAR CRISTOBAL"/>
      <sheetName val="SAAVEDRA ROBER"/>
      <sheetName val="SAENZ ALEJANDRO"/>
      <sheetName val="SANCHEZ BRAYAN"/>
      <sheetName val="SERRANO JOSE"/>
      <sheetName val="SOTO ROBINSON"/>
      <sheetName val="TIRADO FREDIS"/>
      <sheetName val="SEGOVIA ANGEL"/>
      <sheetName val="SEQUERA EDUARDO"/>
      <sheetName val="ZAMBRANO CESAR"/>
      <sheetName val="VALENCIA EMILIANO"/>
      <sheetName val="ZUNIGA JORGE"/>
      <sheetName val="PAJARITA"/>
      <sheetName val="ALIMENT"/>
      <sheetName val="CONSOLIDADO"/>
      <sheetName val="TOTAL DEFINI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>
        <row r="17">
          <cell r="AC17">
            <v>1175245</v>
          </cell>
        </row>
        <row r="34">
          <cell r="AC34">
            <v>807945</v>
          </cell>
        </row>
        <row r="36">
          <cell r="AC36">
            <v>959945</v>
          </cell>
        </row>
        <row r="46">
          <cell r="AC46">
            <v>934836.66666666686</v>
          </cell>
        </row>
        <row r="48">
          <cell r="AC48">
            <v>482947</v>
          </cell>
        </row>
        <row r="53">
          <cell r="AC53">
            <v>1172671.8750000002</v>
          </cell>
        </row>
        <row r="54">
          <cell r="AC54">
            <v>1367300</v>
          </cell>
        </row>
        <row r="55">
          <cell r="AC55">
            <v>1367300</v>
          </cell>
        </row>
        <row r="56">
          <cell r="C56">
            <v>1881250</v>
          </cell>
          <cell r="D56">
            <v>292500</v>
          </cell>
          <cell r="E56">
            <v>1484750</v>
          </cell>
          <cell r="F56">
            <v>13226850</v>
          </cell>
          <cell r="G56">
            <v>2100000</v>
          </cell>
          <cell r="J56">
            <v>1257200</v>
          </cell>
          <cell r="K56">
            <v>1639000</v>
          </cell>
          <cell r="L56">
            <v>502900</v>
          </cell>
          <cell r="N56">
            <v>3123400</v>
          </cell>
          <cell r="P56">
            <v>1416000</v>
          </cell>
          <cell r="R56">
            <v>472500</v>
          </cell>
          <cell r="T56">
            <v>1403500</v>
          </cell>
          <cell r="W56">
            <v>2957500</v>
          </cell>
          <cell r="X56">
            <v>1373000</v>
          </cell>
        </row>
      </sheetData>
      <sheetData sheetId="61" refreshError="1">
        <row r="66">
          <cell r="S66">
            <v>7299000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UILAR JOSE"/>
      <sheetName val="ARIZA ALEXANDER"/>
      <sheetName val="AVELLA JHONATHAN"/>
      <sheetName val="BARRIOS LUIS"/>
      <sheetName val="BASTIDAS ERIXON"/>
      <sheetName val="CARVAJAL EDISON"/>
      <sheetName val="DURAN ALDAIRO "/>
      <sheetName val="DURAN IVAN"/>
      <sheetName val="DURAN HORACIO"/>
      <sheetName val="GALINDEZ RAFAEL"/>
      <sheetName val="GOMEZ LUIS"/>
      <sheetName val="GONZALES CARLOS"/>
      <sheetName val="GONZALEZ HELBER"/>
      <sheetName val="GONZALES MARIO"/>
      <sheetName val="GUDIÑO LUIS"/>
      <sheetName val="HIDALGO DANIEL"/>
      <sheetName val="HERNANDEZ JESUS "/>
      <sheetName val="HURTADO LILIANA"/>
      <sheetName val="HURTADON JOSE"/>
      <sheetName val="HURTADO WILLIAM"/>
      <sheetName val="JAIMES KEVIN"/>
      <sheetName val="LAGOS HERNAN"/>
      <sheetName val="LOPEZ CESAR"/>
      <sheetName val="CASTAÑEDA JAVIER"/>
      <sheetName val="LOPEZ JUAN"/>
      <sheetName val="MAJIN LUIS"/>
      <sheetName val="CORTES EDWIN"/>
      <sheetName val="MOLINA LUIS"/>
      <sheetName val="MEDINA JUAN"/>
      <sheetName val="MERCHAN CAMILO ANDRES"/>
      <sheetName val="MERCHAN JHONATHAN"/>
      <sheetName val="MOLINA JHON"/>
      <sheetName val="MOLINA NILSON "/>
      <sheetName val="MORA ELIDER"/>
      <sheetName val="ANGULO YOFRE"/>
      <sheetName val="MORENO WILFER "/>
      <sheetName val="PATIÑO JAIRO"/>
      <sheetName val="PEREZ CARLOS"/>
      <sheetName val="PEREZ ISAAC"/>
      <sheetName val="PIRAGAUTA NESTOR"/>
      <sheetName val="RAMIREZ CESAR"/>
      <sheetName val="RICARDO GERARDO"/>
      <sheetName val="RINCON ALVARO"/>
      <sheetName val="RODRIGUEZ HUBER"/>
      <sheetName val="RODRIGUEZ JUAN"/>
      <sheetName val="SALAZAR CRISTOBAL"/>
      <sheetName val="PERTUZ ANDRES"/>
      <sheetName val="SAENZ ALEJANDRO"/>
      <sheetName val="SERRANO JOSE"/>
      <sheetName val="SOTO ROBINSON"/>
      <sheetName val="TIRADO FREDIS"/>
      <sheetName val="SEQUERA EDUARDO"/>
      <sheetName val="SEGOVIA ANGEL"/>
      <sheetName val="ZAMBRANO CESAR"/>
      <sheetName val="VALENCIA EMILIANO"/>
      <sheetName val="ZUNIGA JORGE"/>
      <sheetName val="PAJARITA"/>
      <sheetName val="GARIZABAL CRISTIAN"/>
      <sheetName val="ALIMENT"/>
      <sheetName val="CONSOLIDADO"/>
      <sheetName val="TOTAL DEFINIT "/>
      <sheetName val="DOMINICALES P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>
        <row r="7">
          <cell r="AC7">
            <v>789309</v>
          </cell>
        </row>
        <row r="53">
          <cell r="AC53">
            <v>1318308.3333333333</v>
          </cell>
        </row>
        <row r="54">
          <cell r="AC54">
            <v>1367300</v>
          </cell>
        </row>
        <row r="55">
          <cell r="AC55">
            <v>1367300</v>
          </cell>
        </row>
        <row r="56">
          <cell r="C56">
            <v>4410700</v>
          </cell>
          <cell r="F56">
            <v>29926487.5</v>
          </cell>
          <cell r="G56">
            <v>4224700</v>
          </cell>
          <cell r="J56">
            <v>4190550</v>
          </cell>
          <cell r="K56">
            <v>531000</v>
          </cell>
          <cell r="L56">
            <v>1087380</v>
          </cell>
          <cell r="M56">
            <v>135000</v>
          </cell>
          <cell r="N56">
            <v>2604726</v>
          </cell>
          <cell r="P56">
            <v>1252400</v>
          </cell>
          <cell r="Q56">
            <v>0</v>
          </cell>
          <cell r="R56">
            <v>878500</v>
          </cell>
          <cell r="T56">
            <v>2674000</v>
          </cell>
          <cell r="U56">
            <v>150000</v>
          </cell>
          <cell r="V56">
            <v>262920</v>
          </cell>
          <cell r="W56">
            <v>3417000</v>
          </cell>
          <cell r="X56">
            <v>1644000</v>
          </cell>
        </row>
        <row r="72">
          <cell r="O72">
            <v>1144486.6666666667</v>
          </cell>
        </row>
        <row r="73">
          <cell r="O73">
            <v>858482</v>
          </cell>
        </row>
        <row r="74">
          <cell r="O74">
            <v>1497660</v>
          </cell>
        </row>
      </sheetData>
      <sheetData sheetId="60" refreshError="1"/>
      <sheetData sheetId="6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UILAR JOSE"/>
      <sheetName val="ARIZA ALEXANDER"/>
      <sheetName val="AVELLA JHONATHAN"/>
      <sheetName val="BARRIOS LUIS"/>
      <sheetName val="BASTIDAS ERIXON"/>
      <sheetName val="CARVAJAL EDISON"/>
      <sheetName val="DURAN ALDAIRO "/>
      <sheetName val="DURAN IVAN"/>
      <sheetName val="DURAN HORACIO"/>
      <sheetName val="GALINDEZ RAFAEL"/>
      <sheetName val="GONZALEZ HELBER"/>
      <sheetName val="GONZALES MARIO"/>
      <sheetName val="GOMEZ LUIS"/>
      <sheetName val="GONZALES CARLOS"/>
      <sheetName val="GUDIÑO LUIS"/>
      <sheetName val="HIDALGO DANIEL"/>
      <sheetName val="HERNANDEZ JESUS "/>
      <sheetName val="HURTADO LILIANA"/>
      <sheetName val="HURTADON JOSE"/>
      <sheetName val="HURTADO WILLIAM"/>
      <sheetName val="JAIMES KEVIN"/>
      <sheetName val="LAGOS HERNAN"/>
      <sheetName val="LOPEZ CESAR"/>
      <sheetName val="CASTAÑEDA JAVIER"/>
      <sheetName val="LOPEZ JUAN"/>
      <sheetName val="MAJIN LUIS"/>
      <sheetName val="CORTES EDWIN"/>
      <sheetName val="MOLINA LUIS"/>
      <sheetName val="MEDINA JUAN"/>
      <sheetName val="MERCHAN CAMILO ANDRES"/>
      <sheetName val="MERCHAN JHONATHAN"/>
      <sheetName val="MOLINA JHON"/>
      <sheetName val="MOLINA NILSON "/>
      <sheetName val="MORA ELIDER"/>
      <sheetName val="ANGULO YOFRE"/>
      <sheetName val="MORENO WILFER "/>
      <sheetName val="PATIÑO JAIRO"/>
      <sheetName val="PEREZ CARLOS"/>
      <sheetName val="PEREZ ISAAC"/>
      <sheetName val="PIRAGAUTA NESTOR"/>
      <sheetName val="RAMIREZ CESAR"/>
      <sheetName val="RICARDO GERARDO"/>
      <sheetName val="RINCON ALVARO"/>
      <sheetName val="RIVERA VICTOR"/>
      <sheetName val="RODRIGUEZ HUBER"/>
      <sheetName val="RODRIGUEZ JUAN"/>
      <sheetName val="PERTUZ ANDRES"/>
      <sheetName val="SISA HELMER"/>
      <sheetName val="SERRANO JOSE"/>
      <sheetName val="SOTO ROBINSON"/>
      <sheetName val="TIRADO FREDIS"/>
      <sheetName val="SEQUERA EDUARDO"/>
      <sheetName val="SEGOVIA ANGEL"/>
      <sheetName val="ZAMBRANO CESAR"/>
      <sheetName val="VALENCIA EMILIANO"/>
      <sheetName val="GARIZABAL CRISTIAN"/>
      <sheetName val="ZUNIGA JORGE"/>
      <sheetName val="PAJARITA"/>
      <sheetName val="ALIMENT"/>
      <sheetName val="CONSOLIDADO"/>
      <sheetName val="TOTAL DEFINI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>
        <row r="5">
          <cell r="AC5">
            <v>1282219.7916666667</v>
          </cell>
        </row>
        <row r="7">
          <cell r="AC7">
            <v>1048549</v>
          </cell>
        </row>
        <row r="17">
          <cell r="AC17">
            <v>897545</v>
          </cell>
        </row>
        <row r="30">
          <cell r="AC30">
            <v>1169932.5</v>
          </cell>
        </row>
        <row r="47">
          <cell r="AC47">
            <v>868549</v>
          </cell>
        </row>
        <row r="49">
          <cell r="AC49">
            <v>1263271.875</v>
          </cell>
        </row>
        <row r="50">
          <cell r="AC50">
            <v>1367300</v>
          </cell>
        </row>
        <row r="51">
          <cell r="AC51">
            <v>1367300</v>
          </cell>
        </row>
        <row r="52">
          <cell r="C52">
            <v>652400</v>
          </cell>
          <cell r="D52">
            <v>11053770</v>
          </cell>
          <cell r="E52">
            <v>2405120</v>
          </cell>
          <cell r="F52">
            <v>17592806.399999999</v>
          </cell>
          <cell r="G52">
            <v>99900</v>
          </cell>
          <cell r="H52">
            <v>1764776</v>
          </cell>
          <cell r="I52">
            <v>3543600</v>
          </cell>
          <cell r="J52">
            <v>2083980</v>
          </cell>
          <cell r="K52">
            <v>969300</v>
          </cell>
          <cell r="L52">
            <v>3919200</v>
          </cell>
          <cell r="M52">
            <v>399200</v>
          </cell>
          <cell r="P52">
            <v>400000</v>
          </cell>
          <cell r="Q52">
            <v>0</v>
          </cell>
          <cell r="R52">
            <v>330000</v>
          </cell>
          <cell r="T52">
            <v>2179200</v>
          </cell>
          <cell r="W52">
            <v>240000</v>
          </cell>
          <cell r="X52">
            <v>300000</v>
          </cell>
          <cell r="AA52">
            <v>150000</v>
          </cell>
        </row>
      </sheetData>
      <sheetData sheetId="60" refreshError="1">
        <row r="56">
          <cell r="R56">
            <v>7956026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IZA ALEXANDER"/>
      <sheetName val="AVELLA JHONATHAN"/>
      <sheetName val="BARRIOS LUIS"/>
      <sheetName val="BASTIDAS ERIXON"/>
      <sheetName val="CARVAJAL EDISON"/>
      <sheetName val="AMAYA EDWIN"/>
      <sheetName val="DURAN HORACIO"/>
      <sheetName val="GALINDEZ RAFAEL"/>
      <sheetName val="GONZALEZ HELBER"/>
      <sheetName val="GONZALES MARIO"/>
      <sheetName val="GOMEZ LUIS"/>
      <sheetName val="GONZALES CARLOS"/>
      <sheetName val="GUDIÑO LUIS"/>
      <sheetName val="HIDALGO DANIEL"/>
      <sheetName val="HERNANDEZ JESUS "/>
      <sheetName val="HURTADO LILIANA"/>
      <sheetName val="HURTADON JOSE"/>
      <sheetName val="HURTADO WILLIAM"/>
      <sheetName val="JAIMES KEVIN"/>
      <sheetName val="LAGOS HERNAN"/>
      <sheetName val="LOPEZ CESAR"/>
      <sheetName val="CASTAÑEDA JAVIER"/>
      <sheetName val="LOPEZ JUAN"/>
      <sheetName val="MAJIN LUIS"/>
      <sheetName val="CORTES EDWIN"/>
      <sheetName val="MOLINA LUIS"/>
      <sheetName val="MEDINA JUAN"/>
      <sheetName val="MERCHAN JHONATHAN"/>
      <sheetName val="MOLINA JHON"/>
      <sheetName val="MOLINA NILSON "/>
      <sheetName val="MORA ELIDER"/>
      <sheetName val="ANGULO YOFRE"/>
      <sheetName val="MORENO WILFER "/>
      <sheetName val="NIÑO JAIRO"/>
      <sheetName val="PARRA JUAN"/>
      <sheetName val="PATIÑO JAIRO"/>
      <sheetName val="PEREZ CARLOS"/>
      <sheetName val="PEREZ ISAAC"/>
      <sheetName val="PIRAGAUTA NESTOR"/>
      <sheetName val="RAMIREZ CESAR"/>
      <sheetName val="RICARDO GERARDO"/>
      <sheetName val="RINCON ALVARO"/>
      <sheetName val="RIVERA VICTOR"/>
      <sheetName val="RODRIGUEZ HUBER"/>
      <sheetName val="RODRIGUEZ JUAN"/>
      <sheetName val="PERTUZ ANDRES"/>
      <sheetName val="SISA HELMER"/>
      <sheetName val="SERRANO JOSE"/>
      <sheetName val="SOTO ROBINSON"/>
      <sheetName val="TIRADO FREDIS"/>
      <sheetName val="SEQUERA EDUARDO"/>
      <sheetName val="SEGOVIA ANGEL"/>
      <sheetName val="ZAMBRANO CESAR"/>
      <sheetName val="VALENCIA EMILIANO"/>
      <sheetName val="GARIZABAL CRISTIAN"/>
      <sheetName val="ZUNIGA JORGE"/>
      <sheetName val="BALANTA"/>
      <sheetName val="PAJARITA"/>
      <sheetName val="CONSOLIDADO"/>
      <sheetName val="ALIMENT"/>
      <sheetName val="TOTAL DEFINI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4">
          <cell r="AC4">
            <v>1406636.6666666667</v>
          </cell>
        </row>
        <row r="27">
          <cell r="AC27">
            <v>1373232.5</v>
          </cell>
        </row>
        <row r="47">
          <cell r="D47">
            <v>13460720</v>
          </cell>
          <cell r="E47">
            <v>304000</v>
          </cell>
          <cell r="F47">
            <v>11422528</v>
          </cell>
          <cell r="G47">
            <v>30000</v>
          </cell>
          <cell r="H47">
            <v>272220</v>
          </cell>
          <cell r="I47">
            <v>3329400</v>
          </cell>
          <cell r="J47">
            <v>1502700</v>
          </cell>
          <cell r="K47">
            <v>1142400</v>
          </cell>
          <cell r="L47">
            <v>3152400</v>
          </cell>
          <cell r="M47">
            <v>360000</v>
          </cell>
          <cell r="P47">
            <v>976000</v>
          </cell>
          <cell r="Q47">
            <v>1001000</v>
          </cell>
          <cell r="R47">
            <v>335500</v>
          </cell>
          <cell r="T47">
            <v>1664000</v>
          </cell>
          <cell r="W47">
            <v>580000</v>
          </cell>
          <cell r="X47">
            <v>600000</v>
          </cell>
        </row>
      </sheetData>
      <sheetData sheetId="59"/>
      <sheetData sheetId="60">
        <row r="57">
          <cell r="N57">
            <v>6543000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IZA ALEXANDER"/>
      <sheetName val="AVELLA JHONATHAN"/>
      <sheetName val="BARRIOS LUIS"/>
      <sheetName val="BASTIDAS ERIXON"/>
      <sheetName val="CARVAJAL EDISON"/>
      <sheetName val="AMAYA EDWIN"/>
      <sheetName val="GALINDEZ RAFAEL"/>
      <sheetName val="GONZALEZ HELBER"/>
      <sheetName val="GONZALES MARIO"/>
      <sheetName val="GOMEZ LUIS"/>
      <sheetName val="GONZALES CARLOS"/>
      <sheetName val="GUDIÑO LUIS"/>
      <sheetName val="HIDALGO DANIEL"/>
      <sheetName val="HERNANDEZ JESUS "/>
      <sheetName val="HURTADO LILIANA"/>
      <sheetName val="HURTADON JOSE"/>
      <sheetName val="HURTADO WILLIAM"/>
      <sheetName val="JAIMES KEVIN"/>
      <sheetName val="LAGOS HERNAN"/>
      <sheetName val="LOPEZ CESAR"/>
      <sheetName val="CASTAÑEDA JAVIER"/>
      <sheetName val="LOPEZ JUAN"/>
      <sheetName val="MAJIN LUIS"/>
      <sheetName val="CORTES EDWIN"/>
      <sheetName val="MOLINA LUIS"/>
      <sheetName val="MEDINA JUAN"/>
      <sheetName val="MERCHAN JHONATHAN"/>
      <sheetName val="MOLINA JHON"/>
      <sheetName val="MOLINA NILSON "/>
      <sheetName val="MORA ELIDER"/>
      <sheetName val="ANGULO YOFRE"/>
      <sheetName val="NIÑO JAIRO"/>
      <sheetName val="PARRA JUAN"/>
      <sheetName val="PATIÑO JAIRO"/>
      <sheetName val="PEREZ CARLOS"/>
      <sheetName val="PIRAGAUTA NESTOR"/>
      <sheetName val="RAMIREZ CESAR"/>
      <sheetName val="RICARDO GERARDO"/>
      <sheetName val="RINCON ALVARO"/>
      <sheetName val="RIVERA VICTOR"/>
      <sheetName val="DURAN ALDAIRO"/>
      <sheetName val="RODRIGUEZ JUAN"/>
      <sheetName val="PERTUZ ANDRES"/>
      <sheetName val="SISA HELMER"/>
      <sheetName val="SERRANO JOSE"/>
      <sheetName val="TIRADO FREDIS"/>
      <sheetName val="SEQUERA EDUARDO"/>
      <sheetName val="SEGOVIA ANGEL"/>
      <sheetName val="ZAMBRANO CESAR"/>
      <sheetName val="VALENCIA EMILIANO"/>
      <sheetName val="GARIZABAL CRISTIAN"/>
      <sheetName val="BALANTA"/>
      <sheetName val="AMAYA EFRAIN"/>
      <sheetName val="MONTAÑEZ JOSE"/>
      <sheetName val="CRUZ JOSE"/>
      <sheetName val="ZUNIGA JORGE"/>
      <sheetName val="PAJARITA"/>
      <sheetName val="CONSOLIDADO"/>
      <sheetName val="OLAVE EVARISTO"/>
      <sheetName val="ALIMENT"/>
      <sheetName val="TOTAL DEFINIT "/>
      <sheetName val="EFECTIV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AE3">
            <v>544104</v>
          </cell>
        </row>
        <row r="12">
          <cell r="AE12">
            <v>377041</v>
          </cell>
        </row>
        <row r="20">
          <cell r="Y20">
            <v>548800</v>
          </cell>
        </row>
        <row r="25">
          <cell r="AE25">
            <v>1608502.4999999998</v>
          </cell>
        </row>
        <row r="36">
          <cell r="AE36">
            <v>912337</v>
          </cell>
        </row>
        <row r="42">
          <cell r="AE42">
            <v>1422953.125</v>
          </cell>
        </row>
        <row r="43">
          <cell r="AE43">
            <v>1367300</v>
          </cell>
        </row>
        <row r="44">
          <cell r="AE44">
            <v>1367300</v>
          </cell>
        </row>
        <row r="45">
          <cell r="D45">
            <v>20011550</v>
          </cell>
          <cell r="E45">
            <v>1674544.9999999998</v>
          </cell>
          <cell r="F45">
            <v>13301267.199999999</v>
          </cell>
          <cell r="I45">
            <v>4994700</v>
          </cell>
          <cell r="J45">
            <v>658800</v>
          </cell>
          <cell r="K45">
            <v>1992000</v>
          </cell>
          <cell r="L45">
            <v>1065000</v>
          </cell>
          <cell r="M45">
            <v>189980</v>
          </cell>
          <cell r="N45">
            <v>100000</v>
          </cell>
          <cell r="P45">
            <v>2680000</v>
          </cell>
          <cell r="Q45">
            <v>0</v>
          </cell>
          <cell r="R45">
            <v>115807.99999999999</v>
          </cell>
          <cell r="T45">
            <v>2947000</v>
          </cell>
          <cell r="U45">
            <v>150000</v>
          </cell>
          <cell r="V45">
            <v>80000</v>
          </cell>
          <cell r="W45">
            <v>956000</v>
          </cell>
          <cell r="X45">
            <v>0</v>
          </cell>
          <cell r="Y45">
            <v>548800</v>
          </cell>
        </row>
      </sheetData>
      <sheetData sheetId="58"/>
      <sheetData sheetId="59"/>
      <sheetData sheetId="60">
        <row r="54">
          <cell r="N54">
            <v>7612500</v>
          </cell>
        </row>
      </sheetData>
      <sheetData sheetId="6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ELLA JHONATHAN"/>
      <sheetName val="BARRIOS LUIS"/>
      <sheetName val="BASTIDAS ERIXON"/>
      <sheetName val="CARVAJAL EDISON"/>
      <sheetName val="CASTAÑEDA JAVIER"/>
      <sheetName val="AMAYA EDWIN"/>
      <sheetName val="GALINDEZ RAFAEL"/>
      <sheetName val="GONZALEZ HELBER"/>
      <sheetName val="GONZALES MARIO"/>
      <sheetName val="GOMEZ LUIS"/>
      <sheetName val="GONZALES CARLOS"/>
      <sheetName val="GUDIÑO LUIS"/>
      <sheetName val="HIDALGO DANIEL"/>
      <sheetName val="HERNANDEZ JESUS "/>
      <sheetName val="HURTADO LILIANA"/>
      <sheetName val="HURTADON JOSE"/>
      <sheetName val="HURTADO WILLIAM"/>
      <sheetName val="JAIMES KEVIN"/>
      <sheetName val="LAGOS HERNAN"/>
      <sheetName val="LOPEZ CESAR"/>
      <sheetName val="LOPEZ JUAN"/>
      <sheetName val="MAJIN LUIS"/>
      <sheetName val="CORTES EDWIN"/>
      <sheetName val="MOLINA LUIS"/>
      <sheetName val="MERCHAN JHONATHAN"/>
      <sheetName val="MOLINA JHON"/>
      <sheetName val="MOLINA NILSON "/>
      <sheetName val="MORA ELIDER"/>
      <sheetName val="ANGULO YOFRE"/>
      <sheetName val="ESPINEL WILLIAN"/>
      <sheetName val="PARRA JUAN"/>
      <sheetName val="PATIÑO JAIRO"/>
      <sheetName val="PEREZ CARLOS"/>
      <sheetName val="PIRAGAUTA NESTOR"/>
      <sheetName val="RAMIREZ CESAR"/>
      <sheetName val="RICARDO GERARDO"/>
      <sheetName val="RINCON ALVARO"/>
      <sheetName val="RIVERA VICTOR"/>
      <sheetName val="DURAN ALDAIRO"/>
      <sheetName val="PLAZAS MIGUEL"/>
      <sheetName val="PERTUZ ANDRES"/>
      <sheetName val="SISA HELMER"/>
      <sheetName val="SERRANO JOSE"/>
      <sheetName val="TIRADO FREDIS"/>
      <sheetName val="SEQUERA EDUARDO"/>
      <sheetName val="SEGOVIA ANGEL"/>
      <sheetName val="ZAMBRANO CESAR"/>
      <sheetName val="VALENCIA EMILIANO"/>
      <sheetName val="GARIZABAL CRISTIAN"/>
      <sheetName val="BALANTA"/>
      <sheetName val="AMAYA EFRAIN"/>
      <sheetName val="MONTAÑEZ JOSE"/>
      <sheetName val="CRUZ JOSE"/>
      <sheetName val="ZUNIGA JORGE"/>
      <sheetName val="CACERES EDWIN"/>
      <sheetName val="NARVAEZ CRISTIAN"/>
      <sheetName val="PAJARITA"/>
      <sheetName val="OLAVE EVARISTO"/>
      <sheetName val="ALIMENT"/>
      <sheetName val="CONSOLIDADO"/>
      <sheetName val="TOTAL DEFINI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11">
          <cell r="AF11">
            <v>807945</v>
          </cell>
        </row>
        <row r="17">
          <cell r="AF17">
            <v>1471082.5000000002</v>
          </cell>
        </row>
        <row r="23">
          <cell r="AF23">
            <v>1645106.6666666665</v>
          </cell>
        </row>
        <row r="36">
          <cell r="AF36">
            <v>916686</v>
          </cell>
        </row>
        <row r="44">
          <cell r="AF44">
            <v>1310235.416666667</v>
          </cell>
        </row>
        <row r="45">
          <cell r="AF45">
            <v>1367300</v>
          </cell>
        </row>
        <row r="46">
          <cell r="AF46">
            <v>1367300</v>
          </cell>
        </row>
        <row r="47">
          <cell r="C47">
            <v>2867500</v>
          </cell>
          <cell r="D47">
            <v>41950</v>
          </cell>
          <cell r="E47">
            <v>13987753</v>
          </cell>
          <cell r="F47">
            <v>930568</v>
          </cell>
          <cell r="G47">
            <v>13620088</v>
          </cell>
          <cell r="J47">
            <v>2250000</v>
          </cell>
          <cell r="K47">
            <v>599100</v>
          </cell>
          <cell r="L47">
            <v>1190000</v>
          </cell>
          <cell r="M47">
            <v>2272500</v>
          </cell>
          <cell r="N47">
            <v>0</v>
          </cell>
          <cell r="Q47">
            <v>3304750</v>
          </cell>
          <cell r="R47">
            <v>204750</v>
          </cell>
          <cell r="S47">
            <v>247500</v>
          </cell>
          <cell r="T47">
            <v>234500</v>
          </cell>
          <cell r="U47">
            <v>2254000</v>
          </cell>
          <cell r="W47">
            <v>80000</v>
          </cell>
          <cell r="X47">
            <v>1220000</v>
          </cell>
          <cell r="Y47">
            <v>0</v>
          </cell>
        </row>
      </sheetData>
      <sheetData sheetId="60">
        <row r="52">
          <cell r="N52">
            <v>8233750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ELLA JHONATHAN"/>
      <sheetName val="BARRIOS LUIS"/>
      <sheetName val="BASTIDAS ERIXON"/>
      <sheetName val="CARVAJAL EDISON"/>
      <sheetName val="CASTAÑEDA JAVIER"/>
      <sheetName val="AMAYA EFRAIN"/>
      <sheetName val="AMAYA EDWIN"/>
      <sheetName val="GALINDEZ RAFAEL"/>
      <sheetName val="GONZALEZ HELBER"/>
      <sheetName val="GONZALES MARIO"/>
      <sheetName val="GOMEZ LUIS"/>
      <sheetName val="GONZALES CARLOS"/>
      <sheetName val="GUDIÑO LUIS"/>
      <sheetName val="HIDALGO DANIEL"/>
      <sheetName val="HERNANDEZ JESUS "/>
      <sheetName val="HURTADO LILIANA"/>
      <sheetName val="LAGOS HERNAN"/>
      <sheetName val="HURTADON JOSE"/>
      <sheetName val="HURTADO WILLIAM"/>
      <sheetName val="JAIMES KEVIN"/>
      <sheetName val="LOPEZ CESAR"/>
      <sheetName val="LOPEZ JUAN"/>
      <sheetName val="MAJIN LUIS"/>
      <sheetName val="CORTES EDWIN"/>
      <sheetName val="MOLINA LUIS"/>
      <sheetName val="MERCHAN JHONATHAN"/>
      <sheetName val="MOLINA JHON"/>
      <sheetName val="MOLINA NILSON "/>
      <sheetName val="MORA ELIDER"/>
      <sheetName val="ANGULO YOFRE"/>
      <sheetName val="ESPINEL WILLIAN"/>
      <sheetName val="OLAVE EVARISTO"/>
      <sheetName val="PARRA JUAN"/>
      <sheetName val="PATIÑO JAIRO"/>
      <sheetName val="PEREZ CARLOS"/>
      <sheetName val="PIRAGAUTA NESTOR"/>
      <sheetName val="RAMIREZ CESAR"/>
      <sheetName val="RICARDO GERARDO"/>
      <sheetName val="RINCON ALVARO"/>
      <sheetName val="RIVERA VICTOR"/>
      <sheetName val="DURAN ALDAIRO"/>
      <sheetName val="PLAZAS MIGUEL"/>
      <sheetName val="PERTUZ ANDRES"/>
      <sheetName val="SISA HELMER"/>
      <sheetName val="SERRANO JOSE"/>
      <sheetName val="TIRADO FREDIS"/>
      <sheetName val="SEQUERA EDUARDO"/>
      <sheetName val="SEGOVIA ANGEL"/>
      <sheetName val="ZAMBRANO CESAR"/>
      <sheetName val="VALENCIA EMILIANO"/>
      <sheetName val="GARIZABAL CRISTIAN"/>
      <sheetName val="BALANTA"/>
      <sheetName val="MONTAÑEZ JOSE"/>
      <sheetName val="CRUZ JOSE"/>
      <sheetName val="CACERES EDWIN"/>
      <sheetName val="NARVAEZ CRISTIAN"/>
      <sheetName val="ZUNIGA JORGE"/>
      <sheetName val="CONSOLIDADO"/>
      <sheetName val="PAJARITA"/>
      <sheetName val="NINI BAEZ"/>
      <sheetName val="LILIANA HURTADO"/>
      <sheetName val="ALIMENT"/>
      <sheetName val="TOTAL DEFINI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17">
          <cell r="AG17">
            <v>1531196.6666666667</v>
          </cell>
        </row>
        <row r="23">
          <cell r="AG23">
            <v>1629532.6666666667</v>
          </cell>
        </row>
        <row r="36">
          <cell r="AG36">
            <v>1210790</v>
          </cell>
        </row>
        <row r="43">
          <cell r="AG43">
            <v>1367662.5</v>
          </cell>
        </row>
        <row r="44">
          <cell r="AG44">
            <v>1367300</v>
          </cell>
        </row>
        <row r="45">
          <cell r="AG45">
            <v>1367300</v>
          </cell>
        </row>
        <row r="46">
          <cell r="C46">
            <v>1410000</v>
          </cell>
          <cell r="D46">
            <v>84600</v>
          </cell>
          <cell r="E46">
            <v>15994160</v>
          </cell>
          <cell r="F46">
            <v>0</v>
          </cell>
          <cell r="G46">
            <v>15503488</v>
          </cell>
          <cell r="H46">
            <v>0</v>
          </cell>
          <cell r="I46">
            <v>0</v>
          </cell>
          <cell r="J46">
            <v>3652800</v>
          </cell>
          <cell r="K46">
            <v>590700</v>
          </cell>
          <cell r="L46">
            <v>1291500</v>
          </cell>
          <cell r="M46">
            <v>2637600</v>
          </cell>
          <cell r="N46">
            <v>359200</v>
          </cell>
          <cell r="O46">
            <v>120000</v>
          </cell>
          <cell r="P46">
            <v>597600</v>
          </cell>
          <cell r="R46">
            <v>1720000</v>
          </cell>
          <cell r="S46">
            <v>980000</v>
          </cell>
          <cell r="T46">
            <v>247500</v>
          </cell>
          <cell r="U46">
            <v>550000</v>
          </cell>
          <cell r="V46">
            <v>2894000</v>
          </cell>
          <cell r="Y46">
            <v>480000</v>
          </cell>
          <cell r="Z46">
            <v>0</v>
          </cell>
        </row>
      </sheetData>
      <sheetData sheetId="58"/>
      <sheetData sheetId="59"/>
      <sheetData sheetId="60"/>
      <sheetData sheetId="61"/>
      <sheetData sheetId="62">
        <row r="52">
          <cell r="M52">
            <v>8417500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ELLA JHONATHAN"/>
      <sheetName val="BARRIOS LUIS"/>
      <sheetName val="BASTIDAS ERIXON"/>
      <sheetName val="CARVAJAL EDISON"/>
      <sheetName val="CASTAÑEDA JAVIER"/>
      <sheetName val="AMAYA EFRAIN"/>
      <sheetName val="AMAYA EDWIN"/>
      <sheetName val="GALINDEZ RAFAEL"/>
      <sheetName val="GONZALEZ HELBER"/>
      <sheetName val="GONZALES MARIO"/>
      <sheetName val="GOMEZ LUIS"/>
      <sheetName val="GONZALES CARLOS"/>
      <sheetName val="GUDIÑO LUIS"/>
      <sheetName val="HIDALGO DANIEL"/>
      <sheetName val="HERNANDEZ JESUS "/>
      <sheetName val="HURTADO LILIANA"/>
      <sheetName val="JAIMES KEVIN"/>
      <sheetName val="LAGOS HERNAN"/>
      <sheetName val="HURTADON JOSE"/>
      <sheetName val="HURTADO WILLIAM"/>
      <sheetName val="LOPEZ CESAR"/>
      <sheetName val="LOPEZ JUAN"/>
      <sheetName val="MAJIN LUIS"/>
      <sheetName val="CORTES EDWIN"/>
      <sheetName val="MOLINA LUIS"/>
      <sheetName val="MERCHAN JHONATHAN"/>
      <sheetName val="MOLINA JHON"/>
      <sheetName val="MOLINA NILSON "/>
      <sheetName val="OLAVE EVARISTO"/>
      <sheetName val="MORA ELIDER"/>
      <sheetName val="ANGULO YOFRE"/>
      <sheetName val="PARRA JUAN"/>
      <sheetName val="PATIÑO JAIRO"/>
      <sheetName val="PEREZ CARLOS"/>
      <sheetName val="RAMIREZ CESAR"/>
      <sheetName val="RICARDO GERARDO"/>
      <sheetName val="RINCON ALVARO"/>
      <sheetName val="DURAN ALDAIRO"/>
      <sheetName val="PERTUZ ANDRES"/>
      <sheetName val="SERRANO JOSE"/>
      <sheetName val="SEGOVIA ANGEL"/>
      <sheetName val="ZAMBRANO CESAR"/>
      <sheetName val="VALENCIA EMILIANO"/>
      <sheetName val="GARIZABAL CRISTIAN"/>
      <sheetName val="BALANTA"/>
      <sheetName val="MONTAÑEZ JOSE"/>
      <sheetName val="CRUZ JOSE"/>
      <sheetName val="CACERES EDWIN"/>
      <sheetName val="NARVAEZ CRISTIAN"/>
      <sheetName val="ESPINEL WILLIAN"/>
      <sheetName val="PEREZ DALADIER"/>
      <sheetName val="RINCON STIVEN"/>
      <sheetName val="ZUNIGA JORGE"/>
      <sheetName val="PLAZAS MIGUEL"/>
      <sheetName val="SISA HELMER"/>
      <sheetName val="TIRADO FREDIS"/>
      <sheetName val="SEQUERA EDUARDO"/>
      <sheetName val="NINI BAEZ"/>
      <sheetName val="LILIANA HURTADO"/>
      <sheetName val="PAJARITA"/>
      <sheetName val="CONSOLIDADO"/>
      <sheetName val="ALIMENT"/>
      <sheetName val="TOTAL DEFINI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17">
          <cell r="AG17">
            <v>1869420.8333333333</v>
          </cell>
        </row>
        <row r="23">
          <cell r="AG23">
            <v>1186505.8333333333</v>
          </cell>
        </row>
        <row r="33">
          <cell r="AG33">
            <v>1228557</v>
          </cell>
        </row>
        <row r="41">
          <cell r="AG41">
            <v>754082</v>
          </cell>
        </row>
        <row r="43">
          <cell r="AG43">
            <v>1543688.5416666667</v>
          </cell>
        </row>
        <row r="44">
          <cell r="AG44">
            <v>1367300</v>
          </cell>
        </row>
        <row r="45">
          <cell r="AG45">
            <v>1367300</v>
          </cell>
        </row>
        <row r="46">
          <cell r="C46">
            <v>1768800</v>
          </cell>
          <cell r="D46">
            <v>0</v>
          </cell>
          <cell r="E46">
            <v>17860453</v>
          </cell>
          <cell r="F46">
            <v>1424605</v>
          </cell>
          <cell r="G46">
            <v>11071840</v>
          </cell>
          <cell r="H46">
            <v>93100</v>
          </cell>
          <cell r="J46">
            <v>3696600</v>
          </cell>
          <cell r="K46">
            <v>1012300</v>
          </cell>
          <cell r="L46">
            <v>1633100</v>
          </cell>
          <cell r="M46">
            <v>1740000</v>
          </cell>
          <cell r="N46">
            <v>918880</v>
          </cell>
          <cell r="O46">
            <v>80000</v>
          </cell>
          <cell r="R46">
            <v>3390000</v>
          </cell>
          <cell r="S46">
            <v>1831400</v>
          </cell>
          <cell r="T46">
            <v>439919.99999999994</v>
          </cell>
          <cell r="V46">
            <v>2530500</v>
          </cell>
          <cell r="Y46">
            <v>1239200</v>
          </cell>
          <cell r="Z46">
            <v>1194000</v>
          </cell>
        </row>
      </sheetData>
      <sheetData sheetId="61"/>
      <sheetData sheetId="62">
        <row r="50">
          <cell r="M50">
            <v>8712500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ELLA JHONATHAN"/>
      <sheetName val="BARRIOS LUIS"/>
      <sheetName val="BASTIDAS ERIXON"/>
      <sheetName val="CARVAJAL EDISON"/>
      <sheetName val="CASTAÑEDA JAVIER"/>
      <sheetName val="AMAYA EFRAIN"/>
      <sheetName val="AMAYA EDWIN"/>
      <sheetName val="GALINDEZ RAFAEL"/>
      <sheetName val="GONZALEZ HELBER"/>
      <sheetName val="GONZALES MARIO"/>
      <sheetName val="GOMEZ LUIS"/>
      <sheetName val="GONZALES CARLOS"/>
      <sheetName val="GUDIÑO LUIS"/>
      <sheetName val="HIDALGO DANIEL"/>
      <sheetName val="HERNANDEZ JESUS "/>
      <sheetName val="HURTADO LILIANA"/>
      <sheetName val="LAGOS HERNAN"/>
      <sheetName val="HURTADON JOSE"/>
      <sheetName val="HURTADO WILLIAM"/>
      <sheetName val="LOPEZ CESAR"/>
      <sheetName val="LOPEZ JUAN"/>
      <sheetName val="MAJIN LUIS"/>
      <sheetName val="CORTES EDWIN"/>
      <sheetName val="MOLINA LUIS"/>
      <sheetName val="MERCHAN JHONATHAN"/>
      <sheetName val="MOLINA JHON"/>
      <sheetName val="MOLINA NILSON "/>
      <sheetName val="OLAVE EVARISTO"/>
      <sheetName val="MORA ELIDER"/>
      <sheetName val="ANGULO YOFRE"/>
      <sheetName val="PARRA JUAN"/>
      <sheetName val="PATIÑO JAIRO"/>
      <sheetName val="PEREZ CARLOS"/>
      <sheetName val="RAMIREZ CESAR"/>
      <sheetName val="RICARDO GERARDO"/>
      <sheetName val="RINCON ALVARO"/>
      <sheetName val="DURAN ALDAIRO"/>
      <sheetName val="PERTUZ ANDRES"/>
      <sheetName val="SERRANO JOSE"/>
      <sheetName val="SEGOVIA ANGEL"/>
      <sheetName val="ZAMBRANO CESAR"/>
      <sheetName val="VALENCIA EMILIANO"/>
      <sheetName val="GARIZABAL CRISTIAN"/>
      <sheetName val="BALANTA"/>
      <sheetName val="CRUZ JOSE"/>
      <sheetName val="CACERES EDWIN"/>
      <sheetName val="NARVAEZ CRISTIAN"/>
      <sheetName val="RINCON STIVEN"/>
      <sheetName val="PATIÑO JOSE"/>
      <sheetName val="ALTUVE WILMER"/>
      <sheetName val="OROZCO JAIME"/>
      <sheetName val="BARRERA JEISSON"/>
      <sheetName val="ZUNIGA JORGE"/>
      <sheetName val="PLAZAS MIGUEL"/>
      <sheetName val="SISA HELMER"/>
      <sheetName val="TIRADO FREDIS"/>
      <sheetName val="SEQUERA EDUARDO"/>
      <sheetName val="NINI BAEZ"/>
      <sheetName val="LILIANA HURTADO"/>
      <sheetName val="PAJARITA"/>
      <sheetName val="CONSOLIDADO"/>
      <sheetName val="ALIMENT"/>
      <sheetName val="TOTAL DEFINI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9">
          <cell r="AG9">
            <v>807945</v>
          </cell>
        </row>
        <row r="14">
          <cell r="AG14">
            <v>1617399</v>
          </cell>
        </row>
        <row r="19">
          <cell r="AG19">
            <v>1405215.3333333333</v>
          </cell>
        </row>
        <row r="29">
          <cell r="AG29">
            <v>1208146</v>
          </cell>
        </row>
        <row r="33">
          <cell r="AG33">
            <v>737564</v>
          </cell>
        </row>
        <row r="39">
          <cell r="AG39">
            <v>1335371.8750000002</v>
          </cell>
        </row>
        <row r="40">
          <cell r="AG40">
            <v>1367300</v>
          </cell>
        </row>
        <row r="41">
          <cell r="AG41">
            <v>1367300</v>
          </cell>
        </row>
        <row r="42">
          <cell r="C42">
            <v>2365000</v>
          </cell>
          <cell r="D42">
            <v>41600</v>
          </cell>
          <cell r="E42">
            <v>18078515</v>
          </cell>
          <cell r="F42">
            <v>814905</v>
          </cell>
          <cell r="G42">
            <v>10199488</v>
          </cell>
          <cell r="J42">
            <v>1649400</v>
          </cell>
          <cell r="K42">
            <v>781500</v>
          </cell>
          <cell r="L42">
            <v>1452400</v>
          </cell>
          <cell r="M42">
            <v>1718000</v>
          </cell>
          <cell r="N42">
            <v>80000</v>
          </cell>
          <cell r="R42">
            <v>3514000</v>
          </cell>
          <cell r="S42">
            <v>2324000</v>
          </cell>
          <cell r="T42">
            <v>60000</v>
          </cell>
          <cell r="V42">
            <v>2390500</v>
          </cell>
          <cell r="Y42">
            <v>617500</v>
          </cell>
          <cell r="Z42">
            <v>0</v>
          </cell>
          <cell r="AA42">
            <v>484767</v>
          </cell>
          <cell r="AF42">
            <v>582200</v>
          </cell>
        </row>
      </sheetData>
      <sheetData sheetId="61"/>
      <sheetData sheetId="62">
        <row r="45">
          <cell r="M45">
            <v>7700000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ELLA JHONATHAN"/>
      <sheetName val="BARRIOS LUIS"/>
      <sheetName val="BASTIDAS ERIXON"/>
      <sheetName val="CARVAJAL EDISON"/>
      <sheetName val="CASTAÑEDA JAVIER"/>
      <sheetName val="AMAYA EFRAIN"/>
      <sheetName val="AMAYA EDWIN"/>
      <sheetName val="GALINDEZ RAFAEL"/>
      <sheetName val="GONZALEZ HELBER"/>
      <sheetName val="GONZALES MARIO"/>
      <sheetName val="GOMEZ LUIS"/>
      <sheetName val="GONZALES CARLOS"/>
      <sheetName val="GUDIÑO LUIS"/>
      <sheetName val="HIDALGO DANIEL"/>
      <sheetName val="HERNANDEZ JESUS "/>
      <sheetName val="HURTADO LILIANA"/>
      <sheetName val="LAGOS HERNAN"/>
      <sheetName val="HURTADON JOSE"/>
      <sheetName val="HURTADO WILLIAM"/>
      <sheetName val="LOPEZ CESAR"/>
      <sheetName val="LOPEZ JUAN"/>
      <sheetName val="MAJIN LUIS"/>
      <sheetName val="MERCHAN JHONATHAN"/>
      <sheetName val="CORTES EDWIN"/>
      <sheetName val="MOLINA LUIS"/>
      <sheetName val="MOLINA JHON"/>
      <sheetName val="MOLINA NILSON "/>
      <sheetName val="OLAVE EVARISTO"/>
      <sheetName val="PARRA JUAN"/>
      <sheetName val="CONTRERAS KEIMER"/>
      <sheetName val="ANGULO YOFRE"/>
      <sheetName val="PATIÑO JAIRO"/>
      <sheetName val="PEREZ CARLOS"/>
      <sheetName val="RAMIREZ CESAR"/>
      <sheetName val="RICARDO GERARDO"/>
      <sheetName val="RINCON ALVARO"/>
      <sheetName val="DURAN ALDAIRO"/>
      <sheetName val="PERTUZ ANDRES"/>
      <sheetName val="SERRANO JOSE"/>
      <sheetName val="SEGOVIA ANGEL"/>
      <sheetName val="ZAMBRANO CESAR"/>
      <sheetName val="VALENCIA EMILIANO"/>
      <sheetName val="GARIZABAL CRISTIAN"/>
      <sheetName val="BALANTA"/>
      <sheetName val="BOTERO FERNEY"/>
      <sheetName val="CACERES EDWIN"/>
      <sheetName val="NARVAEZ CRISTIAN"/>
      <sheetName val="RINCON STIVEN"/>
      <sheetName val="PATIÑO JOSE"/>
      <sheetName val="ALTUVE WILMER"/>
      <sheetName val="OROZCO JAIME"/>
      <sheetName val="DIAZ EMANUEL"/>
      <sheetName val="REYES JHONATAN"/>
      <sheetName val="CUEVAS LIBARDO"/>
      <sheetName val="JAIMES ADRIAN"/>
      <sheetName val="TORRES ROBER"/>
      <sheetName val="ZUNIGA JORGE"/>
      <sheetName val="NINI BAEZ"/>
      <sheetName val="LILIANA HURTADO"/>
      <sheetName val="PAJARITA"/>
      <sheetName val="ALIMENT"/>
      <sheetName val="TOTAL DEFINIT "/>
      <sheetName val="CONSOLIDAD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46">
          <cell r="C46">
            <v>3729800</v>
          </cell>
          <cell r="D46">
            <v>0</v>
          </cell>
          <cell r="E46">
            <v>11818443</v>
          </cell>
          <cell r="F46">
            <v>0</v>
          </cell>
          <cell r="G46">
            <v>13530400</v>
          </cell>
          <cell r="I46">
            <v>200000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ELLA JHONATHAN"/>
      <sheetName val="BARRIOS LUIS"/>
      <sheetName val="BASTIDAS ERIXON"/>
      <sheetName val="CARVAJAL EDISON"/>
      <sheetName val="CASTAÑEDA JAVIER"/>
      <sheetName val="AMAYA EFRAIN"/>
      <sheetName val="AMAYA EDWIN"/>
      <sheetName val="GALINDEZ RAFAEL"/>
      <sheetName val="GONZALEZ HELBER"/>
      <sheetName val="GONZALES MARIO"/>
      <sheetName val="GOMEZ LUIS"/>
      <sheetName val="GONZALES CARLOS"/>
      <sheetName val="GUDIÑO LUIS"/>
      <sheetName val="HIDALGO DANIEL"/>
      <sheetName val="HERNANDEZ JESUS "/>
      <sheetName val="HURTADO LILIANA"/>
      <sheetName val="LAGOS HERNAN"/>
      <sheetName val="CONSOLIDADO"/>
      <sheetName val="HURTADON JOSE"/>
      <sheetName val="HURTADO WILLIAM"/>
      <sheetName val="LOPEZ CESAR"/>
      <sheetName val="LOPEZ JUAN"/>
      <sheetName val="MAJIN LUIS"/>
      <sheetName val="CORTES EDWIN"/>
      <sheetName val="MOLINA LUIS"/>
      <sheetName val="MERCHAN JHONATHAN"/>
      <sheetName val="MOLINA JHON"/>
      <sheetName val="MOLINA NILSON "/>
      <sheetName val="OLAVE EVARISTO"/>
      <sheetName val="CONTRERAS KEIMER"/>
      <sheetName val="ALFONSO JORGE"/>
      <sheetName val="PARRA JUAN"/>
      <sheetName val="PATIÑO JAIRO"/>
      <sheetName val="PEREZ CARLOS"/>
      <sheetName val="RAMIREZ CESAR"/>
      <sheetName val="RICARDO GERARDO"/>
      <sheetName val="RINCON ALVARO"/>
      <sheetName val="DURAN ALDAIRO"/>
      <sheetName val="PERRUCHO FABIAN"/>
      <sheetName val="SERRANO JOSE"/>
      <sheetName val="SEGOVIA ANGEL"/>
      <sheetName val="ZAMBRANO CESAR"/>
      <sheetName val="VALENCIA EMILIANO"/>
      <sheetName val="PATIÑO MARTIN"/>
      <sheetName val="BALANTA"/>
      <sheetName val="BOTERO FERNEY"/>
      <sheetName val="CACERES EDWIN"/>
      <sheetName val="NARVAEZ CRISTIAN"/>
      <sheetName val="PEREZ ARMANDO"/>
      <sheetName val="PATIÑO JOSE"/>
      <sheetName val="ALTUVE WILMER"/>
      <sheetName val="OROZCO JAIME"/>
      <sheetName val="DIAZ EMANUEL"/>
      <sheetName val="ZUNIGA JORGE"/>
      <sheetName val="REYES JHONATAN"/>
      <sheetName val="CENTENO JEICOLL"/>
      <sheetName val="JAIMES ADRIAN"/>
      <sheetName val="TORRES ROBER"/>
      <sheetName val="NINI BAEZ"/>
      <sheetName val="LILIANA HURTADO"/>
      <sheetName val="PAJARITA"/>
      <sheetName val="ALIMENT"/>
      <sheetName val="TOTAL DEFINI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AG9">
            <v>0</v>
          </cell>
        </row>
        <row r="14">
          <cell r="AG14">
            <v>1106152.6666666667</v>
          </cell>
        </row>
        <row r="19">
          <cell r="AG19">
            <v>1214755.375</v>
          </cell>
        </row>
        <row r="29">
          <cell r="AG29">
            <v>953893</v>
          </cell>
        </row>
        <row r="33">
          <cell r="AG33">
            <v>427500</v>
          </cell>
        </row>
        <row r="39">
          <cell r="AG39">
            <v>1193274.5833333335</v>
          </cell>
        </row>
        <row r="40">
          <cell r="AG40">
            <v>1367300</v>
          </cell>
        </row>
        <row r="41">
          <cell r="AG41">
            <v>1367300</v>
          </cell>
        </row>
        <row r="42">
          <cell r="C42">
            <v>5062450</v>
          </cell>
          <cell r="D42">
            <v>13728</v>
          </cell>
          <cell r="E42">
            <v>6618300</v>
          </cell>
          <cell r="F42">
            <v>345000</v>
          </cell>
          <cell r="G42">
            <v>6892704</v>
          </cell>
          <cell r="H42">
            <v>1120000</v>
          </cell>
          <cell r="I42">
            <v>1355750</v>
          </cell>
          <cell r="J42">
            <v>2492400</v>
          </cell>
          <cell r="K42">
            <v>719100</v>
          </cell>
          <cell r="L42">
            <v>825480</v>
          </cell>
          <cell r="M42">
            <v>2504400</v>
          </cell>
          <cell r="N42">
            <v>218400</v>
          </cell>
          <cell r="O42">
            <v>40000</v>
          </cell>
          <cell r="P42">
            <v>267759</v>
          </cell>
          <cell r="Q42">
            <v>109979.99999999999</v>
          </cell>
          <cell r="R42">
            <v>703700</v>
          </cell>
          <cell r="S42">
            <v>500000</v>
          </cell>
          <cell r="V42">
            <v>1827000</v>
          </cell>
          <cell r="W42">
            <v>75000</v>
          </cell>
          <cell r="Y42">
            <v>628500</v>
          </cell>
          <cell r="Z42">
            <v>19800</v>
          </cell>
          <cell r="AB42">
            <v>80000</v>
          </cell>
          <cell r="AF42">
            <v>580112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2">
          <cell r="M52">
            <v>9593100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ELLA JHONATHAN"/>
      <sheetName val="BARRIOS LUIS"/>
      <sheetName val="BASTIDAS ERIXON"/>
      <sheetName val="CARVAJAL EDISON"/>
      <sheetName val="CASTAÑEDA JAVIER"/>
      <sheetName val="AMAYA EFRAIN"/>
      <sheetName val="AMAYA EDWIN"/>
      <sheetName val="GALINDEZ RAFAEL"/>
      <sheetName val="GONZALEZ HELBER"/>
      <sheetName val="GONZALES MARIO"/>
      <sheetName val="GOMEZ LUIS"/>
      <sheetName val="GONZALES CARLOS"/>
      <sheetName val="GUDIÑO LUIS"/>
      <sheetName val="HIDALGO DANIEL"/>
      <sheetName val="HERNANDEZ JESUS "/>
      <sheetName val="HURTADO LILIANA"/>
      <sheetName val="LAGOS HERNAN"/>
      <sheetName val="HURTADON JOSE"/>
      <sheetName val="HURTADO WILLIAM"/>
      <sheetName val="LOPEZ CESAR"/>
      <sheetName val="LOPEZ JUAN"/>
      <sheetName val="MAJIN LUIS"/>
      <sheetName val="CORTES EDWIN"/>
      <sheetName val="MOLINA LUIS"/>
      <sheetName val="MERCHAN JHONATHAN"/>
      <sheetName val="MOLINA JHON"/>
      <sheetName val="MOLINA NILSON "/>
      <sheetName val="OLAVE EVARISTO"/>
      <sheetName val="CONTRERAS KEIMER"/>
      <sheetName val="PARRA JUAN"/>
      <sheetName val="ALFONSO JORGE"/>
      <sheetName val="PATIÑO JAIRO"/>
      <sheetName val="PEREZ CARLOS"/>
      <sheetName val="RAMIREZ CESAR"/>
      <sheetName val="RICARDO GERARDO"/>
      <sheetName val="RINCON ALVARO"/>
      <sheetName val="DURAN ALDAIRO"/>
      <sheetName val="OLMOS JEISSON"/>
      <sheetName val="SERRANO JOSE"/>
      <sheetName val="SEGOVIA ANGEL"/>
      <sheetName val="ZAMBRANO CESAR"/>
      <sheetName val="VALENCIA EMILIANO"/>
      <sheetName val="PATIÑO MARTIN"/>
      <sheetName val="BALANTA"/>
      <sheetName val="CACERES EDWIN"/>
      <sheetName val="NARVAEZ CRISTIAN"/>
      <sheetName val="BOTERO FERNEY"/>
      <sheetName val="PATIÑO JOSE"/>
      <sheetName val="ALTUVE WILMER"/>
      <sheetName val="PEREZ ARMANDO"/>
      <sheetName val="OROZCO JAIME"/>
      <sheetName val="REYES JHONATAN"/>
      <sheetName val="CENTENO JEICOLL"/>
      <sheetName val="JAIMES ADRIAN"/>
      <sheetName val="TORRES ROBER"/>
      <sheetName val="ZUNIGA JORGE"/>
      <sheetName val="NINI BAEZ"/>
      <sheetName val="LILIANA HURTADO"/>
      <sheetName val="PAJARITA"/>
      <sheetName val="DIAZ EMANUEL"/>
      <sheetName val="CONSOLIDADO"/>
      <sheetName val="ALIMENT"/>
      <sheetName val="TOTAL DEFINI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9">
          <cell r="AJ9">
            <v>0</v>
          </cell>
        </row>
        <row r="14">
          <cell r="AJ14">
            <v>1396602</v>
          </cell>
        </row>
        <row r="21">
          <cell r="AJ21">
            <v>1724860.6666666667</v>
          </cell>
        </row>
        <row r="34">
          <cell r="AJ34">
            <v>918330</v>
          </cell>
        </row>
        <row r="45">
          <cell r="AJ45">
            <v>1323387.9166666667</v>
          </cell>
        </row>
        <row r="46">
          <cell r="AJ46">
            <v>1367300</v>
          </cell>
        </row>
        <row r="47">
          <cell r="AJ47">
            <v>1367300</v>
          </cell>
        </row>
        <row r="48">
          <cell r="C48">
            <v>6640801</v>
          </cell>
          <cell r="D48">
            <v>7820604</v>
          </cell>
          <cell r="E48">
            <v>11785610</v>
          </cell>
          <cell r="I48">
            <v>1473450</v>
          </cell>
          <cell r="J48">
            <v>508470</v>
          </cell>
          <cell r="K48">
            <v>213960</v>
          </cell>
          <cell r="L48">
            <v>1061200</v>
          </cell>
          <cell r="M48">
            <v>980000</v>
          </cell>
          <cell r="N48">
            <v>2792350</v>
          </cell>
          <cell r="O48">
            <v>230670</v>
          </cell>
          <cell r="P48">
            <v>154550</v>
          </cell>
          <cell r="Q48">
            <v>75000</v>
          </cell>
          <cell r="U48">
            <v>120000</v>
          </cell>
          <cell r="V48">
            <v>0</v>
          </cell>
          <cell r="Y48">
            <v>1760850</v>
          </cell>
          <cell r="AA48">
            <v>455000</v>
          </cell>
          <cell r="AC48">
            <v>1554400</v>
          </cell>
        </row>
      </sheetData>
      <sheetData sheetId="61"/>
      <sheetData sheetId="62">
        <row r="52">
          <cell r="M52">
            <v>7895250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ELLA JHONATHAN"/>
      <sheetName val="BARRIOS LUIS"/>
      <sheetName val="BASTIDAS ERIXON"/>
      <sheetName val="CARVAJAL EDISON"/>
      <sheetName val="CASTAÑEDA JAVIER"/>
      <sheetName val="AMAYA EFRAIN"/>
      <sheetName val="AMAYA EDWIN"/>
      <sheetName val="GALINDEZ RAFAEL"/>
      <sheetName val="GONZALEZ HELBER"/>
      <sheetName val="GONZALES MARIO"/>
      <sheetName val="GOMEZ LUIS"/>
      <sheetName val="GONZALES CARLOS"/>
      <sheetName val="GUDIÑO LUIS"/>
      <sheetName val="HIDALGO DANIEL"/>
      <sheetName val="HERNANDEZ JESUS "/>
      <sheetName val="HURTADO LILIANA"/>
      <sheetName val="LAGOS HERNAN"/>
      <sheetName val="HURTADON JOSE"/>
      <sheetName val="HURTADO WILLIAM"/>
      <sheetName val="LOPEZ CESAR"/>
      <sheetName val="LOPEZ JUAN"/>
      <sheetName val="MAJIN LUIS"/>
      <sheetName val="CORTES EDWIN"/>
      <sheetName val="MOLINA LUIS"/>
      <sheetName val="MERCHAN JHONATHAN"/>
      <sheetName val="MOLINA JHON"/>
      <sheetName val="MOLINA NILSON "/>
      <sheetName val="OLAVE EVARISTO"/>
      <sheetName val="SAVALETA JUAN"/>
      <sheetName val="MARTINEZ DAVID"/>
      <sheetName val="ALFONSO JORGE"/>
      <sheetName val="PATIÑO JAIRO"/>
      <sheetName val="PEREZ CARLOS"/>
      <sheetName val="RAMIREZ CESAR"/>
      <sheetName val="RICARDO GERARDO"/>
      <sheetName val="HERNANDEZ JESUS"/>
      <sheetName val="DURAN ALDAIRO"/>
      <sheetName val="OLMOS JEISSON"/>
      <sheetName val="SERRANO JOSE"/>
      <sheetName val="SEGOVIA ANGEL"/>
      <sheetName val="ZAMBRANO CESAR"/>
      <sheetName val="VALENCIA EMILIANO"/>
      <sheetName val="PATIÑO MARTIN"/>
      <sheetName val="PATIÑO EFRAIN"/>
      <sheetName val="RINCON JOSE DANIEL"/>
      <sheetName val="DITA DANIEL"/>
      <sheetName val="BOTERO FERNEY"/>
      <sheetName val="PATIÑO JOSE"/>
      <sheetName val="ALTUVE WILMER"/>
      <sheetName val="OROZCO JAIME"/>
      <sheetName val="REYES JHONATAN"/>
      <sheetName val="CENTENO JEICOLL"/>
      <sheetName val="JAIMES ADRIAN"/>
      <sheetName val="TORRES ROBER"/>
      <sheetName val="ZUNIGA JORGE"/>
      <sheetName val="TORRES CARLOS"/>
      <sheetName val="LILIANA HURTADO"/>
      <sheetName val="PAJARITA"/>
      <sheetName val="DIAZ EMANUEL"/>
      <sheetName val="RIVERA JOAQUIN"/>
      <sheetName val="CONSOLIDADO"/>
      <sheetName val="ALIMENT"/>
      <sheetName val="TOTAL DEFINI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12">
          <cell r="AJ12">
            <v>2035146.6666666667</v>
          </cell>
        </row>
        <row r="17">
          <cell r="AJ17">
            <v>615446</v>
          </cell>
        </row>
        <row r="19">
          <cell r="AJ19">
            <v>1574560.6666666667</v>
          </cell>
        </row>
        <row r="31">
          <cell r="AJ31">
            <v>823247</v>
          </cell>
        </row>
        <row r="33">
          <cell r="AJ33">
            <v>780420</v>
          </cell>
        </row>
        <row r="44">
          <cell r="AJ44">
            <v>1271626.0416666667</v>
          </cell>
        </row>
        <row r="45">
          <cell r="AJ45">
            <v>1367300</v>
          </cell>
        </row>
        <row r="46">
          <cell r="AJ46">
            <v>1367300</v>
          </cell>
        </row>
        <row r="47">
          <cell r="C47">
            <v>592493</v>
          </cell>
          <cell r="D47">
            <v>10539460</v>
          </cell>
          <cell r="E47">
            <v>13192350</v>
          </cell>
          <cell r="F47">
            <v>616420</v>
          </cell>
          <cell r="I47">
            <v>2362800</v>
          </cell>
          <cell r="K47">
            <v>218430</v>
          </cell>
          <cell r="L47">
            <v>696550</v>
          </cell>
          <cell r="M47">
            <v>2145100</v>
          </cell>
          <cell r="N47">
            <v>1230350</v>
          </cell>
          <cell r="Q47">
            <v>262500</v>
          </cell>
          <cell r="U47">
            <v>1417800</v>
          </cell>
          <cell r="V47">
            <v>737800</v>
          </cell>
          <cell r="W47">
            <v>91649.999999999985</v>
          </cell>
          <cell r="Y47">
            <v>2095400</v>
          </cell>
          <cell r="AC47">
            <v>0</v>
          </cell>
          <cell r="AI47">
            <v>185000</v>
          </cell>
        </row>
      </sheetData>
      <sheetData sheetId="61">
        <row r="86">
          <cell r="G86">
            <v>13760250</v>
          </cell>
        </row>
      </sheetData>
      <sheetData sheetId="62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ELLA JHONATHAN"/>
      <sheetName val="BARRIOS LUIS"/>
      <sheetName val="BASTIDAS ERIXON"/>
      <sheetName val="CARVAJAL EDISON"/>
      <sheetName val="AMAYA EFRAIN"/>
      <sheetName val="AMAYA EDWIN"/>
      <sheetName val="GALINDEZ RAFAEL"/>
      <sheetName val="GONZALEZ HELBER"/>
      <sheetName val="GONZALES MARIO"/>
      <sheetName val="GOMEZ LUIS"/>
      <sheetName val="GONZALES CARLOS"/>
      <sheetName val="GUDIÑO LUIS"/>
      <sheetName val="HIDALGO DANIEL"/>
      <sheetName val="HURTADO LILIANA"/>
      <sheetName val="MAJIN LUIS"/>
      <sheetName val="CORTES EDWIN"/>
      <sheetName val="MOLINA LUIS"/>
      <sheetName val="MERCHAN JHONATHAN"/>
      <sheetName val="MOLINA NILSON "/>
      <sheetName val="OLAVE EVARISTO"/>
      <sheetName val="SAVALETA JUAN"/>
      <sheetName val="MARTINEZ DAVID"/>
      <sheetName val="ALFONSO JORGE"/>
      <sheetName val="PATIÑO JAIRO"/>
      <sheetName val="PEREZ CARLOS"/>
      <sheetName val="RAMIREZ CESAR"/>
      <sheetName val="RICARDO GERARDO"/>
      <sheetName val="HERNANDEZ JESUS"/>
      <sheetName val="DURAN ALDAIRO"/>
      <sheetName val="OLMOS JEISSON"/>
      <sheetName val="SERRANO JOSE"/>
      <sheetName val="SEGOVIA ANGEL"/>
      <sheetName val="ZAMBRANO CESAR"/>
      <sheetName val="VALENCIA EMILIANO"/>
      <sheetName val="PATIÑO MARTIN"/>
      <sheetName val="PATIÑO EFRAIN"/>
      <sheetName val="RINCON JOSE DANIEL"/>
      <sheetName val="DITA DANIEL"/>
      <sheetName val="OROZCO JAIME"/>
      <sheetName val="REYES JHONATAN"/>
      <sheetName val="CENTENO JEICOLL"/>
      <sheetName val="ORTEGA ROBER"/>
      <sheetName val="TORRES ROBER"/>
      <sheetName val="TORRES CARLOS"/>
      <sheetName val="LILIANA HURTADO"/>
      <sheetName val="ZUNIGA JORGE"/>
      <sheetName val="DIAZ EMANUEL"/>
      <sheetName val="mendivelso gregorio"/>
      <sheetName val="CACERES EDUAR"/>
      <sheetName val="CACERES IVAN"/>
      <sheetName val="GUTIERREZ SEBASTIAN"/>
      <sheetName val="CARDENAS GABRIEL"/>
      <sheetName val="PARADA LEOBALDO"/>
      <sheetName val="PALOMINO ENDER"/>
      <sheetName val="VERGARA RAMIRO"/>
      <sheetName val="RIVERA JOAQUIN"/>
      <sheetName val="CONSOLIDADO"/>
      <sheetName val="PAJARITA"/>
      <sheetName val="ALIMENT"/>
      <sheetName val="TOTAL DEFINI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11">
          <cell r="AJ11">
            <v>1455202.3333333333</v>
          </cell>
        </row>
        <row r="16">
          <cell r="AJ16">
            <v>883851</v>
          </cell>
        </row>
        <row r="18">
          <cell r="AJ18">
            <v>1839924.6666666667</v>
          </cell>
        </row>
        <row r="30">
          <cell r="AJ30">
            <v>988111.25</v>
          </cell>
        </row>
        <row r="49">
          <cell r="AJ49">
            <v>1448101.25</v>
          </cell>
        </row>
        <row r="50">
          <cell r="AJ50">
            <v>1367300</v>
          </cell>
        </row>
        <row r="51">
          <cell r="AJ51">
            <v>1367300</v>
          </cell>
        </row>
        <row r="52">
          <cell r="C52">
            <v>0</v>
          </cell>
          <cell r="D52">
            <v>12486960</v>
          </cell>
          <cell r="E52">
            <v>16907150</v>
          </cell>
          <cell r="F52">
            <v>964220</v>
          </cell>
          <cell r="I52">
            <v>1702250</v>
          </cell>
          <cell r="K52">
            <v>402300</v>
          </cell>
          <cell r="L52">
            <v>518700</v>
          </cell>
          <cell r="M52">
            <v>2572000</v>
          </cell>
          <cell r="N52">
            <v>1287880</v>
          </cell>
          <cell r="Q52">
            <v>0</v>
          </cell>
          <cell r="S52">
            <v>400000</v>
          </cell>
          <cell r="U52">
            <v>60000</v>
          </cell>
          <cell r="V52">
            <v>0</v>
          </cell>
          <cell r="W52">
            <v>45824.999999999993</v>
          </cell>
          <cell r="Y52">
            <v>2483950</v>
          </cell>
          <cell r="AC52">
            <v>0</v>
          </cell>
          <cell r="AD52">
            <v>40000</v>
          </cell>
          <cell r="AE52">
            <v>963220</v>
          </cell>
        </row>
      </sheetData>
      <sheetData sheetId="57"/>
      <sheetData sheetId="58">
        <row r="90">
          <cell r="G90">
            <v>14450875</v>
          </cell>
        </row>
      </sheetData>
      <sheetData sheetId="59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ELLA JHONATHAN"/>
      <sheetName val="BARRIOS LUIS"/>
      <sheetName val="BASTIDAS ERIXON"/>
      <sheetName val="CARVAJAL EDISON"/>
      <sheetName val="GALINDEZ RAFAEL"/>
      <sheetName val="GONZALEZ HELBER"/>
      <sheetName val="GONZALES MARIO"/>
      <sheetName val="GONZALES CARLOS"/>
      <sheetName val="HIDALGO DANIEL"/>
      <sheetName val="HURTADO LILIANA"/>
      <sheetName val="MOLINA LUIS"/>
      <sheetName val="MERCHAN JHONATHAN"/>
      <sheetName val="MOLINA NILSON "/>
      <sheetName val="OLAVE EVARISTO"/>
      <sheetName val="ALFONSO JORGE"/>
      <sheetName val="PATIÑO JAIRO"/>
      <sheetName val="PEREZ CARLOS"/>
      <sheetName val="RAMIREZ CESAR"/>
      <sheetName val="RICARDO GERARDO"/>
      <sheetName val="HERNANDEZ JESUS"/>
      <sheetName val="DURAN ALDAIRO"/>
      <sheetName val="OLMOS JEISSON"/>
      <sheetName val="SERRANO JOSE"/>
      <sheetName val="SEGOVIA ANGEL"/>
      <sheetName val="ZAMBRANO CESAR"/>
      <sheetName val="VALENCIA EMILIANO"/>
      <sheetName val="PATIÑO MARTIN"/>
      <sheetName val="PATIÑO EFRAIN"/>
      <sheetName val="DITA DANIEL"/>
      <sheetName val="OROZCO JAIME"/>
      <sheetName val="REYES JHONATAN"/>
      <sheetName val="CENTENO JEICOLL"/>
      <sheetName val="ORTEGA ROBER"/>
      <sheetName val="LILIANA HURTADO"/>
      <sheetName val="ZUNIGA JORGE"/>
      <sheetName val="DIAZ EMANUEL"/>
      <sheetName val="mendivelso gregorio"/>
      <sheetName val="CACERES EDUAR"/>
      <sheetName val="GUTIERREZ SEBASTIAN"/>
      <sheetName val="CARDENAS ALBEIRO"/>
      <sheetName val="CELY MIGUEL"/>
      <sheetName val="CUSPOCA WILLIAM"/>
      <sheetName val="ORTIZ LUIS"/>
      <sheetName val="RIVERA JOAQUIN"/>
      <sheetName val="JAIMES KEVIN"/>
      <sheetName val="CELY PABLO"/>
      <sheetName val="TORRES ALEXIS"/>
      <sheetName val="DAZA EVERALDO"/>
      <sheetName val="TORRES JAIR"/>
      <sheetName val="HORMAZA FABIO"/>
      <sheetName val="SIERRA FREDY"/>
      <sheetName val="OROZCO KENIS"/>
      <sheetName val="GOMEZ JEFFERSON"/>
      <sheetName val="ANGHELO"/>
      <sheetName val="JHON FREDDY"/>
      <sheetName val="JESUS CRUZ"/>
      <sheetName val="ALIRIO"/>
      <sheetName val="TORRES CARLOS"/>
      <sheetName val="PAJARITA"/>
      <sheetName val="ALIMENT"/>
      <sheetName val="CONSOLIDADO"/>
      <sheetName val="TOTAL DEFINIT 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95">
          <cell r="G95">
            <v>15176750</v>
          </cell>
        </row>
      </sheetData>
      <sheetData sheetId="60">
        <row r="12">
          <cell r="AJ12">
            <v>2022360</v>
          </cell>
        </row>
        <row r="16">
          <cell r="AJ16">
            <v>964153</v>
          </cell>
        </row>
        <row r="18">
          <cell r="AJ18">
            <v>1386330.3333333333</v>
          </cell>
        </row>
        <row r="30">
          <cell r="AJ30">
            <v>1152673.5</v>
          </cell>
        </row>
        <row r="49">
          <cell r="AJ49">
            <v>1409061.4583333335</v>
          </cell>
        </row>
        <row r="50">
          <cell r="AJ50">
            <v>1367300</v>
          </cell>
        </row>
        <row r="51">
          <cell r="AJ51">
            <v>1367300</v>
          </cell>
        </row>
        <row r="52">
          <cell r="C52">
            <v>5936400</v>
          </cell>
          <cell r="D52">
            <v>20195780</v>
          </cell>
          <cell r="E52">
            <v>11932130</v>
          </cell>
          <cell r="F52">
            <v>201000</v>
          </cell>
          <cell r="I52">
            <v>331840</v>
          </cell>
          <cell r="K52">
            <v>1342000</v>
          </cell>
          <cell r="L52">
            <v>1302750</v>
          </cell>
          <cell r="M52">
            <v>1059560</v>
          </cell>
          <cell r="N52">
            <v>796320</v>
          </cell>
          <cell r="Q52">
            <v>972400</v>
          </cell>
          <cell r="U52">
            <v>239320</v>
          </cell>
          <cell r="V52">
            <v>0</v>
          </cell>
          <cell r="W52">
            <v>0</v>
          </cell>
          <cell r="X52">
            <v>180000</v>
          </cell>
          <cell r="Y52">
            <v>2577650</v>
          </cell>
          <cell r="AC52">
            <v>0</v>
          </cell>
          <cell r="AD52">
            <v>50000</v>
          </cell>
          <cell r="AI52">
            <v>54000</v>
          </cell>
        </row>
      </sheetData>
      <sheetData sheetId="61">
        <row r="62">
          <cell r="N62">
            <v>5731700</v>
          </cell>
        </row>
      </sheetData>
      <sheetData sheetId="6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ELLA JHONATHAN"/>
      <sheetName val="BARRIOS LUIS"/>
      <sheetName val="BASTIDAS ERIXON"/>
      <sheetName val="CARVAJAL EDISON"/>
      <sheetName val="GALINDEZ RAFAEL"/>
      <sheetName val="GONZALEZ HELBER"/>
      <sheetName val="GONZALES MARIO"/>
      <sheetName val="GONZALES CARLOS"/>
      <sheetName val="HIDALGO DANIEL"/>
      <sheetName val="HURTADO LILIANA"/>
      <sheetName val="MOLINA LUIS"/>
      <sheetName val="MERCHAN JHONATHAN"/>
      <sheetName val="MOLINA NILSON "/>
      <sheetName val="OLAVE EVARISTO"/>
      <sheetName val="ALONSO JORGE"/>
      <sheetName val="PATIÑO JAIRO"/>
      <sheetName val="PEREZ CARLOS"/>
      <sheetName val="RAMIREZ CESAR"/>
      <sheetName val="RICARDO GERARDO"/>
      <sheetName val="HERNANDEZ JESUS"/>
      <sheetName val="DURAN ALDAIRO"/>
      <sheetName val="OLMOS JEISSON"/>
      <sheetName val="SERRANO JOSE"/>
      <sheetName val="SEGOVIA ANGEL"/>
      <sheetName val="ZAMBRANO CESAR"/>
      <sheetName val="VALENCIA EMILIANO"/>
      <sheetName val="PATIÑO MARTIN"/>
      <sheetName val="PATIÑO EFRAIN"/>
      <sheetName val="DITA DANIEL"/>
      <sheetName val="OROZCO JAIME"/>
      <sheetName val="REYES JHONATAN"/>
      <sheetName val="CENTENO JEICOLL"/>
      <sheetName val="ORTEGA ROBER"/>
      <sheetName val="ZUNIGA JORGE"/>
      <sheetName val="LILIANA HURTADO"/>
      <sheetName val="DIAZ EMANUEL"/>
      <sheetName val="MENDIVELSO GREGORIO"/>
      <sheetName val="CACERES EDUAR"/>
      <sheetName val="GUTIERREZ SEBASTIAN"/>
      <sheetName val="CARDENAS ALBEIRO"/>
      <sheetName val="CELY MIGUEL"/>
      <sheetName val="CUSPOCA WILLIAM"/>
      <sheetName val="ORTIZ LUIS"/>
      <sheetName val="JAIMES KEVIN"/>
      <sheetName val="CELY PABLO"/>
      <sheetName val="TORRES ALEXIS"/>
      <sheetName val="DAZA EVERALDO"/>
      <sheetName val="TORRES JAIR"/>
      <sheetName val="HORMAZA FABIO"/>
      <sheetName val="SIERRA FREDY"/>
      <sheetName val="OROZCO KENIS"/>
      <sheetName val="GOMEZ JEFFERSON"/>
      <sheetName val="PEDRAZA JAVIER"/>
      <sheetName val="ALIRIO"/>
      <sheetName val="TORRES CARLOS"/>
      <sheetName val="JIMENEZ ELMER"/>
      <sheetName val="JIMENEZ JOSE"/>
      <sheetName val="BARRERA VICTOR MANUEL"/>
      <sheetName val="JEFERSON DANIEL CONTRERAS"/>
      <sheetName val="PAJARITA"/>
      <sheetName val="CONSOLIDADO"/>
      <sheetName val="ALIMENT"/>
      <sheetName val="TOTAL DEFINI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10">
          <cell r="AL10">
            <v>1703468.6666666667</v>
          </cell>
        </row>
        <row r="13">
          <cell r="AL13">
            <v>1034017.25</v>
          </cell>
        </row>
        <row r="15">
          <cell r="AL15">
            <v>1636199</v>
          </cell>
        </row>
        <row r="26">
          <cell r="AL26">
            <v>302268</v>
          </cell>
        </row>
        <row r="48">
          <cell r="AL48">
            <v>881673.33333333337</v>
          </cell>
        </row>
        <row r="50">
          <cell r="AL50">
            <v>425000</v>
          </cell>
        </row>
        <row r="54">
          <cell r="AL54">
            <v>1846798.125</v>
          </cell>
        </row>
        <row r="55">
          <cell r="AL55">
            <v>1367300</v>
          </cell>
        </row>
        <row r="57">
          <cell r="C57">
            <v>6247620</v>
          </cell>
          <cell r="D57">
            <v>19547488</v>
          </cell>
          <cell r="E57">
            <v>5258810</v>
          </cell>
          <cell r="F57">
            <v>591260</v>
          </cell>
          <cell r="I57">
            <v>465850</v>
          </cell>
          <cell r="J57">
            <v>490050</v>
          </cell>
          <cell r="L57">
            <v>511950</v>
          </cell>
          <cell r="M57">
            <v>2210400</v>
          </cell>
          <cell r="N57">
            <v>2872100</v>
          </cell>
          <cell r="O57">
            <v>720880</v>
          </cell>
          <cell r="P57">
            <v>1006840</v>
          </cell>
          <cell r="Q57">
            <v>129920</v>
          </cell>
          <cell r="S57">
            <v>130400</v>
          </cell>
          <cell r="U57">
            <v>850000</v>
          </cell>
          <cell r="W57">
            <v>839280</v>
          </cell>
          <cell r="X57">
            <v>0</v>
          </cell>
          <cell r="Y57">
            <v>0</v>
          </cell>
          <cell r="AA57">
            <v>2681000</v>
          </cell>
          <cell r="AE57">
            <v>0</v>
          </cell>
          <cell r="AF57">
            <v>40000</v>
          </cell>
          <cell r="AJ57">
            <v>160000</v>
          </cell>
        </row>
      </sheetData>
      <sheetData sheetId="61">
        <row r="96">
          <cell r="G96">
            <v>16632000</v>
          </cell>
        </row>
      </sheetData>
      <sheetData sheetId="62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ELLA JHONATHAN"/>
      <sheetName val="BARRIOS LUIS"/>
      <sheetName val="BASTIDAS ERIXON"/>
      <sheetName val="CARVAJAL EDISON"/>
      <sheetName val="GALINDEZ RAFAEL"/>
      <sheetName val="GONZALEZ HELBER"/>
      <sheetName val="GONZALES MARIO"/>
      <sheetName val="GONZALES CARLOS"/>
      <sheetName val="HIDALGO DANIEL"/>
      <sheetName val="HURTADO LILIANA"/>
      <sheetName val="MOLINA NILSON "/>
      <sheetName val="MERCHAN JHONATHAN"/>
      <sheetName val="MOLINA LUIS"/>
      <sheetName val="OLAVE EVARISTO"/>
      <sheetName val="ALONSO JORGE"/>
      <sheetName val="PATIÑO JAIRO"/>
      <sheetName val="PEREZ CARLOS"/>
      <sheetName val="HERNANDEZ JESUS"/>
      <sheetName val="DURAN ALDAIRO"/>
      <sheetName val="OLMOS JEISSON"/>
      <sheetName val="SERRANO JOSE"/>
      <sheetName val="SEGOVIA ANGEL"/>
      <sheetName val="ZAMBRANO CESAR"/>
      <sheetName val="VALENCIA EMILIANO"/>
      <sheetName val="PATIÑO MARTIN"/>
      <sheetName val="OROZCO JAIME"/>
      <sheetName val="REYES JHONATAN"/>
      <sheetName val="CENTENO JEICOLL"/>
      <sheetName val="ORTEGA ROBER"/>
      <sheetName val="ZUNIGA JORGE"/>
      <sheetName val="DIAZ EMANUEL"/>
      <sheetName val="MENDIVELSO GREGORIO"/>
      <sheetName val="CARDENAS ALBEIRO"/>
      <sheetName val="CELY MIGUEL"/>
      <sheetName val="ORTIZ LUIS"/>
      <sheetName val="JAIMES KEVIN"/>
      <sheetName val="CELY PABLO"/>
      <sheetName val="TORRES ALEXIS"/>
      <sheetName val="DAZA EVERALDO"/>
      <sheetName val="TORRES JAIR"/>
      <sheetName val="SIERRA FREDY"/>
      <sheetName val="RAMIREZ CESAR"/>
      <sheetName val="RICARDO GERARDO"/>
      <sheetName val="PATIÑO EFRAIN"/>
      <sheetName val="DITA DANIEL"/>
      <sheetName val="LILIANA HURTADO"/>
      <sheetName val="CACERES EDUAR"/>
      <sheetName val="GUTIERREZ SEBASTIAN"/>
      <sheetName val="CUSPOCA WILLIAM"/>
      <sheetName val="HORMAZA FABIO"/>
      <sheetName val="OROZCO KENIS"/>
      <sheetName val="GOMEZ JEFFERSON"/>
      <sheetName val="PEDRAZA JAVIER"/>
      <sheetName val="ALIRIO"/>
      <sheetName val="TORRES CARLOS"/>
      <sheetName val="JIMENEZ ELMER"/>
      <sheetName val="JIMENEZ JOSE"/>
      <sheetName val="BARRERA VICTOR MANUEL"/>
      <sheetName val="JEFERSON DANIEL CONTRERAS"/>
      <sheetName val="PAJARITA"/>
      <sheetName val="CONSOLIDADO"/>
      <sheetName val="ALIMENT"/>
      <sheetName val="TOTAL DEFINI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14">
          <cell r="AL14">
            <v>1576261.6666666667</v>
          </cell>
        </row>
        <row r="43">
          <cell r="AL43">
            <v>839497.33333333337</v>
          </cell>
        </row>
        <row r="44">
          <cell r="AL44">
            <v>1363103</v>
          </cell>
        </row>
        <row r="48">
          <cell r="AL48">
            <v>1077257</v>
          </cell>
        </row>
        <row r="50">
          <cell r="AL50">
            <v>1367300</v>
          </cell>
        </row>
        <row r="51">
          <cell r="AL51">
            <v>1367300</v>
          </cell>
        </row>
        <row r="52">
          <cell r="C52">
            <v>6174450</v>
          </cell>
          <cell r="D52">
            <v>23488572</v>
          </cell>
          <cell r="E52">
            <v>8923290</v>
          </cell>
          <cell r="F52">
            <v>1331630</v>
          </cell>
          <cell r="J52">
            <v>392805</v>
          </cell>
          <cell r="K52">
            <v>375550</v>
          </cell>
          <cell r="L52">
            <v>446550</v>
          </cell>
          <cell r="M52">
            <v>1500000</v>
          </cell>
          <cell r="N52">
            <v>2757550</v>
          </cell>
          <cell r="S52">
            <v>173450</v>
          </cell>
          <cell r="W52">
            <v>3277176</v>
          </cell>
          <cell r="X52">
            <v>703200</v>
          </cell>
          <cell r="Y52">
            <v>330000</v>
          </cell>
          <cell r="AA52">
            <v>3213000</v>
          </cell>
          <cell r="AG52">
            <v>720000</v>
          </cell>
        </row>
      </sheetData>
      <sheetData sheetId="61">
        <row r="92">
          <cell r="G92">
            <v>19103622.5</v>
          </cell>
        </row>
      </sheetData>
      <sheetData sheetId="62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RRIOS LUIS"/>
      <sheetName val="CARVAJAL EDISON"/>
      <sheetName val="GALINDEZ RAFAEL"/>
      <sheetName val="GONZALEZ HELBER"/>
      <sheetName val="HIDALGO DANIEL"/>
      <sheetName val="MOLINA NILSON "/>
      <sheetName val="MERCHAN JHONATHAN"/>
      <sheetName val="MOLINA LUIS"/>
      <sheetName val="OLAVE EVARISTO"/>
      <sheetName val="ALONSO JORGE"/>
      <sheetName val="PATIÑO JAIRO"/>
      <sheetName val="PEREZ CARLOS"/>
      <sheetName val="HERNANDEZ JESUS"/>
      <sheetName val="DURAN ALDAIRO"/>
      <sheetName val="OLMOS JEISSON"/>
      <sheetName val="SERRANO JOSE"/>
      <sheetName val="SEGOVIA ANGEL"/>
      <sheetName val="ZAMBRANO CESAR"/>
      <sheetName val="VALENCIA EMILIANO"/>
      <sheetName val="PATIÑO MARTIN"/>
      <sheetName val="OROZCO JAIME"/>
      <sheetName val="REYES JHONATAN"/>
      <sheetName val="CENTENO JEICOLL"/>
      <sheetName val="ORTEGA ROBER"/>
      <sheetName val="ZUNIGA JORGE"/>
      <sheetName val="DIAZ EMANUEL"/>
      <sheetName val="MENDIVELSO GREGORIO"/>
      <sheetName val="CARDENAS ALBEIRO"/>
      <sheetName val="CELY MIGUEL"/>
      <sheetName val="ORTIZ LUIS"/>
      <sheetName val="JAIMES KEVIN"/>
      <sheetName val="CELY PABLO"/>
      <sheetName val="TORRES ALEXIS"/>
      <sheetName val="DAZA EVERALDO"/>
      <sheetName val="TORRES JAIR"/>
      <sheetName val="SIERRA FREDY"/>
      <sheetName val="RAMIREZ CESAR"/>
      <sheetName val="RICARDO GERARDO"/>
      <sheetName val="LILIANA HURTADO"/>
      <sheetName val="GUTIERREZ SEBASTIAN"/>
      <sheetName val="OROZCO KENIS"/>
      <sheetName val="GOMEZ JEFFERSON"/>
      <sheetName val="PEDRAZA JAVIER"/>
      <sheetName val="ALIRIO"/>
      <sheetName val="TORRES CARLOS"/>
      <sheetName val="JIMENEZ ELMER"/>
      <sheetName val="JIMENEZ JOSE"/>
      <sheetName val="BARRERA VICTOR MANUEL"/>
      <sheetName val="JEFERSON DANIEL CONTRERAS"/>
      <sheetName val="PAJARITA"/>
      <sheetName val="CONSOLIDADO"/>
      <sheetName val="ALIMENT"/>
      <sheetName val="TOTAL DEFINI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>
        <row r="12">
          <cell r="AL12">
            <v>830898</v>
          </cell>
        </row>
        <row r="14">
          <cell r="AL14">
            <v>1422657</v>
          </cell>
        </row>
        <row r="43">
          <cell r="AL43">
            <v>730000</v>
          </cell>
        </row>
        <row r="44">
          <cell r="AL44">
            <v>942601</v>
          </cell>
        </row>
        <row r="45">
          <cell r="AL45">
            <v>403000</v>
          </cell>
        </row>
        <row r="48">
          <cell r="AL48">
            <v>807945</v>
          </cell>
        </row>
        <row r="49">
          <cell r="AL49">
            <v>1220334.3750000002</v>
          </cell>
        </row>
        <row r="50">
          <cell r="AL50">
            <v>1367300</v>
          </cell>
        </row>
        <row r="51">
          <cell r="AL51">
            <v>1367300</v>
          </cell>
        </row>
        <row r="52">
          <cell r="C52">
            <v>3296250</v>
          </cell>
          <cell r="D52">
            <v>9886986</v>
          </cell>
          <cell r="E52">
            <v>2361340</v>
          </cell>
          <cell r="F52">
            <v>370000</v>
          </cell>
          <cell r="I52">
            <v>1315050</v>
          </cell>
          <cell r="K52">
            <v>367632</v>
          </cell>
          <cell r="L52">
            <v>193700</v>
          </cell>
          <cell r="M52">
            <v>142200</v>
          </cell>
          <cell r="N52">
            <v>1518000</v>
          </cell>
          <cell r="S52"/>
          <cell r="W52">
            <v>2280000</v>
          </cell>
          <cell r="X52">
            <v>0</v>
          </cell>
          <cell r="Y52">
            <v>110000</v>
          </cell>
          <cell r="AA52">
            <v>1277500</v>
          </cell>
        </row>
      </sheetData>
      <sheetData sheetId="51">
        <row r="89">
          <cell r="G89">
            <v>7888633.75</v>
          </cell>
        </row>
      </sheetData>
      <sheetData sheetId="5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RRIOS LUIS"/>
      <sheetName val="CARVAJAL EDISON"/>
      <sheetName val="GALINDEZ RAFAEL"/>
      <sheetName val="HIDALGO DANIEL"/>
      <sheetName val="MOLINA NILSON "/>
      <sheetName val="MOLINA LUIS"/>
      <sheetName val="PATIÑO JAIRO"/>
      <sheetName val="PEREZ CARLOS"/>
      <sheetName val="HERNANDEZ JESUS"/>
      <sheetName val="DURAN ALDAIRO"/>
      <sheetName val="SERRANO JOSE"/>
      <sheetName val="SEGOVIA ANGEL"/>
      <sheetName val="ZAMBRANO CESAR"/>
      <sheetName val="VALENCIA EMILIANO"/>
      <sheetName val="PATIÑO MARTIN"/>
      <sheetName val="OROZCO JAIME"/>
      <sheetName val="REYES JHONATAN"/>
      <sheetName val="ORTEGA ROBER"/>
      <sheetName val="ORTIZ LUIS"/>
      <sheetName val="JAIMES KEVIN"/>
      <sheetName val="TORRES JAIR"/>
      <sheetName val="OROZCO KENIS"/>
      <sheetName val="GOMEZ JEFFERSON"/>
      <sheetName val="PEDRAZA JAVIER"/>
      <sheetName val="ALIRIO"/>
      <sheetName val="TORRES CARLOS"/>
      <sheetName val="BARRERA VICTOR MANUEL"/>
      <sheetName val="DURAN HORACIO"/>
      <sheetName val="GONZALEZ HELBER"/>
      <sheetName val="MEDINA JUAN"/>
      <sheetName val="BONILLA ROBINSON"/>
      <sheetName val="GOMEZ FELIPE"/>
      <sheetName val="DAZA EVERALDO"/>
      <sheetName val="ZUNIGA JORGE"/>
      <sheetName val="JIMENEZ ELMER"/>
      <sheetName val="JIMENEZ JOSE"/>
      <sheetName val="GOMEZ JESUS"/>
      <sheetName val="PAJARITA"/>
      <sheetName val="RIVERA JOAQUIN"/>
      <sheetName val="RAMIREZ MAICOLL"/>
      <sheetName val="RANGEL DIDIER"/>
      <sheetName val="RAMIREZ CESAR"/>
      <sheetName val="RICARDO GERARDO"/>
      <sheetName val="CARLOS GAMEZ"/>
      <sheetName val="CARLOS J GOMEZ"/>
      <sheetName val="COGUA JHON"/>
      <sheetName val="RODRIGUEZ DANIEL"/>
      <sheetName val="ALFONSO JOSE"/>
      <sheetName val="ALFONSO ELKIN"/>
      <sheetName val="ABRIL MARLON"/>
      <sheetName val="ANDRES FELIPE BOLIVAR"/>
      <sheetName val="BONILLA JHON"/>
      <sheetName val="PABON YEIMER"/>
      <sheetName val="GUTIERREZ LUIS"/>
      <sheetName val="PALACIOS LEANDRO"/>
      <sheetName val="BALANTA DUBER"/>
      <sheetName val="VARGAS KLEIDEIMAN"/>
      <sheetName val="MARQUEZ JESUS"/>
      <sheetName val="ALIMENT"/>
      <sheetName val="CONSOLIDADO1"/>
      <sheetName val="TOTAL DEFINIT "/>
      <sheetName val="CONS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28">
          <cell r="G28">
            <v>1269632.8125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9">
          <cell r="AL9">
            <v>1504196.6666666667</v>
          </cell>
        </row>
        <row r="26">
          <cell r="AL26">
            <v>873851</v>
          </cell>
        </row>
        <row r="27">
          <cell r="AL27">
            <v>1707196.6666666667</v>
          </cell>
        </row>
        <row r="34">
          <cell r="AL34">
            <v>953851</v>
          </cell>
        </row>
        <row r="36">
          <cell r="AL36">
            <v>791750</v>
          </cell>
        </row>
        <row r="49">
          <cell r="AL49">
            <v>1410400</v>
          </cell>
        </row>
        <row r="50">
          <cell r="AL50">
            <v>1420400</v>
          </cell>
        </row>
        <row r="52">
          <cell r="C52">
            <v>2298420</v>
          </cell>
          <cell r="D52">
            <v>22320400</v>
          </cell>
          <cell r="E52">
            <v>1044510</v>
          </cell>
          <cell r="F52">
            <v>955340</v>
          </cell>
          <cell r="I52">
            <v>839850</v>
          </cell>
          <cell r="J52">
            <v>243600</v>
          </cell>
          <cell r="K52">
            <v>106920</v>
          </cell>
          <cell r="L52">
            <v>551450</v>
          </cell>
          <cell r="M52">
            <v>1076000</v>
          </cell>
          <cell r="N52">
            <v>1434400</v>
          </cell>
          <cell r="W52">
            <v>588000</v>
          </cell>
          <cell r="X52">
            <v>0</v>
          </cell>
          <cell r="Y52">
            <v>219977.99999999997</v>
          </cell>
          <cell r="AA52">
            <v>2257500</v>
          </cell>
          <cell r="AF52">
            <v>110000</v>
          </cell>
        </row>
      </sheetData>
      <sheetData sheetId="60"/>
      <sheetData sheetId="6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RRIOS LUIS"/>
      <sheetName val="CARVAJAL EDISON"/>
      <sheetName val="HIDALGO DANIEL"/>
      <sheetName val="GALINDEZ RAFAEL"/>
      <sheetName val="MOLINA NILSON "/>
      <sheetName val="PATIÑO JAIRO"/>
      <sheetName val="PEREZ CARLOS"/>
      <sheetName val="HERNANDEZ JESUS"/>
      <sheetName val="SERRANO JOSE"/>
      <sheetName val="SEGOVIA ANGEL"/>
      <sheetName val="VALENCIA EMILIANO"/>
      <sheetName val="PATIÑO MARTIN"/>
      <sheetName val="OROZCO JAIME"/>
      <sheetName val="REYES JHONATAN"/>
      <sheetName val="ORTEGA ROBER"/>
      <sheetName val="ORTIZ LUIS"/>
      <sheetName val="JAIMES KEVIN"/>
      <sheetName val="TORRES JAIR"/>
      <sheetName val="GOMEZ JEFFERSON"/>
      <sheetName val="PEDRAZA JAVIER"/>
      <sheetName val="ALIRIO"/>
      <sheetName val="TORRES CARLOS"/>
      <sheetName val="BARRERA VICTOR MANUEL"/>
      <sheetName val="GONZALEZ HELBER"/>
      <sheetName val="GOMEZ FELIPE"/>
      <sheetName val="GOMEZ JESUS"/>
      <sheetName val="MOLINA LUIS"/>
      <sheetName val="DURAN ALDAIRO"/>
      <sheetName val="ZAMBRANO CESAR"/>
      <sheetName val="OROZCO KENIS"/>
      <sheetName val="DURAN HORACIO"/>
      <sheetName val="BONILLA ROBINSON"/>
      <sheetName val="DAZA EVERALDO"/>
      <sheetName val="ZUNIGA JORGE"/>
      <sheetName val="JIMENEZ ELMER"/>
      <sheetName val="JIMENEZ JOSE"/>
      <sheetName val="PAJARITA"/>
      <sheetName val="RIVERA JOAQUIN"/>
      <sheetName val="RAMIREZ MAICOLL"/>
      <sheetName val="RANGEL DIDIER"/>
      <sheetName val="RAMIREZ CESAR"/>
      <sheetName val="RICARDO GERARDO"/>
      <sheetName val="CARLOS GAMEZ"/>
      <sheetName val="CARLOS J GOMEZ"/>
      <sheetName val="AGUILAR EDINSON"/>
      <sheetName val="RODRIGUEZ DANIEL"/>
      <sheetName val="ALFONSO JOSE"/>
      <sheetName val="ALFONSO ELKIN"/>
      <sheetName val="PABON YEIMER"/>
      <sheetName val="GUTIERREZ LUIS"/>
      <sheetName val="BALANTA DUBER"/>
      <sheetName val="ARAQUE ANDRES"/>
      <sheetName val="ESLAVA YEFRI"/>
      <sheetName val="PALACIOS LEANDRO"/>
      <sheetName val="RODRIGUEZ RICHARD"/>
      <sheetName val="FLOREZ CRISTIAN"/>
      <sheetName val="RODRIGUEZ JESUS"/>
      <sheetName val="ABRIL MARLON"/>
      <sheetName val="ALIMENT"/>
      <sheetName val="CONSOLIDADO1"/>
      <sheetName val="TOTAL DEFINIT "/>
      <sheetName val="CONS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8">
          <cell r="AL8">
            <v>1575960.6666666667</v>
          </cell>
        </row>
        <row r="22">
          <cell r="AL22">
            <v>889153</v>
          </cell>
        </row>
        <row r="23">
          <cell r="AL23">
            <v>1644396.6666666667</v>
          </cell>
        </row>
        <row r="27">
          <cell r="AL27">
            <v>960903</v>
          </cell>
        </row>
        <row r="28">
          <cell r="AL28">
            <v>1299997.96875</v>
          </cell>
        </row>
        <row r="29">
          <cell r="AL29">
            <v>935995.5</v>
          </cell>
        </row>
        <row r="45">
          <cell r="AL45">
            <v>1438400</v>
          </cell>
        </row>
        <row r="46">
          <cell r="C46">
            <v>0</v>
          </cell>
          <cell r="D46">
            <v>21347060</v>
          </cell>
          <cell r="E46">
            <v>3967954</v>
          </cell>
          <cell r="F46">
            <v>1023208</v>
          </cell>
          <cell r="I46">
            <v>1701700</v>
          </cell>
          <cell r="J46">
            <v>226100</v>
          </cell>
          <cell r="K46">
            <v>188190</v>
          </cell>
          <cell r="L46">
            <v>468700</v>
          </cell>
          <cell r="M46">
            <v>660000</v>
          </cell>
          <cell r="N46">
            <v>2860000</v>
          </cell>
          <cell r="T46">
            <v>24000</v>
          </cell>
          <cell r="W46">
            <v>1576000</v>
          </cell>
          <cell r="X46">
            <v>0</v>
          </cell>
          <cell r="Y46">
            <v>116250</v>
          </cell>
          <cell r="AA46">
            <v>2593500</v>
          </cell>
          <cell r="AF46">
            <v>300000</v>
          </cell>
        </row>
      </sheetData>
      <sheetData sheetId="60"/>
      <sheetData sheetId="6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RRIOS LUIS"/>
      <sheetName val="CARVAJAL EDISON"/>
      <sheetName val="HIDALGO DANIEL"/>
      <sheetName val="MOLINA NILSON "/>
      <sheetName val="PATIÑO JAIRO"/>
      <sheetName val="PEREZ CARLOS"/>
      <sheetName val="HERNANDEZ JESUS"/>
      <sheetName val="SERRANO JOSE"/>
      <sheetName val="SEGOVIA ANGEL"/>
      <sheetName val="VALENCIA EMILIANO"/>
      <sheetName val="PATIÑO MARTIN"/>
      <sheetName val="OROZCO JAIME"/>
      <sheetName val="REYES JHONATAN"/>
      <sheetName val="ORTEGA ROBER"/>
      <sheetName val="ORTIZ LUIS"/>
      <sheetName val="JAIMES KEVIN"/>
      <sheetName val="TORRES JAIR"/>
      <sheetName val="GOMEZ JEFFERSON"/>
      <sheetName val="PEDRAZA JAVIER"/>
      <sheetName val="ALIRIO"/>
      <sheetName val="TORRES CARLOS"/>
      <sheetName val="BARRERA VICTOR MANUEL"/>
      <sheetName val="GONZALEZ HELBER"/>
      <sheetName val="GOMEZ FELIPE"/>
      <sheetName val="GALINDEZ RAFAEL"/>
      <sheetName val="PABON YEIMER"/>
      <sheetName val="MOLINA LUIS"/>
      <sheetName val="DURAN ALDAIRO"/>
      <sheetName val="ZAMBRANO CESAR"/>
      <sheetName val="OROZCO KENIS"/>
      <sheetName val="DURAN HORACIO"/>
      <sheetName val="BONILLA ROBINSON"/>
      <sheetName val="DAZA EVERALDO"/>
      <sheetName val="ZUNIGA JORGE"/>
      <sheetName val="JIMENEZ ELMER"/>
      <sheetName val="JIMENEZ JOSE"/>
      <sheetName val="RIVERA JOAQUIN"/>
      <sheetName val="PAJARITA"/>
      <sheetName val="CARLOS GAMEZ"/>
      <sheetName val="CARLOS J GOMEZ"/>
      <sheetName val="AGUILAR EDINSON"/>
      <sheetName val="ALFONSO JOSE"/>
      <sheetName val="ALFONSO ELKIN"/>
      <sheetName val="BALANTA DUBER"/>
      <sheetName val="ARAQUE ANDRES"/>
      <sheetName val="ESLAVA YEFRI"/>
      <sheetName val="PALACIOS LEANDRO"/>
      <sheetName val="RODRIGUEZ RICHARD"/>
      <sheetName val="SERPA GUSTAVO"/>
      <sheetName val="ZAMBRANO JOSE"/>
      <sheetName val="FLOREZ CRISTIAN"/>
      <sheetName val="RODRIGUEZ JESUS"/>
      <sheetName val="CARDENAS ALEXANDER"/>
      <sheetName val="ARIAS HECTOR"/>
      <sheetName val="RAMIREZ MAICOLL"/>
      <sheetName val="RANGEL DIDIER"/>
      <sheetName val="RAMIREZ CESAR"/>
      <sheetName val="RICARDO GERARDO"/>
      <sheetName val="ALIMENT"/>
      <sheetName val="CONSOLIDADO1"/>
      <sheetName val="TOTAL DEFINIT "/>
      <sheetName val="CONS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47">
          <cell r="C47">
            <v>11116369.5</v>
          </cell>
          <cell r="D47">
            <v>23400048</v>
          </cell>
          <cell r="E47">
            <v>2644040</v>
          </cell>
          <cell r="F47">
            <v>949208</v>
          </cell>
          <cell r="I47">
            <v>879450</v>
          </cell>
          <cell r="J47">
            <v>110850</v>
          </cell>
          <cell r="K47">
            <v>188730</v>
          </cell>
          <cell r="L47">
            <v>291850</v>
          </cell>
          <cell r="M47">
            <v>30000</v>
          </cell>
          <cell r="N47">
            <v>3496350</v>
          </cell>
          <cell r="W47">
            <v>825000</v>
          </cell>
          <cell r="X47">
            <v>260000</v>
          </cell>
          <cell r="AA47">
            <v>2831500</v>
          </cell>
          <cell r="AC47">
            <v>198000</v>
          </cell>
          <cell r="AF47">
            <v>230000</v>
          </cell>
        </row>
      </sheetData>
      <sheetData sheetId="60">
        <row r="7">
          <cell r="D7">
            <v>1354507.03125</v>
          </cell>
        </row>
        <row r="24">
          <cell r="D24">
            <v>1606804.3333333333</v>
          </cell>
        </row>
        <row r="26">
          <cell r="D26">
            <v>1588595.4583333333</v>
          </cell>
        </row>
        <row r="42">
          <cell r="D42">
            <v>932809.25</v>
          </cell>
        </row>
        <row r="43">
          <cell r="D43">
            <v>932809.25</v>
          </cell>
        </row>
      </sheetData>
      <sheetData sheetId="6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RRIOS LUIS"/>
      <sheetName val="CARVAJAL EDISON"/>
      <sheetName val="HIDALGO DANIEL"/>
      <sheetName val="MOLINA NILSON "/>
      <sheetName val="PATIÑO JAIRO"/>
      <sheetName val="HERNANDEZ JESUS"/>
      <sheetName val="SERRANO JOSE"/>
      <sheetName val="SEGOVIA ANGEL"/>
      <sheetName val="VALENCIA EMILIANO"/>
      <sheetName val="PATIÑO MARTIN"/>
      <sheetName val="REYES JHONATAN"/>
      <sheetName val="ORTIZ LUIS"/>
      <sheetName val="JAIMES KEVIN"/>
      <sheetName val="TORRES JAIR"/>
      <sheetName val="GOMEZ JEFFERSON"/>
      <sheetName val="PEDRAZA JAVIER"/>
      <sheetName val="ALIRIO"/>
      <sheetName val="TORRES CARLOS"/>
      <sheetName val="BARRERA VICTOR MANUEL"/>
      <sheetName val="GONZALEZ HELBER"/>
      <sheetName val="GOMEZ FELIPE"/>
      <sheetName val="PAJARITA"/>
      <sheetName val="CARLOS GAMEZ"/>
      <sheetName val="CARLOS J GOMEZ"/>
      <sheetName val="AGUILAR EDINSON"/>
      <sheetName val="PABON YEIMER"/>
      <sheetName val="RODRIGUEZ RICHARD"/>
      <sheetName val="SERPA GUSTAVO"/>
      <sheetName val="ZAMBRANO JOSE"/>
      <sheetName val="FLOREZ CRISTIAN"/>
      <sheetName val="CARDENAS ALEXANDER"/>
      <sheetName val="RINCON HECTOR"/>
      <sheetName val="AGUILAR JHON"/>
      <sheetName val="ORDOÑEZ FREDY"/>
      <sheetName val="USECHE FAVER"/>
      <sheetName val="LOPEZ JESUS"/>
      <sheetName val="ARIAS HECTOR"/>
      <sheetName val="MELGAREJO LUIS"/>
      <sheetName val="RODRIGUEZ JESUS"/>
      <sheetName val="SANCHEZ SEBASTIAN"/>
      <sheetName val="JIMENEZ JOSE"/>
      <sheetName val="PEREZ JAVIER"/>
      <sheetName val="RAMIREZ MAICOLL"/>
      <sheetName val="MANRRIQUE JHON"/>
      <sheetName val="ANDRADE YEIMER"/>
      <sheetName val="SERRANO ANIBAL"/>
      <sheetName val="FUENTES DAVID"/>
      <sheetName val="DURAN ALDAIRO"/>
      <sheetName val="GALINDEZ RAFAEL"/>
      <sheetName val="MOLINA LUIS"/>
      <sheetName val="ZAMBRANO CESAR"/>
      <sheetName val="OROZCO KENIS"/>
      <sheetName val="RIVERA JOAQUIN"/>
      <sheetName val="RAMIREZ CESAR"/>
      <sheetName val="RICARDO GERARDO"/>
      <sheetName val="OSMAN BENITEZ"/>
      <sheetName val="CONSOLIDADO1"/>
      <sheetName val="ALIMENT"/>
      <sheetName val="TOTAL DEFINIT "/>
      <sheetName val="CONS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19">
          <cell r="AL19">
            <v>1108277.5</v>
          </cell>
        </row>
        <row r="20">
          <cell r="AL20">
            <v>1631396.6666666667</v>
          </cell>
        </row>
        <row r="23">
          <cell r="AL23">
            <v>1421307.03125</v>
          </cell>
        </row>
        <row r="24">
          <cell r="AL24">
            <v>1414832.6666666667</v>
          </cell>
        </row>
        <row r="35">
          <cell r="AL35">
            <v>908429</v>
          </cell>
        </row>
        <row r="49">
          <cell r="AL49">
            <v>646356</v>
          </cell>
        </row>
        <row r="52">
          <cell r="C52">
            <v>6674362.5</v>
          </cell>
          <cell r="D52">
            <v>30501516</v>
          </cell>
          <cell r="E52">
            <v>20000</v>
          </cell>
          <cell r="I52">
            <v>1509000</v>
          </cell>
          <cell r="J52">
            <v>294360</v>
          </cell>
          <cell r="K52">
            <v>431250</v>
          </cell>
          <cell r="L52">
            <v>1263000</v>
          </cell>
          <cell r="M52">
            <v>676260</v>
          </cell>
          <cell r="N52">
            <v>1579050</v>
          </cell>
          <cell r="O52">
            <v>1430832</v>
          </cell>
          <cell r="P52">
            <v>836352</v>
          </cell>
          <cell r="Q52">
            <v>27960</v>
          </cell>
          <cell r="R52">
            <v>1792230</v>
          </cell>
          <cell r="S52">
            <v>76200</v>
          </cell>
          <cell r="W52">
            <v>2591000</v>
          </cell>
          <cell r="X52">
            <v>0</v>
          </cell>
          <cell r="Y52">
            <v>299500</v>
          </cell>
          <cell r="AA52">
            <v>2915250</v>
          </cell>
          <cell r="AE52">
            <v>0</v>
          </cell>
          <cell r="AF52">
            <v>30000</v>
          </cell>
        </row>
      </sheetData>
      <sheetData sheetId="57">
        <row r="81">
          <cell r="G81">
            <v>11607375</v>
          </cell>
        </row>
        <row r="85">
          <cell r="G85">
            <v>950000</v>
          </cell>
        </row>
      </sheetData>
      <sheetData sheetId="58"/>
      <sheetData sheetId="59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RRIOS LUIS"/>
      <sheetName val="CARVAJAL EDISON"/>
      <sheetName val="HIDALGO DANIEL"/>
      <sheetName val="MOLINA NILSON "/>
      <sheetName val="PATIÑO JAIRO"/>
      <sheetName val="HERNANDEZ JESUS"/>
      <sheetName val="SERRANO JOSE"/>
      <sheetName val="SEGOVIA ANGEL"/>
      <sheetName val="VALENCIA EMILIANO"/>
      <sheetName val="PATIÑO MARTIN"/>
      <sheetName val="REYES JHONATAN"/>
      <sheetName val="ORTIZ LUIS"/>
      <sheetName val="JAIMES KEVIN"/>
      <sheetName val="GOMEZ JEFFERSON"/>
      <sheetName val="PEDRAZA JAVIER"/>
      <sheetName val="ALIRIO"/>
      <sheetName val="TORRES CARLOS"/>
      <sheetName val="BARRERA VICTOR MANUEL"/>
      <sheetName val="GOMEZ FELIPE"/>
      <sheetName val="PAJARITA"/>
      <sheetName val="CARLOS GAMEZ"/>
      <sheetName val="CARLOS J GOMEZ"/>
      <sheetName val="AGUILAR EDINSON"/>
      <sheetName val="PABON YEIMER"/>
      <sheetName val="RODRIGUEZ RICHARD"/>
      <sheetName val="SERPA GUSTAVO"/>
      <sheetName val="ZAMBRANO JOSE"/>
      <sheetName val="FLOREZ CRISTIAN"/>
      <sheetName val="CARDENAS ALEXANDER"/>
      <sheetName val="RINCON HECTOR"/>
      <sheetName val="AGUILAR JHON"/>
      <sheetName val="ORDOÑEZ FREDY"/>
      <sheetName val="USECHE FAVER"/>
      <sheetName val="LOPEZ JESUS"/>
      <sheetName val="ARIAS HECTOR"/>
      <sheetName val="MELGAREJO LUIS"/>
      <sheetName val="RODRIGUEZ JESUS"/>
      <sheetName val="SANCHEZ SEBASTIAN"/>
      <sheetName val="JIMENEZ JOSE"/>
      <sheetName val="PEREZ JAVIER"/>
      <sheetName val="MANRRIQUE JHON"/>
      <sheetName val="ANDRADE YEIMER"/>
      <sheetName val="SERRANO ANIBAL"/>
      <sheetName val="FUENTES DAVID"/>
      <sheetName val="DURAN ALDAIRO"/>
      <sheetName val="ESPEJO LUIS"/>
      <sheetName val="MORENO WILFER"/>
      <sheetName val="RAMIREZ CESAR"/>
      <sheetName val="RAMIREZ MAICOLL"/>
      <sheetName val="GALINDEZ RAFAEL"/>
      <sheetName val="RIVERA JOAQUIN"/>
      <sheetName val="RICARDO GERARDO"/>
      <sheetName val="OSMAN BENITEZ"/>
      <sheetName val="JIMENEZ HELMER"/>
      <sheetName val="MARIÑO CESAR"/>
      <sheetName val="OSMAN BENITEZ (2)"/>
      <sheetName val="CONSOLIDADO1"/>
      <sheetName val="ALIMENT"/>
      <sheetName val="TOTAL DEFINIT "/>
      <sheetName val="CONS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18">
          <cell r="AL18">
            <v>869153</v>
          </cell>
        </row>
        <row r="19">
          <cell r="AL19">
            <v>1326805.6666666667</v>
          </cell>
        </row>
        <row r="22">
          <cell r="AL22">
            <v>1409541.875</v>
          </cell>
        </row>
        <row r="23">
          <cell r="AL23">
            <v>945229</v>
          </cell>
        </row>
        <row r="34">
          <cell r="AL34">
            <v>840693.5</v>
          </cell>
        </row>
        <row r="51">
          <cell r="AL51">
            <v>1956128</v>
          </cell>
        </row>
        <row r="53">
          <cell r="AL53">
            <v>754082</v>
          </cell>
        </row>
        <row r="56">
          <cell r="C56">
            <v>6441190</v>
          </cell>
          <cell r="D56">
            <v>36479898</v>
          </cell>
          <cell r="F56">
            <v>1067500</v>
          </cell>
          <cell r="I56">
            <v>1594000</v>
          </cell>
          <cell r="J56">
            <v>425370</v>
          </cell>
          <cell r="K56">
            <v>283750</v>
          </cell>
          <cell r="L56">
            <v>625800</v>
          </cell>
          <cell r="M56">
            <v>0</v>
          </cell>
          <cell r="N56">
            <v>2174700</v>
          </cell>
          <cell r="O56">
            <v>1147240</v>
          </cell>
          <cell r="P56">
            <v>382950</v>
          </cell>
          <cell r="Q56">
            <v>142632</v>
          </cell>
          <cell r="R56">
            <v>3034950</v>
          </cell>
          <cell r="S56">
            <v>0</v>
          </cell>
          <cell r="W56">
            <v>6265500.0000000009</v>
          </cell>
          <cell r="X56">
            <v>0</v>
          </cell>
          <cell r="Y56">
            <v>329993.99999999994</v>
          </cell>
          <cell r="AA56">
            <v>3549000</v>
          </cell>
          <cell r="AF56">
            <v>70000</v>
          </cell>
          <cell r="AG56">
            <v>680000</v>
          </cell>
        </row>
      </sheetData>
      <sheetData sheetId="57">
        <row r="82">
          <cell r="G82">
            <v>14098500</v>
          </cell>
        </row>
        <row r="86">
          <cell r="G86">
            <v>1032500</v>
          </cell>
        </row>
      </sheetData>
      <sheetData sheetId="58"/>
      <sheetData sheetId="59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RRIOS LUIS"/>
      <sheetName val="CARVAJAL EDISON"/>
      <sheetName val="HIDALGO DANIEL"/>
      <sheetName val="MOLINA NILSON "/>
      <sheetName val="PATIÑO JAIRO"/>
      <sheetName val="HERNANDEZ JESUS"/>
      <sheetName val="SERRANO JOSE"/>
      <sheetName val="SEGOVIA ANGEL"/>
      <sheetName val="VALENCIA EMILIANO"/>
      <sheetName val="PATIÑO MARTIN"/>
      <sheetName val="REYES JHONATAN"/>
      <sheetName val="ORTIZ LUIS"/>
      <sheetName val="JAIMES KEVIN"/>
      <sheetName val="GOMEZ JEFFERSON"/>
      <sheetName val="PEDRAZA JAVIER"/>
      <sheetName val="ALIRIO"/>
      <sheetName val="TORRES CARLOS"/>
      <sheetName val="BARRERA VICTOR MANUEL"/>
      <sheetName val="GOMEZ FELIPE"/>
      <sheetName val="PAJARITA"/>
      <sheetName val="CARLOS GAMEZ"/>
      <sheetName val="CARLOS J GOMEZ"/>
      <sheetName val="PABON YEIMER"/>
      <sheetName val="RODRIGUEZ RICHARD"/>
      <sheetName val="SERPA GUSTAVO"/>
      <sheetName val="ZAMBRANO JOSE"/>
      <sheetName val="FLOREZ CRISTIAN"/>
      <sheetName val="CARDENAS ALEXANDER"/>
      <sheetName val="AGUILAR EDINSON"/>
      <sheetName val="RINCON HECTOR"/>
      <sheetName val="AGUILAR JHON"/>
      <sheetName val="ORDOÑEZ FREDY"/>
      <sheetName val="USECHE FAVER"/>
      <sheetName val="LOPEZ JESUS"/>
      <sheetName val="ARIAS HECTOR"/>
      <sheetName val="MELGAREJO LUIS"/>
      <sheetName val="RODRIGUEZ JESUS"/>
      <sheetName val="SANCHEZ SEBASTIAN"/>
      <sheetName val="JIMENEZ JOSE"/>
      <sheetName val="PEREZ JAVIER"/>
      <sheetName val="ANDRADE YEIMER"/>
      <sheetName val="SERRANO ANIBAL"/>
      <sheetName val="FUENTES DAVID"/>
      <sheetName val="DURAN ALDAIRO"/>
      <sheetName val="ESPEJO LUIS"/>
      <sheetName val="JIMENEZ HELMER"/>
      <sheetName val="MARIÑO CESAR"/>
      <sheetName val="RAMIREZ CESAR"/>
      <sheetName val="MORENO WILFER"/>
      <sheetName val="OSMAN BENITEZ"/>
      <sheetName val="OSMAN BENITEZ (2)"/>
      <sheetName val="MANRRIQUE JHON"/>
      <sheetName val="RAMIREZ MAICOLL"/>
      <sheetName val="GALINDEZ RAFAEL"/>
      <sheetName val="RIVERA JOAQUIN"/>
      <sheetName val="RICARDO GERARDO"/>
      <sheetName val="ALIMENT"/>
      <sheetName val="TOTAL DEFINIT "/>
      <sheetName val="CONSOLIDADO1"/>
      <sheetName val="CONS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80">
          <cell r="G80">
            <v>13485712.5</v>
          </cell>
        </row>
        <row r="84">
          <cell r="G84">
            <v>642000</v>
          </cell>
        </row>
      </sheetData>
      <sheetData sheetId="57"/>
      <sheetData sheetId="58">
        <row r="18">
          <cell r="AL18">
            <v>869153</v>
          </cell>
        </row>
        <row r="19">
          <cell r="AL19">
            <v>1206334.9166666667</v>
          </cell>
        </row>
        <row r="22">
          <cell r="AL22">
            <v>1231063.125</v>
          </cell>
        </row>
        <row r="23">
          <cell r="AL23">
            <v>1047945</v>
          </cell>
        </row>
        <row r="33">
          <cell r="AL33">
            <v>825391.5</v>
          </cell>
        </row>
        <row r="49">
          <cell r="AL49">
            <v>1071353.3333333333</v>
          </cell>
        </row>
        <row r="54">
          <cell r="C54">
            <v>9316990</v>
          </cell>
          <cell r="D54">
            <v>21645195</v>
          </cell>
          <cell r="F54">
            <v>560000</v>
          </cell>
          <cell r="I54">
            <v>1591950</v>
          </cell>
          <cell r="J54">
            <v>327690</v>
          </cell>
          <cell r="K54">
            <v>188475</v>
          </cell>
          <cell r="L54">
            <v>718800</v>
          </cell>
          <cell r="N54">
            <v>1626900</v>
          </cell>
          <cell r="O54">
            <v>746368</v>
          </cell>
          <cell r="P54">
            <v>608400</v>
          </cell>
          <cell r="Q54">
            <v>274160</v>
          </cell>
          <cell r="S54">
            <v>0</v>
          </cell>
          <cell r="W54">
            <v>5261000</v>
          </cell>
          <cell r="Y54">
            <v>341730</v>
          </cell>
          <cell r="AA54">
            <v>2516750</v>
          </cell>
          <cell r="AF54">
            <v>20000</v>
          </cell>
          <cell r="AG54">
            <v>593300</v>
          </cell>
        </row>
      </sheetData>
      <sheetData sheetId="59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RRIOS LUIS"/>
      <sheetName val="CARVAJAL EDISON"/>
      <sheetName val="HIDALGO DANIEL"/>
      <sheetName val="MOLINA NILSON "/>
      <sheetName val="PATIÑO JAIRO"/>
      <sheetName val="HERNANDEZ JESUS"/>
      <sheetName val="SERRANO JOSE"/>
      <sheetName val="SEGOVIA ANGEL"/>
      <sheetName val="VALENCIA EMILIANO"/>
      <sheetName val="PATIÑO MARTIN"/>
      <sheetName val="REYES JHONATAN"/>
      <sheetName val="ORTIZ LUIS"/>
      <sheetName val="JAIMES KEVIN"/>
      <sheetName val="GOMEZ JEFFERSON"/>
      <sheetName val="PEDRAZA JAVIER"/>
      <sheetName val="ALIRIO"/>
      <sheetName val="TORRES CARLOS"/>
      <sheetName val="BARRERA VICTOR MANUEL"/>
      <sheetName val="GOMEZ FELIPE"/>
      <sheetName val="PAJARITA"/>
      <sheetName val="CARLOS GAMEZ"/>
      <sheetName val="CARLOS J GOMEZ"/>
      <sheetName val="PABON YEIMER"/>
      <sheetName val="RODRIGUEZ RICHARD"/>
      <sheetName val="SERPA GUSTAVO"/>
      <sheetName val="ZAMBRANO JOSE"/>
      <sheetName val="FLOREZ CRISTIAN"/>
      <sheetName val="CARDENAS ALEXANDER"/>
      <sheetName val="RINCON HECTOR"/>
      <sheetName val="AGUILAR JHON"/>
      <sheetName val="ORDOÑEZ FREDY"/>
      <sheetName val="USECHE FAVER"/>
      <sheetName val="LOPEZ JESUS"/>
      <sheetName val="ARIAS HECTOR"/>
      <sheetName val="MELGAREJO LUIS"/>
      <sheetName val="RODRIGUEZ JESUS"/>
      <sheetName val="SANCHEZ SEBASTIAN"/>
      <sheetName val="JIMENEZ JOSE"/>
      <sheetName val="PEREZ JAVIER"/>
      <sheetName val="ANDRADE YEIMER"/>
      <sheetName val="SERRANO ANIBAL"/>
      <sheetName val="FUENTES DAVID"/>
      <sheetName val="DURAN ALDAIRO"/>
      <sheetName val="ESPEJO LUIS"/>
      <sheetName val="MARIÑO CESAR"/>
      <sheetName val="RAMIREZ CESAR"/>
      <sheetName val="MORENO WILFER"/>
      <sheetName val="AGUILAR EDINSON"/>
      <sheetName val="JIMENEZ HELMER"/>
      <sheetName val="MANRRIQUE JHON"/>
      <sheetName val="RAMIREZ MAICOLL"/>
      <sheetName val="GALINDEZ RAFAEL"/>
      <sheetName val="RIVERA JOAQUIN"/>
      <sheetName val="RICARDO GERARDO"/>
      <sheetName val="OSMAN BENITEZ"/>
      <sheetName val="ALIMENT"/>
      <sheetName val="CONSOLIDADO1"/>
      <sheetName val="TOTAL DEFINIT "/>
      <sheetName val="CONSIG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>
        <row r="79">
          <cell r="G79">
            <v>13311187.5</v>
          </cell>
        </row>
        <row r="83">
          <cell r="G83">
            <v>853000</v>
          </cell>
        </row>
      </sheetData>
      <sheetData sheetId="56" refreshError="1">
        <row r="18">
          <cell r="AL18">
            <v>994017.25</v>
          </cell>
        </row>
        <row r="19">
          <cell r="AL19">
            <v>1038805.25</v>
          </cell>
        </row>
        <row r="22">
          <cell r="AL22">
            <v>1338297.96875</v>
          </cell>
        </row>
        <row r="23">
          <cell r="AL23">
            <v>1094096.9166666667</v>
          </cell>
        </row>
        <row r="33">
          <cell r="AL33">
            <v>825391.5</v>
          </cell>
        </row>
        <row r="48">
          <cell r="AL48">
            <v>1240303.3333333333</v>
          </cell>
        </row>
        <row r="50">
          <cell r="AL50">
            <v>694475.1</v>
          </cell>
        </row>
        <row r="51">
          <cell r="AL51">
            <v>1438400</v>
          </cell>
        </row>
        <row r="53">
          <cell r="C53">
            <v>9275570</v>
          </cell>
          <cell r="D53">
            <v>24846666</v>
          </cell>
          <cell r="F53">
            <v>786800</v>
          </cell>
          <cell r="I53">
            <v>379500</v>
          </cell>
          <cell r="J53">
            <v>230010</v>
          </cell>
          <cell r="K53">
            <v>156250</v>
          </cell>
          <cell r="L53">
            <v>719400</v>
          </cell>
          <cell r="M53">
            <v>340000</v>
          </cell>
          <cell r="N53">
            <v>2331665</v>
          </cell>
          <cell r="O53">
            <v>906472</v>
          </cell>
          <cell r="P53">
            <v>503550</v>
          </cell>
          <cell r="Q53">
            <v>183920</v>
          </cell>
          <cell r="R53">
            <v>433540</v>
          </cell>
          <cell r="S53">
            <v>21000</v>
          </cell>
          <cell r="W53">
            <v>4425400</v>
          </cell>
          <cell r="Y53">
            <v>329975.99999999994</v>
          </cell>
          <cell r="AA53">
            <v>2798250</v>
          </cell>
          <cell r="AC53">
            <v>200000</v>
          </cell>
          <cell r="AF53">
            <v>40000</v>
          </cell>
        </row>
      </sheetData>
      <sheetData sheetId="57" refreshError="1"/>
      <sheetData sheetId="5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RRIOS LUIS"/>
      <sheetName val="CARVAJAL EDISON"/>
      <sheetName val="HIDALGO DANIEL"/>
      <sheetName val="MOLINA NILSON "/>
      <sheetName val="PATIÑO JAIRO"/>
      <sheetName val="HERNANDEZ JESUS"/>
      <sheetName val="SERRANO JOSE"/>
      <sheetName val="SEGOVIA ANGEL"/>
      <sheetName val="VALENCIA EMILIANO"/>
      <sheetName val="PATIÑO MARTIN"/>
      <sheetName val="REYES JHONATAN"/>
      <sheetName val="ORTIZ LUIS"/>
      <sheetName val="JAIMES KEVIN"/>
      <sheetName val="GOMEZ JEFFERSON"/>
      <sheetName val="PEDRAZA JAVIER"/>
      <sheetName val="ALIRIO"/>
      <sheetName val="TORRES CARLOS"/>
      <sheetName val="GALVIS ALEXANDER"/>
      <sheetName val="GOMEZ FELIPE"/>
      <sheetName val="PAJARITA"/>
      <sheetName val="CARLOS GAMEZ"/>
      <sheetName val="CARLOS J GOMEZ"/>
      <sheetName val="PABON YEIMER"/>
      <sheetName val="RODRIGUEZ RICHARD"/>
      <sheetName val="SERPA GUSTAVO"/>
      <sheetName val="ZAMBRANO JOSE"/>
      <sheetName val="FLOREZ CRISTIAN"/>
      <sheetName val="CARDENAS ALEXANDER"/>
      <sheetName val="AGUILAR JHON"/>
      <sheetName val="ORDOÑEZ FREDY"/>
      <sheetName val="USECHE FAVER"/>
      <sheetName val="LOPEZ JESUS"/>
      <sheetName val="ARIAS HECTOR"/>
      <sheetName val="RODRIGUEZ JESUS"/>
      <sheetName val="SANCHEZ SEBASTIAN"/>
      <sheetName val="JIMENEZ JOSE"/>
      <sheetName val="PEREZ JAVIER"/>
      <sheetName val="ANDRADE YEIMER"/>
      <sheetName val="SERRANO ANIBAL"/>
      <sheetName val="FUENTES DAVID"/>
      <sheetName val="DURAN ALDAIRO"/>
      <sheetName val="ESPEJO LUIS"/>
      <sheetName val="MARIÑO CESAR"/>
      <sheetName val="RODRIGUEZ DEIMER"/>
      <sheetName val="PARADA ORLANDO"/>
      <sheetName val="RAMIREZ CESAR"/>
      <sheetName val="MORENO WILFER"/>
      <sheetName val="AGUILAR EDINSON"/>
      <sheetName val="JIMENEZ HELMER"/>
      <sheetName val="MANRRIQUE JHON"/>
      <sheetName val="RAMIREZ MAICOLL"/>
      <sheetName val="GALINDEZ RAFAEL"/>
      <sheetName val="RIVERA JOAQUIN"/>
      <sheetName val="RICARDO GERARDO"/>
      <sheetName val="OSMAN BENITEZ"/>
      <sheetName val="CONSOLIDADO1"/>
      <sheetName val="ALIMENT"/>
      <sheetName val="TOTAL DEFINIT "/>
      <sheetName val="CONS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18">
          <cell r="AL18">
            <v>869153</v>
          </cell>
        </row>
        <row r="19">
          <cell r="AL19">
            <v>1191192.6666666667</v>
          </cell>
        </row>
        <row r="22">
          <cell r="AL22">
            <v>1467493.4375</v>
          </cell>
        </row>
        <row r="23">
          <cell r="AL23">
            <v>1063573</v>
          </cell>
        </row>
        <row r="31">
          <cell r="AL31">
            <v>789482</v>
          </cell>
        </row>
        <row r="40">
          <cell r="AL40">
            <v>711750</v>
          </cell>
        </row>
        <row r="47">
          <cell r="AL47">
            <v>912900</v>
          </cell>
        </row>
        <row r="52">
          <cell r="D52">
            <v>28406430</v>
          </cell>
          <cell r="F52">
            <v>1136450</v>
          </cell>
          <cell r="I52">
            <v>1850000</v>
          </cell>
          <cell r="J52">
            <v>312180</v>
          </cell>
          <cell r="K52">
            <v>353000</v>
          </cell>
          <cell r="L52">
            <v>1138200</v>
          </cell>
          <cell r="M52">
            <v>81200.000000000015</v>
          </cell>
          <cell r="N52">
            <v>2230250</v>
          </cell>
          <cell r="O52">
            <v>248000</v>
          </cell>
          <cell r="P52">
            <v>809820</v>
          </cell>
          <cell r="Q52">
            <v>108000</v>
          </cell>
          <cell r="S52">
            <v>128100</v>
          </cell>
          <cell r="W52">
            <v>4904600</v>
          </cell>
          <cell r="Y52">
            <v>329975.99999999994</v>
          </cell>
          <cell r="AA52">
            <v>2598250</v>
          </cell>
          <cell r="AF52">
            <v>30000</v>
          </cell>
        </row>
      </sheetData>
      <sheetData sheetId="56">
        <row r="78">
          <cell r="G78">
            <v>12967500</v>
          </cell>
        </row>
        <row r="82">
          <cell r="G82">
            <v>610000</v>
          </cell>
        </row>
      </sheetData>
      <sheetData sheetId="57"/>
      <sheetData sheetId="58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RRIOS LUIS"/>
      <sheetName val="CARVAJAL EDISON"/>
      <sheetName val="HIDALGO DANIEL"/>
      <sheetName val="MOLINA NILSON "/>
      <sheetName val="PATIÑO JAIRO"/>
      <sheetName val="HERNANDEZ JESUS"/>
      <sheetName val="SERRANO JOSE"/>
      <sheetName val="SEGOVIA ANGEL"/>
      <sheetName val="VALENCIA EMILIANO"/>
      <sheetName val="PATIÑO MARTIN"/>
      <sheetName val="REYES JHONATAN"/>
      <sheetName val="ORTIZ LUIS"/>
      <sheetName val="GOMEZ JEFFERSON"/>
      <sheetName val="PEDRAZA JAVIER"/>
      <sheetName val="ALIRIO"/>
      <sheetName val="TORRES CARLOS"/>
      <sheetName val="GALVIS ALEXANDER"/>
      <sheetName val="GOMEZ FELIPE"/>
      <sheetName val="PAJARITA"/>
      <sheetName val="CARLOS GAMEZ"/>
      <sheetName val="CARLOS J GOMEZ"/>
      <sheetName val="PABON YEIMER"/>
      <sheetName val="RODRIGUEZ RICHARD"/>
      <sheetName val="SERPA GUSTAVO"/>
      <sheetName val="CARDENAS ALEXANDER"/>
      <sheetName val="AGUILAR JHON"/>
      <sheetName val="ORDOÑEZ FREDY"/>
      <sheetName val="USECHE FAVER"/>
      <sheetName val="LOPEZ JESUS"/>
      <sheetName val="RODRIGUEZ JESUS"/>
      <sheetName val="SANCHEZ SEBASTIAN"/>
      <sheetName val="PEREZ JAVIER"/>
      <sheetName val="ANDRADE YEIMER"/>
      <sheetName val="SERRANO ANIBAL"/>
      <sheetName val="FUENTES DAVID"/>
      <sheetName val="ESPEJO LUIS"/>
      <sheetName val="RODRIGUEZ FABIAN"/>
      <sheetName val="PEDRAZA FERNANDO"/>
      <sheetName val="LOPEZ LUIS"/>
      <sheetName val="CUTA LUIS"/>
      <sheetName val="PEREZ MARCO"/>
      <sheetName val="MARIÑO CESAR"/>
      <sheetName val="RODRIGUEZ DEIMER"/>
      <sheetName val="PARADA ORLANDO"/>
      <sheetName val="RAMIREZ CESAR"/>
      <sheetName val="MORENO WILFER"/>
      <sheetName val="AGUILAR EDINSON"/>
      <sheetName val="JIMENEZ HELMER"/>
      <sheetName val="MANRRIQUE JHON"/>
      <sheetName val="RAMIREZ MAICOLL"/>
      <sheetName val="GALINDEZ RAFAEL"/>
      <sheetName val="RIVERA JOAQUIN"/>
      <sheetName val="OSMAN BENITEZ"/>
      <sheetName val="SANCHEZ RONI"/>
      <sheetName val="PABON DIOMEDEZ"/>
      <sheetName val="ALIMENT"/>
      <sheetName val="TOTAL DEFINIT "/>
      <sheetName val="CONSOLIDADO1"/>
      <sheetName val="CONSIG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>
        <row r="80">
          <cell r="G80">
            <v>9940125</v>
          </cell>
        </row>
        <row r="84">
          <cell r="G84">
            <v>380000</v>
          </cell>
        </row>
      </sheetData>
      <sheetData sheetId="56" refreshError="1"/>
      <sheetData sheetId="57" refreshError="1">
        <row r="17">
          <cell r="AL17">
            <v>964898.4</v>
          </cell>
        </row>
        <row r="18">
          <cell r="AL18">
            <v>1353604.6666666667</v>
          </cell>
        </row>
        <row r="21">
          <cell r="AL21">
            <v>1262028.28125</v>
          </cell>
        </row>
        <row r="22">
          <cell r="AL22">
            <v>1033205.25</v>
          </cell>
        </row>
        <row r="29">
          <cell r="AL29">
            <v>887858</v>
          </cell>
        </row>
        <row r="36">
          <cell r="AL36">
            <v>410204</v>
          </cell>
        </row>
        <row r="37">
          <cell r="AL37">
            <v>889153</v>
          </cell>
        </row>
        <row r="47">
          <cell r="AL47">
            <v>1470884</v>
          </cell>
        </row>
        <row r="51">
          <cell r="AL51">
            <v>427050</v>
          </cell>
        </row>
        <row r="54">
          <cell r="D54">
            <v>30000</v>
          </cell>
          <cell r="E54">
            <v>30972200</v>
          </cell>
          <cell r="F54">
            <v>1060000</v>
          </cell>
          <cell r="I54">
            <v>707400</v>
          </cell>
          <cell r="J54">
            <v>526020</v>
          </cell>
          <cell r="K54">
            <v>292625</v>
          </cell>
          <cell r="L54">
            <v>904980</v>
          </cell>
          <cell r="M54">
            <v>140000</v>
          </cell>
          <cell r="N54">
            <v>2045700</v>
          </cell>
          <cell r="S54">
            <v>0</v>
          </cell>
          <cell r="W54">
            <v>4420000</v>
          </cell>
          <cell r="Y54">
            <v>174000</v>
          </cell>
          <cell r="AA54">
            <v>3236975</v>
          </cell>
        </row>
      </sheetData>
      <sheetData sheetId="5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 Report ENERO"/>
      <sheetName val="Daily Report FEBRERO"/>
      <sheetName val="Daily Report MARZO"/>
      <sheetName val="Daily Report ABRIL"/>
      <sheetName val="Daily Report MAYO"/>
      <sheetName val="Daily Report JUNIO "/>
      <sheetName val="Daily Report JULIO"/>
      <sheetName val="Daily Report AGOSTO"/>
      <sheetName val="Daily Report SEPTIEMBRE"/>
      <sheetName val="Daily Report OCTUBRE"/>
      <sheetName val="Daily Report NOVIEMBRE"/>
      <sheetName val="Daily Report DICIEMBRE"/>
      <sheetName val="PRODUC ACUMULADA"/>
      <sheetName val="PRECIO PROMEDIO ANDRES"/>
      <sheetName val="FACTURACION ANDRES"/>
      <sheetName val="PRECIO PROMEDIO ACERIAS"/>
      <sheetName val="FACTURACION ACERIAS"/>
      <sheetName val="PRECIOS 2024-2025"/>
      <sheetName val="IMPUESTO 1% CONTINGENCIA"/>
    </sheetNames>
    <sheetDataSet>
      <sheetData sheetId="0" refreshError="1">
        <row r="42">
          <cell r="M42">
            <v>1698.66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M43">
            <v>0</v>
          </cell>
        </row>
      </sheetData>
      <sheetData sheetId="6" refreshError="1">
        <row r="45">
          <cell r="N45">
            <v>0</v>
          </cell>
        </row>
      </sheetData>
      <sheetData sheetId="7" refreshError="1">
        <row r="41">
          <cell r="M41">
            <v>0</v>
          </cell>
        </row>
      </sheetData>
      <sheetData sheetId="8" refreshError="1">
        <row r="41">
          <cell r="M41">
            <v>0</v>
          </cell>
        </row>
      </sheetData>
      <sheetData sheetId="9" refreshError="1">
        <row r="41">
          <cell r="M41">
            <v>0</v>
          </cell>
        </row>
      </sheetData>
      <sheetData sheetId="10" refreshError="1">
        <row r="40">
          <cell r="M40">
            <v>0</v>
          </cell>
        </row>
      </sheetData>
      <sheetData sheetId="11" refreshError="1">
        <row r="41">
          <cell r="M41">
            <v>0</v>
          </cell>
        </row>
      </sheetData>
      <sheetData sheetId="12">
        <row r="5">
          <cell r="B5">
            <v>1698.66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 Report ENERO"/>
      <sheetName val="Daily Report FEBRERO"/>
      <sheetName val="Daily Report MARZO"/>
      <sheetName val="Daily Report ABRIL"/>
      <sheetName val="Daily Report MAYO"/>
      <sheetName val="Daily Report JUNIO "/>
      <sheetName val="Daily Report JULIO"/>
      <sheetName val="Daily Report AGOSTO"/>
      <sheetName val="Daily Report SEPTIEMBRE"/>
      <sheetName val="Daily Report OCTUBRE"/>
      <sheetName val="Daily Report NOVIEMBRE"/>
      <sheetName val="Daily Report DICIEMBRE"/>
      <sheetName val="PRODUC ACUMULADA"/>
      <sheetName val="PRECIO PROMEDIO ANDRES"/>
      <sheetName val="FACTURACION ANDRES"/>
      <sheetName val="PRECIO PROMEDIO ACERIAS"/>
      <sheetName val="FACTURACION ACERIAS"/>
      <sheetName val="PRECIOS 2024-2025"/>
      <sheetName val="IMPUESTO 1% CONTINGENCIA"/>
      <sheetName val="FACTURACION ACERIAS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6">
          <cell r="B6">
            <v>1830.15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 Report ENERO"/>
      <sheetName val="Daily Report FEBRERO"/>
      <sheetName val="Daily Report MARZO"/>
      <sheetName val="Daily Report ABRIL"/>
      <sheetName val="Daily Report MAYO"/>
      <sheetName val="Daily Report JUNIO "/>
      <sheetName val="Daily Report JULIO"/>
      <sheetName val="Daily Report AGOSTO"/>
      <sheetName val="Daily Report SEPTIEMBRE"/>
      <sheetName val="Daily Report OCTUBRE"/>
      <sheetName val="Daily Report NOVIEMBRE"/>
      <sheetName val="Daily Report DICIEMBRE"/>
      <sheetName val="PRODUC ACUMULADA"/>
      <sheetName val="PRECIO PROMEDIO ANDRES"/>
      <sheetName val="FACTURACION ANDRES"/>
      <sheetName val="PRECIO PROMEDIO ACERIAS"/>
      <sheetName val="FACTURACION ACERIAS"/>
      <sheetName val="PRECIOS 2024-2025"/>
      <sheetName val="IMPUESTO 1% CONTINGENCIA"/>
      <sheetName val="FACTURACION ACERIAS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7">
          <cell r="B7">
            <v>1898.77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 Report ENERO"/>
      <sheetName val="Daily Report FEBRERO"/>
      <sheetName val="Daily Report MARZO"/>
      <sheetName val="Daily Report ABRIL"/>
      <sheetName val="Daily Report MAYO"/>
      <sheetName val="Daily Report JUNIO "/>
      <sheetName val="Daily Report JULIO"/>
      <sheetName val="Daily Report AGOSTO"/>
      <sheetName val="Daily Report SEPTIEMBRE"/>
      <sheetName val="Daily Report OCTUBRE"/>
      <sheetName val="Daily Report NOVIEMBRE"/>
      <sheetName val="Daily Report DICIEMBRE"/>
      <sheetName val="PRODUC ACUMULADA"/>
      <sheetName val="PRECIO PROMEDIO ANDRES"/>
      <sheetName val="FACTURACION ANDRES"/>
      <sheetName val="PRECIO PROMEDIO ACERIAS"/>
      <sheetName val="FACTURACION ACERIAS"/>
      <sheetName val="PRECIOS 2024-2025"/>
      <sheetName val="IMPUESTO 1% CONTINGENCIA"/>
      <sheetName val="FACTURACION ACERIAS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9">
          <cell r="B9">
            <v>1964.1099999999997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ICO LABOR A LABOR"/>
      <sheetName val="CONSOLIDADO LABOR"/>
      <sheetName val="2025"/>
      <sheetName val="2024"/>
      <sheetName val="resumen trimestral"/>
      <sheetName val="RESUMEN 2025"/>
      <sheetName val="2025 OPERAT"/>
    </sheetNames>
    <sheetDataSet>
      <sheetData sheetId="0"/>
      <sheetData sheetId="1">
        <row r="41">
          <cell r="B41">
            <v>12240000</v>
          </cell>
        </row>
        <row r="60">
          <cell r="B60">
            <v>13421500</v>
          </cell>
        </row>
        <row r="552">
          <cell r="B552">
            <v>18401246</v>
          </cell>
        </row>
        <row r="553">
          <cell r="B553">
            <v>1065300</v>
          </cell>
        </row>
        <row r="554">
          <cell r="B554">
            <v>15232750</v>
          </cell>
        </row>
        <row r="555">
          <cell r="B555">
            <v>291330</v>
          </cell>
        </row>
        <row r="556">
          <cell r="B556">
            <v>220000</v>
          </cell>
        </row>
        <row r="558">
          <cell r="B558">
            <v>1317580</v>
          </cell>
        </row>
        <row r="559">
          <cell r="B559">
            <v>1085580</v>
          </cell>
        </row>
        <row r="561">
          <cell r="B561">
            <v>117331</v>
          </cell>
        </row>
        <row r="562">
          <cell r="B562">
            <v>1407000</v>
          </cell>
        </row>
        <row r="563">
          <cell r="B563">
            <v>1492400</v>
          </cell>
        </row>
        <row r="565">
          <cell r="B565">
            <v>1882102</v>
          </cell>
        </row>
        <row r="566">
          <cell r="B566">
            <v>465833</v>
          </cell>
        </row>
        <row r="567">
          <cell r="B567">
            <v>2734600</v>
          </cell>
        </row>
        <row r="568">
          <cell r="B568">
            <v>1034027</v>
          </cell>
        </row>
        <row r="571">
          <cell r="B571">
            <v>605350</v>
          </cell>
        </row>
        <row r="572">
          <cell r="B572">
            <v>44419833</v>
          </cell>
        </row>
        <row r="573">
          <cell r="B573">
            <v>2564160</v>
          </cell>
        </row>
        <row r="574">
          <cell r="B574">
            <v>18868000</v>
          </cell>
        </row>
        <row r="575">
          <cell r="B575">
            <v>679860</v>
          </cell>
        </row>
        <row r="576">
          <cell r="B576">
            <v>224800</v>
          </cell>
        </row>
        <row r="578">
          <cell r="B578">
            <v>2514050</v>
          </cell>
        </row>
        <row r="579">
          <cell r="B579">
            <v>4000419</v>
          </cell>
        </row>
        <row r="580">
          <cell r="B580">
            <v>32000</v>
          </cell>
        </row>
        <row r="582">
          <cell r="B582">
            <v>3682000</v>
          </cell>
        </row>
        <row r="585">
          <cell r="B585">
            <v>3550854</v>
          </cell>
        </row>
        <row r="586">
          <cell r="B586">
            <v>1976826</v>
          </cell>
        </row>
        <row r="587">
          <cell r="B587">
            <v>2734000</v>
          </cell>
        </row>
        <row r="588">
          <cell r="B588">
            <v>1343344</v>
          </cell>
        </row>
        <row r="591">
          <cell r="B591">
            <v>3117920</v>
          </cell>
        </row>
        <row r="592">
          <cell r="B592">
            <v>39182776</v>
          </cell>
        </row>
        <row r="593">
          <cell r="B593">
            <v>1720300</v>
          </cell>
        </row>
        <row r="595">
          <cell r="B595">
            <v>259740</v>
          </cell>
        </row>
        <row r="597">
          <cell r="B597">
            <v>712400</v>
          </cell>
        </row>
        <row r="598">
          <cell r="B598">
            <v>1777600</v>
          </cell>
        </row>
        <row r="599">
          <cell r="B599">
            <v>1336500</v>
          </cell>
        </row>
        <row r="602">
          <cell r="B602">
            <v>3682000</v>
          </cell>
        </row>
        <row r="603">
          <cell r="B603">
            <v>1130500</v>
          </cell>
        </row>
        <row r="605">
          <cell r="B605">
            <v>3181355</v>
          </cell>
        </row>
        <row r="606">
          <cell r="B606">
            <v>2625000</v>
          </cell>
        </row>
        <row r="607">
          <cell r="B607">
            <v>2734000</v>
          </cell>
        </row>
        <row r="608">
          <cell r="B608">
            <v>1306000</v>
          </cell>
        </row>
        <row r="610">
          <cell r="B610">
            <v>60000</v>
          </cell>
        </row>
        <row r="611">
          <cell r="B611">
            <v>3919000</v>
          </cell>
        </row>
        <row r="612">
          <cell r="B612">
            <v>26618670</v>
          </cell>
        </row>
        <row r="613">
          <cell r="B613">
            <v>1083450</v>
          </cell>
        </row>
        <row r="615">
          <cell r="B615">
            <v>106920</v>
          </cell>
        </row>
        <row r="617">
          <cell r="B617">
            <v>551450</v>
          </cell>
        </row>
        <row r="618">
          <cell r="B618">
            <v>1434400</v>
          </cell>
        </row>
        <row r="619">
          <cell r="B619">
            <v>588000</v>
          </cell>
        </row>
        <row r="621">
          <cell r="B621">
            <v>219977.99999999997</v>
          </cell>
        </row>
        <row r="622">
          <cell r="B622">
            <v>2257500</v>
          </cell>
        </row>
        <row r="623">
          <cell r="B623">
            <v>1076000</v>
          </cell>
        </row>
        <row r="625">
          <cell r="B625">
            <v>3211393.3333333335</v>
          </cell>
        </row>
        <row r="626">
          <cell r="B626">
            <v>2619452</v>
          </cell>
        </row>
        <row r="627">
          <cell r="B627">
            <v>2830800</v>
          </cell>
        </row>
        <row r="628">
          <cell r="B628">
            <v>1269632.8125</v>
          </cell>
        </row>
        <row r="630">
          <cell r="B630">
            <v>110000</v>
          </cell>
        </row>
        <row r="631">
          <cell r="B631">
            <v>895140</v>
          </cell>
        </row>
      </sheetData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ICO LABOR A LABOR"/>
      <sheetName val="CONSOLIDADO LABOR"/>
      <sheetName val="2025"/>
      <sheetName val="2024"/>
      <sheetName val="resumen trimestral"/>
    </sheetNames>
    <sheetDataSet>
      <sheetData sheetId="0"/>
      <sheetData sheetId="1">
        <row r="938">
          <cell r="B938"/>
        </row>
        <row r="958">
          <cell r="B958"/>
        </row>
      </sheetData>
      <sheetData sheetId="2">
        <row r="2">
          <cell r="L2" t="str">
            <v>PICADA</v>
          </cell>
          <cell r="BA2" t="str">
            <v>PICADA</v>
          </cell>
          <cell r="BB2">
            <v>55199907</v>
          </cell>
          <cell r="BC2">
            <v>44.906147599583939</v>
          </cell>
          <cell r="BJ2">
            <v>60348317</v>
          </cell>
          <cell r="BQ2">
            <v>61176511</v>
          </cell>
          <cell r="BX2">
            <v>45816799</v>
          </cell>
        </row>
        <row r="3">
          <cell r="L3" t="str">
            <v xml:space="preserve">BONO ALIMENTACION </v>
          </cell>
          <cell r="BA3" t="str">
            <v>ALEMANA</v>
          </cell>
          <cell r="BB3">
            <v>5336767</v>
          </cell>
          <cell r="BC3">
            <v>4.3415588835428434</v>
          </cell>
          <cell r="BJ3">
            <v>7458044</v>
          </cell>
          <cell r="BQ3">
            <v>4084433</v>
          </cell>
          <cell r="BX3">
            <v>4696262</v>
          </cell>
        </row>
        <row r="4">
          <cell r="L4" t="str">
            <v>PERSONAL DE APOYO</v>
          </cell>
          <cell r="BA4" t="str">
            <v>ALIMENTACION</v>
          </cell>
          <cell r="BB4">
            <v>14352000</v>
          </cell>
          <cell r="BC4">
            <v>11.675618046770055</v>
          </cell>
          <cell r="BJ4">
            <v>22642750</v>
          </cell>
          <cell r="BQ4">
            <v>19914375</v>
          </cell>
          <cell r="BX4">
            <v>19028750</v>
          </cell>
        </row>
        <row r="5">
          <cell r="L5" t="str">
            <v>MALACATEROS</v>
          </cell>
          <cell r="BA5" t="str">
            <v>REFORCE</v>
          </cell>
          <cell r="BB5">
            <v>2167000</v>
          </cell>
          <cell r="BC5">
            <v>1.7628946702446144</v>
          </cell>
          <cell r="BJ5">
            <v>1923500</v>
          </cell>
          <cell r="BQ5">
            <v>1366840</v>
          </cell>
          <cell r="BX5">
            <v>727400</v>
          </cell>
        </row>
        <row r="6">
          <cell r="L6" t="str">
            <v>TURNOS</v>
          </cell>
          <cell r="BA6" t="str">
            <v>CANASTA</v>
          </cell>
          <cell r="BB6">
            <v>3077000</v>
          </cell>
          <cell r="BC6">
            <v>2.5031965391521362</v>
          </cell>
          <cell r="BJ6">
            <v>3600000</v>
          </cell>
          <cell r="BQ6">
            <v>3240000</v>
          </cell>
          <cell r="BX6">
            <v>2570000</v>
          </cell>
        </row>
        <row r="7">
          <cell r="L7" t="str">
            <v>COCHES GUAYADOS</v>
          </cell>
          <cell r="BA7" t="str">
            <v>TRAMO</v>
          </cell>
          <cell r="BB7">
            <v>2173200</v>
          </cell>
          <cell r="BC7">
            <v>1.7679384851756328</v>
          </cell>
          <cell r="BJ7">
            <v>243600</v>
          </cell>
          <cell r="BQ7">
            <v>1658300</v>
          </cell>
          <cell r="BX7">
            <v>768500</v>
          </cell>
        </row>
        <row r="8">
          <cell r="L8" t="str">
            <v>MOVIMIENTO DE ROCA</v>
          </cell>
          <cell r="BA8" t="str">
            <v>TURNO</v>
          </cell>
          <cell r="BB8">
            <v>5739250</v>
          </cell>
          <cell r="BC8">
            <v>4.6689862649752669</v>
          </cell>
          <cell r="BJ8">
            <v>3051350</v>
          </cell>
          <cell r="BQ8">
            <v>2463500</v>
          </cell>
          <cell r="BX8">
            <v>2487810</v>
          </cell>
        </row>
        <row r="9">
          <cell r="L9" t="str">
            <v>SOSTENIMIENTO</v>
          </cell>
          <cell r="BA9" t="str">
            <v>METRO DE roca</v>
          </cell>
          <cell r="BB9">
            <v>3635200</v>
          </cell>
          <cell r="BC9">
            <v>2.9573025866512332</v>
          </cell>
          <cell r="BJ9">
            <v>6918850</v>
          </cell>
          <cell r="BQ9">
            <v>4498200</v>
          </cell>
          <cell r="BX9">
            <v>5471300</v>
          </cell>
        </row>
        <row r="10">
          <cell r="L10" t="str">
            <v>BONIFICACION</v>
          </cell>
          <cell r="BA10" t="str">
            <v>COCHE ROCA</v>
          </cell>
          <cell r="BB10">
            <v>0</v>
          </cell>
          <cell r="BC10">
            <v>0</v>
          </cell>
          <cell r="BJ10">
            <v>11417000</v>
          </cell>
          <cell r="BQ10">
            <v>9730600</v>
          </cell>
          <cell r="BX10">
            <v>5110100</v>
          </cell>
        </row>
        <row r="11">
          <cell r="L11" t="str">
            <v>INSTALADA TRAMO RIEL</v>
          </cell>
          <cell r="BA11" t="str">
            <v>limpieza de escaleras</v>
          </cell>
          <cell r="BB11">
            <v>80500</v>
          </cell>
          <cell r="BC11">
            <v>6.5488242249511525E-2</v>
          </cell>
          <cell r="BJ11">
            <v>0</v>
          </cell>
          <cell r="BQ11">
            <v>0</v>
          </cell>
          <cell r="BX11">
            <v>0</v>
          </cell>
        </row>
        <row r="12">
          <cell r="L12" t="str">
            <v>LIMPIEZA DE ESCALERAS</v>
          </cell>
          <cell r="BA12" t="str">
            <v>coches guayados</v>
          </cell>
          <cell r="BB12">
            <v>6948455</v>
          </cell>
          <cell r="BC12">
            <v>5.6526969478239701</v>
          </cell>
          <cell r="BJ12">
            <v>559820</v>
          </cell>
          <cell r="BQ12">
            <v>3120080.5</v>
          </cell>
          <cell r="BX12">
            <v>2851164</v>
          </cell>
        </row>
        <row r="13">
          <cell r="L13" t="str">
            <v>ARCO DE ACERO</v>
          </cell>
          <cell r="BA13" t="str">
            <v>metro despate</v>
          </cell>
          <cell r="BB13">
            <v>0</v>
          </cell>
          <cell r="BC13">
            <v>0</v>
          </cell>
          <cell r="BJ13">
            <v>5218960</v>
          </cell>
          <cell r="BQ13">
            <v>3640000</v>
          </cell>
          <cell r="BX13">
            <v>2694000</v>
          </cell>
        </row>
        <row r="14">
          <cell r="L14" t="str">
            <v>TURNO BOMBEO</v>
          </cell>
          <cell r="BA14" t="str">
            <v>ARCO DE ACERO</v>
          </cell>
          <cell r="BB14">
            <v>0</v>
          </cell>
          <cell r="BC14">
            <v>0</v>
          </cell>
          <cell r="BJ14"/>
          <cell r="BQ14">
            <v>12216300</v>
          </cell>
          <cell r="BX14">
            <v>7055150</v>
          </cell>
        </row>
        <row r="15">
          <cell r="L15"/>
          <cell r="BA15" t="str">
            <v>MALACATEROS</v>
          </cell>
          <cell r="BB15">
            <v>7715387.833333334</v>
          </cell>
          <cell r="BC15">
            <v>6.2766110245747475</v>
          </cell>
          <cell r="BJ15">
            <v>0</v>
          </cell>
          <cell r="BQ15">
            <v>0</v>
          </cell>
          <cell r="BX15">
            <v>0</v>
          </cell>
        </row>
        <row r="16">
          <cell r="L16"/>
          <cell r="BA16" t="str">
            <v>PATIEROS</v>
          </cell>
          <cell r="BB16">
            <v>7158326.7999999998</v>
          </cell>
          <cell r="BC16">
            <v>5.823431547572306</v>
          </cell>
          <cell r="BJ16">
            <v>5970331.296875</v>
          </cell>
          <cell r="BQ16">
            <v>5762151.666666667</v>
          </cell>
          <cell r="BX16">
            <v>5202070.333333333</v>
          </cell>
        </row>
        <row r="17">
          <cell r="BA17" t="str">
            <v>SOLDADORES</v>
          </cell>
          <cell r="BB17">
            <v>2876800</v>
          </cell>
          <cell r="BC17">
            <v>2.3403301279924813</v>
          </cell>
          <cell r="BJ17">
            <v>4063579.5</v>
          </cell>
          <cell r="BQ17">
            <v>3244081.25</v>
          </cell>
          <cell r="BX17">
            <v>4023923.984375</v>
          </cell>
        </row>
        <row r="18">
          <cell r="L18" t="str">
            <v>TOTAL MES</v>
          </cell>
          <cell r="BA18" t="str">
            <v>PAJARITA</v>
          </cell>
          <cell r="BB18">
            <v>2624035.3125</v>
          </cell>
          <cell r="BC18">
            <v>2.1347013691462444</v>
          </cell>
          <cell r="BJ18">
            <v>2651340</v>
          </cell>
          <cell r="BQ18">
            <v>2876800</v>
          </cell>
          <cell r="BX18">
            <v>2876800</v>
          </cell>
        </row>
        <row r="19">
          <cell r="BA19" t="str">
            <v>OTROS(TURNOS)</v>
          </cell>
          <cell r="BB19">
            <v>0</v>
          </cell>
          <cell r="BC19">
            <v>0</v>
          </cell>
          <cell r="BJ19">
            <v>2143413.515625</v>
          </cell>
          <cell r="BQ19">
            <v>2873199.609375</v>
          </cell>
          <cell r="BX19">
            <v>3386476.640625</v>
          </cell>
        </row>
        <row r="20">
          <cell r="BA20" t="str">
            <v>BONIFICACION</v>
          </cell>
          <cell r="BB20">
            <v>3839000</v>
          </cell>
          <cell r="BC20">
            <v>3.1230976645450279</v>
          </cell>
          <cell r="BJ20">
            <v>403000</v>
          </cell>
          <cell r="BQ20">
            <v>0</v>
          </cell>
          <cell r="BX20">
            <v>0</v>
          </cell>
        </row>
        <row r="21">
          <cell r="BJ21">
            <v>1038281.25</v>
          </cell>
          <cell r="BQ21">
            <v>0</v>
          </cell>
          <cell r="BX21">
            <v>0</v>
          </cell>
        </row>
      </sheetData>
      <sheetData sheetId="3"/>
      <sheetData sheetId="4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MINISTRATIVA RRHH"/>
      <sheetName val="VR A PAGAR"/>
      <sheetName val="DESPRENDIBLE"/>
    </sheetNames>
    <sheetDataSet>
      <sheetData sheetId="0"/>
      <sheetData sheetId="1">
        <row r="14">
          <cell r="K14">
            <v>12895293.880000001</v>
          </cell>
        </row>
      </sheetData>
      <sheetData sheetId="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NIFICACION"/>
      <sheetName val="ADMINISTRATIVA RRHH"/>
      <sheetName val="VR A PAGAR"/>
      <sheetName val="Hoja1"/>
      <sheetName val="DESPRENDIBLE"/>
    </sheetNames>
    <sheetDataSet>
      <sheetData sheetId="0"/>
      <sheetData sheetId="1"/>
      <sheetData sheetId="2">
        <row r="18">
          <cell r="K18">
            <v>41629523.39908544</v>
          </cell>
        </row>
      </sheetData>
      <sheetData sheetId="3"/>
      <sheetData sheetId="4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MINISTRATIVA RRHH"/>
      <sheetName val="VR A PAGAR"/>
      <sheetName val="DESPRENDIBLE"/>
    </sheetNames>
    <sheetDataSet>
      <sheetData sheetId="0"/>
      <sheetData sheetId="1">
        <row r="15">
          <cell r="K15">
            <v>12662850.640000001</v>
          </cell>
        </row>
      </sheetData>
      <sheetData sheetId="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NIFICACION"/>
      <sheetName val="ADMINISTRATIVA RRHH"/>
      <sheetName val="VR A PAGAR"/>
      <sheetName val="Hoja1"/>
      <sheetName val="DESPRENDIBLE"/>
    </sheetNames>
    <sheetDataSet>
      <sheetData sheetId="0"/>
      <sheetData sheetId="1"/>
      <sheetData sheetId="2">
        <row r="19">
          <cell r="K19">
            <v>43140712.46575211</v>
          </cell>
        </row>
      </sheetData>
      <sheetData sheetId="3"/>
      <sheetData sheetId="4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MINISTRATIVA RRHH"/>
      <sheetName val="VR A PAGAR"/>
      <sheetName val="DESPRENDIBLE"/>
    </sheetNames>
    <sheetDataSet>
      <sheetData sheetId="0"/>
      <sheetData sheetId="1">
        <row r="15">
          <cell r="H15">
            <v>11023536</v>
          </cell>
        </row>
      </sheetData>
      <sheetData sheetId="2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ICO LABOR A LABOR"/>
      <sheetName val="CONSOLIDADO LABOR A LABOR"/>
      <sheetName val="RESUMEN 2025"/>
      <sheetName val="RESUMEN MENSUAL"/>
      <sheetName val="2025 OPERAT"/>
    </sheetNames>
    <sheetDataSet>
      <sheetData sheetId="0"/>
      <sheetData sheetId="1"/>
      <sheetData sheetId="2">
        <row r="2">
          <cell r="L2" t="str">
            <v>PICADA</v>
          </cell>
          <cell r="AN2">
            <v>46.804115832911307</v>
          </cell>
        </row>
        <row r="3">
          <cell r="L3" t="str">
            <v xml:space="preserve">BONO ALIMENTACION </v>
          </cell>
          <cell r="AN3">
            <v>18.156087267989541</v>
          </cell>
        </row>
        <row r="4">
          <cell r="L4" t="str">
            <v>PERSONAL DE APOYO</v>
          </cell>
          <cell r="AN4">
            <v>8.7795078520806005</v>
          </cell>
        </row>
        <row r="5">
          <cell r="L5" t="str">
            <v>MALACATEROS</v>
          </cell>
          <cell r="AN5">
            <v>7.0843128277013001</v>
          </cell>
        </row>
        <row r="6">
          <cell r="L6" t="str">
            <v>TURNOS</v>
          </cell>
          <cell r="AN6">
            <v>5.337477748688694</v>
          </cell>
        </row>
        <row r="7">
          <cell r="L7" t="str">
            <v>COCHES GUAYADOS</v>
          </cell>
          <cell r="AN7">
            <v>4.4332796388073827</v>
          </cell>
        </row>
        <row r="8">
          <cell r="L8" t="str">
            <v>MOVIMIENTO DE ROCA</v>
          </cell>
          <cell r="AN8">
            <v>3.3356768738437306</v>
          </cell>
        </row>
        <row r="9">
          <cell r="L9" t="str">
            <v>SOSTENIMIENTO</v>
          </cell>
          <cell r="AN9">
            <v>3.2486291568120214</v>
          </cell>
        </row>
        <row r="10">
          <cell r="L10" t="str">
            <v>BONIFICACION</v>
          </cell>
          <cell r="AN10">
            <v>1.5522946060209277</v>
          </cell>
        </row>
        <row r="11">
          <cell r="L11" t="str">
            <v>INSTALADA TRAMO RIEL</v>
          </cell>
          <cell r="AN11">
            <v>0.88572524084579818</v>
          </cell>
        </row>
        <row r="12">
          <cell r="L12" t="str">
            <v>LIMPIEZA DE ESCALERAS</v>
          </cell>
          <cell r="AN12">
            <v>0.38289295429869269</v>
          </cell>
        </row>
        <row r="13">
          <cell r="L13" t="str">
            <v>ARCO DE ACERO</v>
          </cell>
          <cell r="AN13">
            <v>0</v>
          </cell>
        </row>
        <row r="14">
          <cell r="L14" t="str">
            <v>TURNO BOMBEO</v>
          </cell>
          <cell r="AN14">
            <v>0</v>
          </cell>
        </row>
        <row r="15">
          <cell r="L15"/>
          <cell r="AN15"/>
        </row>
        <row r="16">
          <cell r="L16"/>
          <cell r="AN16"/>
        </row>
      </sheetData>
      <sheetData sheetId="3"/>
      <sheetData sheetId="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OLIDADO LABOR OPERAT"/>
      <sheetName val="2026 OPERATIVA"/>
    </sheetNames>
    <sheetDataSet>
      <sheetData sheetId="0"/>
      <sheetData sheetId="1">
        <row r="22">
          <cell r="E22">
            <v>108866744.07059583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MINISTRATIVA RRHH"/>
      <sheetName val="VR A PAGAR"/>
      <sheetName val="DESPRENDIBLE"/>
      <sheetName val="DESPRENDIBLE (2)"/>
      <sheetName val="Hoja1"/>
    </sheetNames>
    <sheetDataSet>
      <sheetData sheetId="0">
        <row r="24">
          <cell r="F24">
            <v>12363140.9552</v>
          </cell>
        </row>
        <row r="31">
          <cell r="F31">
            <v>3318380.3183999998</v>
          </cell>
        </row>
        <row r="37">
          <cell r="F37">
            <v>28117260.401999999</v>
          </cell>
        </row>
        <row r="42">
          <cell r="F42">
            <v>21581421.745728001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MINISTRATIVA RRHH"/>
      <sheetName val="VR A PAGAR"/>
      <sheetName val="DESPRENDIBLE"/>
      <sheetName val="DESPRENDIBLE (2)"/>
    </sheetNames>
    <sheetDataSet>
      <sheetData sheetId="0">
        <row r="26">
          <cell r="F26">
            <v>11080140.9552</v>
          </cell>
        </row>
        <row r="33">
          <cell r="F33">
            <v>4977570.4775999999</v>
          </cell>
        </row>
        <row r="39">
          <cell r="F39">
            <v>26967072.354000002</v>
          </cell>
        </row>
        <row r="44">
          <cell r="F44">
            <v>21581421.745728001</v>
          </cell>
        </row>
      </sheetData>
      <sheetData sheetId="1"/>
      <sheetData sheetId="2"/>
      <sheetData sheetId="3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MINA OPERATIVA"/>
      <sheetName val="COSTOS"/>
    </sheetNames>
    <sheetDataSet>
      <sheetData sheetId="0"/>
      <sheetData sheetId="1">
        <row r="72">
          <cell r="AH72">
            <v>19773244.694527984</v>
          </cell>
        </row>
        <row r="84">
          <cell r="AH84">
            <v>3220382.9249280002</v>
          </cell>
        </row>
        <row r="105">
          <cell r="AH105">
            <v>382215.55787999998</v>
          </cell>
        </row>
        <row r="115">
          <cell r="AH115">
            <v>1146646.6736399999</v>
          </cell>
        </row>
        <row r="125">
          <cell r="AH125">
            <v>4711138.0969120003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MINISTRATIVA RRHH"/>
      <sheetName val="VR A PAGAR"/>
      <sheetName val="DESPRENDIBLE"/>
      <sheetName val="DESPRENDIBLE (2)"/>
    </sheetNames>
    <sheetDataSet>
      <sheetData sheetId="0">
        <row r="28">
          <cell r="F28">
            <v>11055140.9552</v>
          </cell>
        </row>
        <row r="36">
          <cell r="F36">
            <v>4396061.4638399994</v>
          </cell>
        </row>
        <row r="42">
          <cell r="F42">
            <v>27931072.354000002</v>
          </cell>
        </row>
        <row r="47">
          <cell r="F47">
            <v>21581421.745728001</v>
          </cell>
        </row>
      </sheetData>
      <sheetData sheetId="1"/>
      <sheetData sheetId="2"/>
      <sheetData sheetId="3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MINA OPERATIVA"/>
      <sheetName val="COSTOS"/>
    </sheetNames>
    <sheetDataSet>
      <sheetData sheetId="0"/>
      <sheetData sheetId="1">
        <row r="80">
          <cell r="AH80">
            <v>20476099.747791987</v>
          </cell>
        </row>
        <row r="95">
          <cell r="AH95">
            <v>3792358.8296880005</v>
          </cell>
        </row>
        <row r="108">
          <cell r="AH108">
            <v>4711138.0969120003</v>
          </cell>
        </row>
        <row r="126">
          <cell r="AH126">
            <v>598804.48316000006</v>
          </cell>
        </row>
        <row r="142">
          <cell r="AH142">
            <v>1146646.6736399999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MINISTRATIVA RRHH"/>
      <sheetName val="VR A PAGAR"/>
      <sheetName val="DESPRENDIBLE"/>
      <sheetName val="DESPRENDIBLE (2)"/>
      <sheetName val="Hoja1"/>
    </sheetNames>
    <sheetDataSet>
      <sheetData sheetId="0">
        <row r="24">
          <cell r="C24">
            <v>12040239.53696</v>
          </cell>
        </row>
        <row r="31">
          <cell r="C31">
            <v>4138742.3183999993</v>
          </cell>
        </row>
        <row r="38">
          <cell r="C38">
            <v>21255290.06064</v>
          </cell>
        </row>
        <row r="44">
          <cell r="C44">
            <v>19854908.006069757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MINA OPERATIVA"/>
      <sheetName val="COSTOS"/>
    </sheetNames>
    <sheetDataSet>
      <sheetData sheetId="0" refreshError="1"/>
      <sheetData sheetId="1">
        <row r="81">
          <cell r="AH81">
            <v>22754567.303935982</v>
          </cell>
        </row>
        <row r="94">
          <cell r="AH94">
            <v>3528558.3735999996</v>
          </cell>
        </row>
        <row r="105">
          <cell r="AH105">
            <v>586063.85541599989</v>
          </cell>
        </row>
        <row r="120">
          <cell r="AH120">
            <v>1146646.6736399999</v>
          </cell>
        </row>
        <row r="129">
          <cell r="AH129">
            <v>4711138.0969120003</v>
          </cell>
        </row>
      </sheetData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MINISTRATIVA RRHH"/>
      <sheetName val="VR A PAGAR"/>
      <sheetName val="DESPRENDIBLE"/>
      <sheetName val="DESPRENDIBLE (2)"/>
      <sheetName val="Hoja1"/>
    </sheetNames>
    <sheetDataSet>
      <sheetData sheetId="0">
        <row r="31">
          <cell r="F31">
            <v>11615140.9552</v>
          </cell>
        </row>
        <row r="39">
          <cell r="F39">
            <v>4070378.8183999993</v>
          </cell>
        </row>
        <row r="45">
          <cell r="F45">
            <v>26499314.954373337</v>
          </cell>
        </row>
        <row r="50">
          <cell r="F50">
            <v>21581421.745728001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MINA OPERATIVA"/>
      <sheetName val="COSTOS"/>
    </sheetNames>
    <sheetDataSet>
      <sheetData sheetId="0"/>
      <sheetData sheetId="1">
        <row r="77">
          <cell r="AH77">
            <v>23014473.992442381</v>
          </cell>
        </row>
        <row r="90">
          <cell r="AH90">
            <v>3664953.6437280001</v>
          </cell>
        </row>
        <row r="96">
          <cell r="AH96">
            <v>764431.11575999996</v>
          </cell>
        </row>
        <row r="106">
          <cell r="AH106">
            <v>1146646.6736399999</v>
          </cell>
        </row>
        <row r="120">
          <cell r="AH120">
            <v>4711138.0969120003</v>
          </cell>
        </row>
      </sheetData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CION"/>
      <sheetName val="TORTA CONSOL"/>
      <sheetName val="GTOS CONSOLIDADOS"/>
      <sheetName val="PERSONAL"/>
      <sheetName val="CUOTA ACERIAS"/>
      <sheetName val="ENERGIA"/>
      <sheetName val="COMBUSTIBLE"/>
      <sheetName val="MADERA"/>
      <sheetName val="EXPLOSIVO"/>
      <sheetName val="NOMINA"/>
      <sheetName val="CARGA PRESTAC"/>
      <sheetName val="INSUMOS"/>
      <sheetName val="TRANS MATERIALES"/>
      <sheetName val="RETROESCA"/>
      <sheetName val="CALIBRACION"/>
      <sheetName val="ELE ASEO"/>
      <sheetName val="DOTACION"/>
      <sheetName val="EXAMENES"/>
      <sheetName val="PAPELERIA"/>
      <sheetName val="PEAJES"/>
      <sheetName val="TRANS PASA"/>
      <sheetName val="APORTES FEDECARBON"/>
      <sheetName val="VIATICOS"/>
      <sheetName val="RESTAURANTE"/>
      <sheetName val="MANT EQUIPOS"/>
      <sheetName val="LABORAT"/>
      <sheetName val="LEVA TOPO "/>
      <sheetName val="TRANS CARBON ACOPIO"/>
      <sheetName val="TELEFONO"/>
      <sheetName val="POLIZA"/>
      <sheetName val="VARIOS"/>
      <sheetName val="PUBLICIDAD"/>
      <sheetName val="INTERNET"/>
      <sheetName val="ASESORES"/>
      <sheetName val="PAJARITA "/>
      <sheetName val="ARRIENDO"/>
      <sheetName val="% SERVIDUMBRE"/>
      <sheetName val="PAJARITA"/>
      <sheetName val="DEPRECIACION"/>
      <sheetName val="AUTORENTA"/>
      <sheetName val="REGALIAS"/>
      <sheetName val="GASTOS BANCARIOS"/>
      <sheetName val="INVERSIONES MINA"/>
      <sheetName val="INFRAESTUCTURA"/>
      <sheetName val="Hoja1"/>
    </sheetNames>
    <sheetDataSet>
      <sheetData sheetId="0">
        <row r="18">
          <cell r="B18">
            <v>308000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ICO LABOR A LABOR"/>
      <sheetName val="CONSOLIDADO LABOR A LABOR"/>
      <sheetName val="resumen trimestral"/>
      <sheetName val="PRODUC ACUMULADA"/>
      <sheetName val="RESUMEN 2025"/>
      <sheetName val="ENERO 2025"/>
      <sheetName val="FEBRERO 2025"/>
      <sheetName val="MARZO 2025"/>
      <sheetName val="ABRIL 2025"/>
      <sheetName val="MAYO 2025"/>
      <sheetName val="JUNIO 2025"/>
      <sheetName val="JULIO 2025 "/>
      <sheetName val="AGOSTO 2025 "/>
      <sheetName val="SEPTIEMBRE 2025"/>
      <sheetName val="OCTUBRE 2025"/>
      <sheetName val="NOVIEMBRE 2025 "/>
      <sheetName val="DICIEMBRE 2025 "/>
      <sheetName val="CONSOLIDAD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9">
          <cell r="C19" t="str">
            <v>TOTAL</v>
          </cell>
          <cell r="D19" t="str">
            <v>%</v>
          </cell>
          <cell r="L19" t="str">
            <v>TOTAL</v>
          </cell>
          <cell r="M19" t="str">
            <v>%</v>
          </cell>
        </row>
        <row r="20">
          <cell r="B20" t="str">
            <v>NOMINA OPERATIVA BAJO TIERRA</v>
          </cell>
          <cell r="C20">
            <v>131623210.70208333</v>
          </cell>
          <cell r="D20">
            <v>0.67544142026754106</v>
          </cell>
          <cell r="K20" t="str">
            <v>SEG SOCIAL OPERATIVA BAJO TIERRA</v>
          </cell>
          <cell r="L20">
            <v>24605532</v>
          </cell>
          <cell r="M20">
            <v>0.69722227889421606</v>
          </cell>
        </row>
        <row r="21">
          <cell r="B21" t="str">
            <v>ADMINISTRADORES OPERATIVOS</v>
          </cell>
          <cell r="C21">
            <v>12369989.199999999</v>
          </cell>
          <cell r="D21">
            <v>6.3478189214312322E-2</v>
          </cell>
          <cell r="K21" t="str">
            <v>SEG SOCIAL ADMINISTRADORES OPERATIVOS</v>
          </cell>
          <cell r="L21">
            <v>1171692</v>
          </cell>
          <cell r="M21">
            <v>3.3201060899724577E-2</v>
          </cell>
        </row>
        <row r="22">
          <cell r="B22" t="str">
            <v>PERSONAL ADTIVO MANTENIMIENTO</v>
          </cell>
          <cell r="C22">
            <v>4738296.4000000004</v>
          </cell>
          <cell r="D22">
            <v>2.4315176882506489E-2</v>
          </cell>
          <cell r="K22" t="str">
            <v>SEG SOCIAL PERSONAL ADTIVO MANTENIMIENTO</v>
          </cell>
          <cell r="L22">
            <v>781128</v>
          </cell>
          <cell r="M22">
            <v>2.2134040599816381E-2</v>
          </cell>
        </row>
        <row r="23">
          <cell r="B23" t="str">
            <v>PERSONAL ADMINISTRATIVO</v>
          </cell>
          <cell r="C23">
            <v>26273587.199999999</v>
          </cell>
          <cell r="D23">
            <v>0.13482628906582508</v>
          </cell>
          <cell r="K23" t="str">
            <v>SEG SOCIAL PERSONAL ADMINISTRATIVO</v>
          </cell>
          <cell r="L23">
            <v>2733948</v>
          </cell>
          <cell r="M23">
            <v>7.7469142099357347E-2</v>
          </cell>
        </row>
        <row r="24">
          <cell r="B24" t="str">
            <v>ALTA GERENCIA</v>
          </cell>
          <cell r="C24">
            <v>19864829.346832</v>
          </cell>
          <cell r="D24">
            <v>0.10193892456981499</v>
          </cell>
          <cell r="K24" t="str">
            <v>ALTA GERENCIA</v>
          </cell>
          <cell r="L24">
            <v>5998500</v>
          </cell>
          <cell r="M24">
            <v>0.16997347750688566</v>
          </cell>
        </row>
        <row r="53">
          <cell r="C53" t="str">
            <v>TOTAL</v>
          </cell>
          <cell r="D53" t="str">
            <v>%</v>
          </cell>
        </row>
        <row r="54">
          <cell r="B54" t="str">
            <v>PRESTACIONES SOCIALES  OPERATIVA BAJO TIERRA</v>
          </cell>
          <cell r="C54">
            <v>16512152.840040009</v>
          </cell>
          <cell r="D54">
            <v>0.66029347080643275</v>
          </cell>
        </row>
        <row r="55">
          <cell r="B55" t="str">
            <v>PRESTACIONES SOCIALES ADMINISTRADORES OPERATIVOS</v>
          </cell>
          <cell r="C55">
            <v>932233.06800000009</v>
          </cell>
          <cell r="D55">
            <v>3.7278446610403214E-2</v>
          </cell>
        </row>
        <row r="56">
          <cell r="B56" t="str">
            <v>PRESTACIONES SOCIALES PERSONAL ADTIVO MANTENIMIENTO</v>
          </cell>
          <cell r="C56">
            <v>621488.71200000006</v>
          </cell>
          <cell r="D56">
            <v>2.485229774026881E-2</v>
          </cell>
        </row>
        <row r="57">
          <cell r="B57" t="str">
            <v>PRESTACIONES SOCIALES PERSONAL ADMINISTRATIVO</v>
          </cell>
          <cell r="C57">
            <v>2857906.1279599997</v>
          </cell>
          <cell r="D57">
            <v>0.1142829027050787</v>
          </cell>
        </row>
        <row r="58">
          <cell r="B58" t="str">
            <v>PRESTACIONES SOCIALES ALTA GERENCIA</v>
          </cell>
          <cell r="C58">
            <v>4083513.0843520002</v>
          </cell>
          <cell r="D58">
            <v>0.1632928821378164</v>
          </cell>
        </row>
      </sheetData>
      <sheetData sheetId="12"/>
      <sheetData sheetId="13"/>
      <sheetData sheetId="14">
        <row r="19">
          <cell r="C19" t="str">
            <v>TOTAL</v>
          </cell>
          <cell r="D19" t="str">
            <v>%</v>
          </cell>
          <cell r="L19" t="str">
            <v>TOTAL</v>
          </cell>
          <cell r="M19" t="str">
            <v>%</v>
          </cell>
        </row>
        <row r="20">
          <cell r="B20" t="str">
            <v>NOMINA OPERATIVA BAJO TIERRA</v>
          </cell>
          <cell r="C20">
            <v>117844468</v>
          </cell>
          <cell r="D20">
            <v>0.66434480477589009</v>
          </cell>
          <cell r="K20" t="str">
            <v>SEG SOCIAL OPERATIVA BAJO TIERRA</v>
          </cell>
          <cell r="L20">
            <v>24799236</v>
          </cell>
          <cell r="M20">
            <v>0.71033880137289807</v>
          </cell>
        </row>
        <row r="21">
          <cell r="B21" t="str">
            <v>ADMINISTRADORES OPERATIVOS</v>
          </cell>
          <cell r="C21">
            <v>10432750</v>
          </cell>
          <cell r="D21">
            <v>5.8814328577779885E-2</v>
          </cell>
          <cell r="K21" t="str">
            <v>SEG SOCIAL ADMINISTRADORES OPERATIVOS</v>
          </cell>
          <cell r="L21">
            <v>1127238</v>
          </cell>
          <cell r="M21">
            <v>3.2288127335131728E-2</v>
          </cell>
        </row>
        <row r="22">
          <cell r="B22" t="str">
            <v>PERSONAL ADTIVO MANTENIMIENTO</v>
          </cell>
          <cell r="C22">
            <v>4712700</v>
          </cell>
          <cell r="D22">
            <v>2.6567710938008027E-2</v>
          </cell>
          <cell r="K22" t="str">
            <v>SEG SOCIAL PERSONAL ADTIVO MANTENIMIENTO</v>
          </cell>
          <cell r="L22">
            <v>751492</v>
          </cell>
          <cell r="M22">
            <v>2.1525418223421154E-2</v>
          </cell>
        </row>
        <row r="23">
          <cell r="B23" t="str">
            <v>PERSONAL ADMINISTRATIVO</v>
          </cell>
          <cell r="C23">
            <v>23857350.449999999</v>
          </cell>
          <cell r="D23">
            <v>0.13449512816482181</v>
          </cell>
          <cell r="K23" t="str">
            <v>SEG SOCIAL PERSONAL ADMINISTRATIVO</v>
          </cell>
          <cell r="L23">
            <v>2254476</v>
          </cell>
          <cell r="M23">
            <v>6.4576254670263455E-2</v>
          </cell>
        </row>
        <row r="24">
          <cell r="B24" t="str">
            <v>ALTA GERENCIA</v>
          </cell>
          <cell r="C24">
            <v>20537227</v>
          </cell>
          <cell r="D24">
            <v>0.11577802754350029</v>
          </cell>
          <cell r="K24" t="str">
            <v>ALTA GERENCIA</v>
          </cell>
          <cell r="L24">
            <v>5979400</v>
          </cell>
          <cell r="M24">
            <v>0.17127139839828559</v>
          </cell>
        </row>
        <row r="53">
          <cell r="C53" t="str">
            <v>TOTAL</v>
          </cell>
          <cell r="D53" t="str">
            <v>%</v>
          </cell>
        </row>
        <row r="54">
          <cell r="B54" t="str">
            <v>PRESTACIONES SOCIALES  OPERATIVA BAJO TIERRA</v>
          </cell>
          <cell r="C54">
            <v>18707755.998620003</v>
          </cell>
          <cell r="D54">
            <v>0.69389586478697796</v>
          </cell>
        </row>
        <row r="55">
          <cell r="B55" t="str">
            <v>PRESTACIONES SOCIALES ADMINISTRADORES OPERATIVOS</v>
          </cell>
          <cell r="C55">
            <v>932233.06800000009</v>
          </cell>
          <cell r="D55">
            <v>3.4577779983371332E-2</v>
          </cell>
        </row>
        <row r="56">
          <cell r="B56" t="str">
            <v>PRESTACIONES SOCIALES PERSONAL ADTIVO MANTENIMIENTO</v>
          </cell>
          <cell r="C56">
            <v>742679.01084</v>
          </cell>
          <cell r="D56">
            <v>2.7546964720085824E-2</v>
          </cell>
        </row>
        <row r="57">
          <cell r="B57" t="str">
            <v>PRESTACIONES SOCIALES PERSONAL ADMINISTRATIVO</v>
          </cell>
          <cell r="C57">
            <v>2494285.0233600005</v>
          </cell>
          <cell r="D57">
            <v>9.2516390711813182E-2</v>
          </cell>
        </row>
        <row r="58">
          <cell r="B58" t="str">
            <v>PRESTACIONES SOCIALES ALTA GERENCIA</v>
          </cell>
          <cell r="C58">
            <v>4083513.0843520002</v>
          </cell>
          <cell r="D58">
            <v>0.15146299979775177</v>
          </cell>
        </row>
      </sheetData>
      <sheetData sheetId="15"/>
      <sheetData sheetId="16"/>
      <sheetData sheetId="17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ICO LABOR A LABOR"/>
      <sheetName val="CONSOLIDADO LABOR OPERAT"/>
      <sheetName val="2025 OPERAT"/>
      <sheetName val="2026 OPERATIVA"/>
      <sheetName val="CONSOLIDADO LABOR OPERAT (2)"/>
      <sheetName val="COSTO LABOR ADM"/>
      <sheetName val="2025 ADM"/>
      <sheetName val="2024"/>
      <sheetName val="resumen trimestral"/>
      <sheetName val="RESUMEN 2025"/>
    </sheetNames>
    <sheetDataSet>
      <sheetData sheetId="0"/>
      <sheetData sheetId="1">
        <row r="999">
          <cell r="C999">
            <v>14646935</v>
          </cell>
        </row>
      </sheetData>
      <sheetData sheetId="2">
        <row r="2">
          <cell r="O2" t="str">
            <v>PICADA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ego fernado rivera rivera" refreshedDate="45358.629766550926" createdVersion="8" refreshedVersion="8" minRefreshableVersion="3" recordCount="182" xr:uid="{53062E3B-A925-477B-954C-04E3900EAA26}">
  <cacheSource type="worksheet">
    <worksheetSource name="COSTOSNOMINAQUINCENAL"/>
  </cacheSource>
  <cacheFields count="6">
    <cacheField name="LABOR" numFmtId="41">
      <sharedItems count="40">
        <s v="PICADA"/>
        <s v="ALEMANA"/>
        <s v="ALIMENTACION"/>
        <s v="REFORCE"/>
        <s v="CANASTA"/>
        <s v="TRAMO"/>
        <s v="AVANCE"/>
        <s v="TURNO"/>
        <s v="LIMPIEZA DE ESCALERAS"/>
        <s v="GUAYERO"/>
        <s v="METRTO INTERCALACION"/>
        <s v="PUERTA DE INCLIANDO "/>
        <s v="TURNO TMABOR 4"/>
        <s v="MALACATEROS"/>
        <s v="PATIEROS"/>
        <s v="PAJARITA"/>
        <s v="SOLDADORES"/>
        <s v="REUBICADO (EVARISTO)"/>
        <s v="METRO DE ROCA"/>
        <s v="LIMPIEZA POZO"/>
        <s v="LIMPIEZA DE POZO"/>
        <s v="PUERTA DERRUMBRE"/>
        <s v="INSTALACION DE ARCO"/>
        <s v="DESPATE"/>
        <s v="METRO ROCA"/>
        <s v="TABIQUES"/>
        <s v="METRO INTERCALACION"/>
        <s v="CARGUE DE VOLQUETA"/>
        <s v="TURNO DE BOMBEO"/>
        <s v="COCHES DE ROCA"/>
        <s v="TURNO DICIEMBRE"/>
        <s v="ARCOS DE ACERO"/>
        <s v="LIMPIEZA DE TRAMO"/>
        <s v="METRO DESPATE"/>
        <s v="PUERTA INCLIANDO"/>
        <s v="PLACA MALACATE INTER"/>
        <s v="COCHE ROCA"/>
        <s v="coches guayados"/>
        <s v="ARCO DE ACERO"/>
        <s v="coche de basura y madera"/>
      </sharedItems>
    </cacheField>
    <cacheField name="COSTO" numFmtId="164">
      <sharedItems containsSemiMixedTypes="0" containsString="0" containsNumber="1" minValue="23100" maxValue="49453978"/>
    </cacheField>
    <cacheField name="QUINCENA" numFmtId="0">
      <sharedItems containsSemiMixedTypes="0" containsString="0" containsNumber="1" containsInteger="1" minValue="1" maxValue="2"/>
    </cacheField>
    <cacheField name="FECHA  LIQUIDACION" numFmtId="14">
      <sharedItems containsSemiMixedTypes="0" containsNonDate="0" containsDate="1" containsString="0" minDate="2023-10-15T00:00:00" maxDate="2024-03-01T00:00:00" count="10">
        <d v="2023-10-15T00:00:00"/>
        <d v="2023-10-31T00:00:00"/>
        <d v="2023-11-15T00:00:00"/>
        <d v="2023-11-30T00:00:00"/>
        <d v="2023-12-15T00:00:00"/>
        <d v="2023-12-31T00:00:00"/>
        <d v="2024-01-15T00:00:00"/>
        <d v="2024-01-31T00:00:00"/>
        <d v="2024-02-15T00:00:00"/>
        <d v="2024-02-29T00:00:00"/>
      </sharedItems>
      <fieldGroup par="5"/>
    </cacheField>
    <cacheField name="Meses (FECHA  LIQUIDACION)" numFmtId="0" databaseField="0">
      <fieldGroup base="3">
        <rangePr groupBy="months" startDate="2023-10-15T00:00:00" endDate="2024-03-01T00:00:00"/>
        <groupItems count="14">
          <s v="&lt;15/10/2023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/03/2024"/>
        </groupItems>
      </fieldGroup>
    </cacheField>
    <cacheField name="Años (FECHA  LIQUIDACION)" numFmtId="0" databaseField="0">
      <fieldGroup base="3">
        <rangePr groupBy="years" startDate="2023-10-15T00:00:00" endDate="2024-03-01T00:00:00"/>
        <groupItems count="4">
          <s v="&lt;15/10/2023"/>
          <s v="2023"/>
          <s v="2024"/>
          <s v="&gt;1/03/2024"/>
        </groupItems>
      </fieldGroup>
    </cacheField>
  </cacheFields>
  <extLst>
    <ext xmlns:x14="http://schemas.microsoft.com/office/spreadsheetml/2009/9/main" uri="{725AE2AE-9491-48be-B2B4-4EB974FC3084}">
      <x14:pivotCacheDefinition pivotCacheId="148442456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">
  <r>
    <x v="0"/>
    <n v="34726015"/>
    <n v="1"/>
    <x v="0"/>
  </r>
  <r>
    <x v="1"/>
    <n v="5100760"/>
    <n v="1"/>
    <x v="0"/>
  </r>
  <r>
    <x v="2"/>
    <n v="12206000"/>
    <n v="1"/>
    <x v="0"/>
  </r>
  <r>
    <x v="3"/>
    <n v="2789255"/>
    <n v="1"/>
    <x v="0"/>
  </r>
  <r>
    <x v="4"/>
    <n v="185800"/>
    <n v="1"/>
    <x v="0"/>
  </r>
  <r>
    <x v="5"/>
    <n v="1625100"/>
    <n v="1"/>
    <x v="0"/>
  </r>
  <r>
    <x v="6"/>
    <n v="285600"/>
    <n v="1"/>
    <x v="0"/>
  </r>
  <r>
    <x v="7"/>
    <n v="2614400"/>
    <n v="1"/>
    <x v="0"/>
  </r>
  <r>
    <x v="8"/>
    <n v="113750"/>
    <n v="1"/>
    <x v="0"/>
  </r>
  <r>
    <x v="9"/>
    <n v="2866500"/>
    <n v="1"/>
    <x v="0"/>
  </r>
  <r>
    <x v="10"/>
    <n v="566400"/>
    <n v="1"/>
    <x v="0"/>
  </r>
  <r>
    <x v="11"/>
    <n v="1196000"/>
    <n v="1"/>
    <x v="0"/>
  </r>
  <r>
    <x v="12"/>
    <n v="160000"/>
    <n v="1"/>
    <x v="0"/>
  </r>
  <r>
    <x v="13"/>
    <n v="3013935"/>
    <n v="1"/>
    <x v="0"/>
  </r>
  <r>
    <x v="14"/>
    <n v="1724282"/>
    <n v="1"/>
    <x v="0"/>
  </r>
  <r>
    <x v="15"/>
    <n v="1290000"/>
    <n v="1"/>
    <x v="0"/>
  </r>
  <r>
    <x v="16"/>
    <n v="2486000"/>
    <n v="1"/>
    <x v="0"/>
  </r>
  <r>
    <x v="17"/>
    <n v="734490"/>
    <n v="1"/>
    <x v="0"/>
  </r>
  <r>
    <x v="0"/>
    <n v="42080288"/>
    <n v="2"/>
    <x v="1"/>
  </r>
  <r>
    <x v="1"/>
    <n v="3700900"/>
    <n v="2"/>
    <x v="1"/>
  </r>
  <r>
    <x v="2"/>
    <n v="12979500"/>
    <n v="2"/>
    <x v="1"/>
  </r>
  <r>
    <x v="3"/>
    <n v="2059680"/>
    <n v="2"/>
    <x v="1"/>
  </r>
  <r>
    <x v="4"/>
    <n v="52800"/>
    <n v="2"/>
    <x v="1"/>
  </r>
  <r>
    <x v="5"/>
    <n v="1945600"/>
    <n v="2"/>
    <x v="1"/>
  </r>
  <r>
    <x v="7"/>
    <n v="1536100"/>
    <n v="2"/>
    <x v="1"/>
  </r>
  <r>
    <x v="18"/>
    <n v="1090800"/>
    <n v="2"/>
    <x v="1"/>
  </r>
  <r>
    <x v="8"/>
    <n v="769953.1"/>
    <n v="2"/>
    <x v="1"/>
  </r>
  <r>
    <x v="19"/>
    <n v="300000"/>
    <n v="2"/>
    <x v="1"/>
  </r>
  <r>
    <x v="9"/>
    <n v="3363500"/>
    <n v="2"/>
    <x v="1"/>
  </r>
  <r>
    <x v="10"/>
    <n v="566400"/>
    <n v="2"/>
    <x v="1"/>
  </r>
  <r>
    <x v="11"/>
    <n v="400000"/>
    <n v="2"/>
    <x v="1"/>
  </r>
  <r>
    <x v="12"/>
    <n v="33000"/>
    <n v="2"/>
    <x v="1"/>
  </r>
  <r>
    <x v="13"/>
    <n v="3039472"/>
    <n v="2"/>
    <x v="1"/>
  </r>
  <r>
    <x v="14"/>
    <n v="1650188"/>
    <n v="2"/>
    <x v="1"/>
  </r>
  <r>
    <x v="15"/>
    <n v="1289260"/>
    <n v="2"/>
    <x v="1"/>
  </r>
  <r>
    <x v="16"/>
    <n v="2624320"/>
    <n v="2"/>
    <x v="1"/>
  </r>
  <r>
    <x v="17"/>
    <n v="734490"/>
    <n v="2"/>
    <x v="1"/>
  </r>
  <r>
    <x v="0"/>
    <n v="35337750"/>
    <n v="1"/>
    <x v="2"/>
  </r>
  <r>
    <x v="1"/>
    <n v="2793000"/>
    <n v="1"/>
    <x v="2"/>
  </r>
  <r>
    <x v="2"/>
    <n v="12240000"/>
    <n v="1"/>
    <x v="2"/>
  </r>
  <r>
    <x v="3"/>
    <n v="3236100"/>
    <n v="1"/>
    <x v="2"/>
  </r>
  <r>
    <x v="4"/>
    <n v="251800"/>
    <n v="1"/>
    <x v="2"/>
  </r>
  <r>
    <x v="5"/>
    <n v="1258200"/>
    <n v="1"/>
    <x v="2"/>
  </r>
  <r>
    <x v="6"/>
    <n v="23100"/>
    <n v="1"/>
    <x v="2"/>
  </r>
  <r>
    <x v="7"/>
    <n v="2555000"/>
    <n v="1"/>
    <x v="2"/>
  </r>
  <r>
    <x v="8"/>
    <n v="384929.99999999994"/>
    <n v="1"/>
    <x v="2"/>
  </r>
  <r>
    <x v="9"/>
    <n v="2611000"/>
    <n v="1"/>
    <x v="2"/>
  </r>
  <r>
    <x v="20"/>
    <n v="300000"/>
    <n v="1"/>
    <x v="2"/>
  </r>
  <r>
    <x v="21"/>
    <n v="600000"/>
    <n v="1"/>
    <x v="2"/>
  </r>
  <r>
    <x v="22"/>
    <n v="200000"/>
    <n v="1"/>
    <x v="2"/>
  </r>
  <r>
    <x v="12"/>
    <n v="35000"/>
    <n v="1"/>
    <x v="2"/>
  </r>
  <r>
    <x v="13"/>
    <n v="3025899.958333333"/>
    <n v="1"/>
    <x v="2"/>
  </r>
  <r>
    <x v="14"/>
    <n v="1778980"/>
    <n v="1"/>
    <x v="2"/>
  </r>
  <r>
    <x v="15"/>
    <n v="1305050"/>
    <n v="1"/>
    <x v="2"/>
  </r>
  <r>
    <x v="16"/>
    <n v="2323080"/>
    <n v="1"/>
    <x v="2"/>
  </r>
  <r>
    <x v="17"/>
    <n v="734490"/>
    <n v="1"/>
    <x v="2"/>
  </r>
  <r>
    <x v="0"/>
    <n v="44409191.5"/>
    <n v="2"/>
    <x v="3"/>
  </r>
  <r>
    <x v="1"/>
    <n v="3532900"/>
    <n v="2"/>
    <x v="3"/>
  </r>
  <r>
    <x v="2"/>
    <n v="13421500"/>
    <n v="2"/>
    <x v="3"/>
  </r>
  <r>
    <x v="3"/>
    <n v="3060500"/>
    <n v="2"/>
    <x v="3"/>
  </r>
  <r>
    <x v="4"/>
    <n v="440040"/>
    <n v="2"/>
    <x v="3"/>
  </r>
  <r>
    <x v="5"/>
    <n v="1373550"/>
    <n v="2"/>
    <x v="3"/>
  </r>
  <r>
    <x v="7"/>
    <n v="4074630"/>
    <n v="2"/>
    <x v="3"/>
  </r>
  <r>
    <x v="8"/>
    <n v="384929.99999999994"/>
    <n v="2"/>
    <x v="3"/>
  </r>
  <r>
    <x v="23"/>
    <n v="852200"/>
    <n v="2"/>
    <x v="3"/>
  </r>
  <r>
    <x v="24"/>
    <n v="616500"/>
    <n v="2"/>
    <x v="3"/>
  </r>
  <r>
    <x v="9"/>
    <n v="3402000"/>
    <n v="2"/>
    <x v="3"/>
  </r>
  <r>
    <x v="25"/>
    <n v="150000"/>
    <n v="2"/>
    <x v="3"/>
  </r>
  <r>
    <x v="26"/>
    <n v="80000"/>
    <n v="2"/>
    <x v="3"/>
  </r>
  <r>
    <x v="13"/>
    <n v="3217291.458333334"/>
    <n v="2"/>
    <x v="3"/>
  </r>
  <r>
    <x v="14"/>
    <n v="2070188"/>
    <n v="2"/>
    <x v="3"/>
  </r>
  <r>
    <x v="15"/>
    <n v="1465680"/>
    <n v="2"/>
    <x v="3"/>
  </r>
  <r>
    <x v="16"/>
    <n v="3456295"/>
    <n v="2"/>
    <x v="3"/>
  </r>
  <r>
    <x v="17"/>
    <n v="832422"/>
    <n v="2"/>
    <x v="3"/>
  </r>
  <r>
    <x v="0"/>
    <n v="49453978"/>
    <n v="1"/>
    <x v="4"/>
  </r>
  <r>
    <x v="1"/>
    <n v="1607900"/>
    <n v="1"/>
    <x v="4"/>
  </r>
  <r>
    <x v="2"/>
    <n v="10370000"/>
    <n v="1"/>
    <x v="4"/>
  </r>
  <r>
    <x v="3"/>
    <n v="3376100.0000000005"/>
    <n v="1"/>
    <x v="4"/>
  </r>
  <r>
    <x v="4"/>
    <n v="99000"/>
    <n v="1"/>
    <x v="4"/>
  </r>
  <r>
    <x v="5"/>
    <n v="1332250"/>
    <n v="1"/>
    <x v="4"/>
  </r>
  <r>
    <x v="7"/>
    <n v="1793750"/>
    <n v="1"/>
    <x v="4"/>
  </r>
  <r>
    <x v="8"/>
    <n v="288750"/>
    <n v="1"/>
    <x v="4"/>
  </r>
  <r>
    <x v="23"/>
    <n v="157300"/>
    <n v="1"/>
    <x v="4"/>
  </r>
  <r>
    <x v="20"/>
    <n v="300000"/>
    <n v="1"/>
    <x v="4"/>
  </r>
  <r>
    <x v="9"/>
    <n v="3951500"/>
    <n v="1"/>
    <x v="4"/>
  </r>
  <r>
    <x v="27"/>
    <n v="90000"/>
    <n v="1"/>
    <x v="4"/>
  </r>
  <r>
    <x v="28"/>
    <n v="160000"/>
    <n v="1"/>
    <x v="4"/>
  </r>
  <r>
    <x v="13"/>
    <n v="3223845.0133333332"/>
    <n v="1"/>
    <x v="4"/>
  </r>
  <r>
    <x v="14"/>
    <n v="1639584"/>
    <n v="1"/>
    <x v="4"/>
  </r>
  <r>
    <x v="15"/>
    <n v="1453340"/>
    <n v="1"/>
    <x v="4"/>
  </r>
  <r>
    <x v="16"/>
    <n v="2486000"/>
    <n v="1"/>
    <x v="4"/>
  </r>
  <r>
    <x v="17"/>
    <n v="734000"/>
    <n v="1"/>
    <x v="4"/>
  </r>
  <r>
    <x v="0"/>
    <n v="20183555"/>
    <n v="2"/>
    <x v="5"/>
  </r>
  <r>
    <x v="1"/>
    <n v="790300"/>
    <n v="2"/>
    <x v="5"/>
  </r>
  <r>
    <x v="2"/>
    <n v="5576000"/>
    <n v="2"/>
    <x v="5"/>
  </r>
  <r>
    <x v="3"/>
    <n v="1141350"/>
    <n v="2"/>
    <x v="5"/>
  </r>
  <r>
    <x v="4"/>
    <n v="1002000"/>
    <n v="2"/>
    <x v="5"/>
  </r>
  <r>
    <x v="5"/>
    <n v="304650"/>
    <n v="2"/>
    <x v="5"/>
  </r>
  <r>
    <x v="7"/>
    <n v="1225000"/>
    <n v="2"/>
    <x v="5"/>
  </r>
  <r>
    <x v="8"/>
    <n v="384929.99999999994"/>
    <n v="2"/>
    <x v="5"/>
  </r>
  <r>
    <x v="29"/>
    <n v="407330"/>
    <n v="2"/>
    <x v="5"/>
  </r>
  <r>
    <x v="30"/>
    <n v="360000"/>
    <n v="2"/>
    <x v="5"/>
  </r>
  <r>
    <x v="9"/>
    <n v="1393000"/>
    <n v="2"/>
    <x v="5"/>
  </r>
  <r>
    <x v="31"/>
    <n v="800000"/>
    <n v="2"/>
    <x v="5"/>
  </r>
  <r>
    <x v="28"/>
    <n v="360000"/>
    <n v="2"/>
    <x v="5"/>
  </r>
  <r>
    <x v="13"/>
    <n v="1868469.8333333333"/>
    <n v="2"/>
    <x v="5"/>
  </r>
  <r>
    <x v="14"/>
    <n v="1226448"/>
    <n v="2"/>
    <x v="5"/>
  </r>
  <r>
    <x v="15"/>
    <n v="1159180"/>
    <n v="2"/>
    <x v="5"/>
  </r>
  <r>
    <x v="16"/>
    <n v="2486000"/>
    <n v="2"/>
    <x v="5"/>
  </r>
  <r>
    <x v="17"/>
    <n v="313382.40000000002"/>
    <n v="2"/>
    <x v="5"/>
  </r>
  <r>
    <x v="0"/>
    <n v="12698108.5"/>
    <n v="1"/>
    <x v="6"/>
  </r>
  <r>
    <x v="1"/>
    <n v="5416600"/>
    <n v="1"/>
    <x v="6"/>
  </r>
  <r>
    <x v="2"/>
    <n v="8010000"/>
    <n v="1"/>
    <x v="6"/>
  </r>
  <r>
    <x v="3"/>
    <n v="1520400"/>
    <n v="1"/>
    <x v="6"/>
  </r>
  <r>
    <x v="4"/>
    <n v="500000"/>
    <n v="1"/>
    <x v="6"/>
  </r>
  <r>
    <x v="5"/>
    <n v="1151100"/>
    <n v="1"/>
    <x v="6"/>
  </r>
  <r>
    <x v="7"/>
    <n v="3395000"/>
    <n v="1"/>
    <x v="6"/>
  </r>
  <r>
    <x v="32"/>
    <n v="207500"/>
    <n v="1"/>
    <x v="6"/>
  </r>
  <r>
    <x v="33"/>
    <n v="1096400"/>
    <n v="1"/>
    <x v="6"/>
  </r>
  <r>
    <x v="8"/>
    <n v="298375"/>
    <n v="1"/>
    <x v="6"/>
  </r>
  <r>
    <x v="20"/>
    <n v="300000"/>
    <n v="1"/>
    <x v="6"/>
  </r>
  <r>
    <x v="29"/>
    <n v="1495890"/>
    <n v="1"/>
    <x v="6"/>
  </r>
  <r>
    <x v="9"/>
    <n v="959000"/>
    <n v="1"/>
    <x v="6"/>
  </r>
  <r>
    <x v="31"/>
    <n v="2051880"/>
    <n v="1"/>
    <x v="6"/>
  </r>
  <r>
    <x v="30"/>
    <n v="360000"/>
    <n v="1"/>
    <x v="6"/>
  </r>
  <r>
    <x v="34"/>
    <n v="332000"/>
    <n v="1"/>
    <x v="6"/>
  </r>
  <r>
    <x v="13"/>
    <n v="1682830.2533333334"/>
    <n v="1"/>
    <x v="6"/>
  </r>
  <r>
    <x v="14"/>
    <n v="874687.91999999993"/>
    <n v="1"/>
    <x v="6"/>
  </r>
  <r>
    <x v="15"/>
    <n v="1219953.1250000002"/>
    <n v="1"/>
    <x v="6"/>
  </r>
  <r>
    <x v="16"/>
    <n v="2734600"/>
    <n v="1"/>
    <x v="6"/>
  </r>
  <r>
    <x v="17"/>
    <n v="313382"/>
    <n v="1"/>
    <x v="6"/>
  </r>
  <r>
    <x v="0"/>
    <n v="40387263"/>
    <n v="2"/>
    <x v="7"/>
  </r>
  <r>
    <x v="1"/>
    <n v="7332500"/>
    <n v="2"/>
    <x v="7"/>
  </r>
  <r>
    <x v="2"/>
    <n v="15246000"/>
    <n v="2"/>
    <x v="7"/>
  </r>
  <r>
    <x v="3"/>
    <n v="4324670"/>
    <n v="2"/>
    <x v="7"/>
  </r>
  <r>
    <x v="4"/>
    <n v="1241000"/>
    <n v="2"/>
    <x v="7"/>
  </r>
  <r>
    <x v="5"/>
    <n v="3190800"/>
    <n v="2"/>
    <x v="7"/>
  </r>
  <r>
    <x v="7"/>
    <n v="2600000"/>
    <n v="2"/>
    <x v="7"/>
  </r>
  <r>
    <x v="32"/>
    <n v="629300"/>
    <n v="2"/>
    <x v="7"/>
  </r>
  <r>
    <x v="33"/>
    <n v="8525000"/>
    <n v="2"/>
    <x v="7"/>
  </r>
  <r>
    <x v="8"/>
    <n v="384929.99999999994"/>
    <n v="2"/>
    <x v="7"/>
  </r>
  <r>
    <x v="20"/>
    <n v="300000"/>
    <n v="2"/>
    <x v="7"/>
  </r>
  <r>
    <x v="29"/>
    <n v="541000"/>
    <n v="2"/>
    <x v="7"/>
  </r>
  <r>
    <x v="9"/>
    <n v="3174500"/>
    <n v="2"/>
    <x v="7"/>
  </r>
  <r>
    <x v="31"/>
    <n v="3455280"/>
    <n v="2"/>
    <x v="7"/>
  </r>
  <r>
    <x v="35"/>
    <n v="150000"/>
    <n v="2"/>
    <x v="7"/>
  </r>
  <r>
    <x v="13"/>
    <n v="3450765.3016666668"/>
    <n v="2"/>
    <x v="7"/>
  </r>
  <r>
    <x v="14"/>
    <n v="1883608"/>
    <n v="2"/>
    <x v="7"/>
  </r>
  <r>
    <x v="15"/>
    <n v="1419758.4375"/>
    <n v="2"/>
    <x v="7"/>
  </r>
  <r>
    <x v="16"/>
    <n v="2734600"/>
    <n v="2"/>
    <x v="7"/>
  </r>
  <r>
    <x v="17"/>
    <n v="863938.125"/>
    <n v="2"/>
    <x v="7"/>
  </r>
  <r>
    <x v="0"/>
    <n v="40937335.600000001"/>
    <n v="1"/>
    <x v="8"/>
  </r>
  <r>
    <x v="1"/>
    <n v="2727760"/>
    <n v="1"/>
    <x v="8"/>
  </r>
  <r>
    <x v="2"/>
    <n v="13824000"/>
    <n v="1"/>
    <x v="8"/>
  </r>
  <r>
    <x v="3"/>
    <n v="1986215"/>
    <n v="1"/>
    <x v="8"/>
  </r>
  <r>
    <x v="4"/>
    <n v="1784100"/>
    <n v="1"/>
    <x v="8"/>
  </r>
  <r>
    <x v="5"/>
    <n v="797700"/>
    <n v="1"/>
    <x v="8"/>
  </r>
  <r>
    <x v="7"/>
    <n v="2371600"/>
    <n v="1"/>
    <x v="8"/>
  </r>
  <r>
    <x v="18"/>
    <n v="4201000"/>
    <n v="1"/>
    <x v="8"/>
  </r>
  <r>
    <x v="33"/>
    <n v="2930000"/>
    <n v="1"/>
    <x v="8"/>
  </r>
  <r>
    <x v="8"/>
    <n v="384929.99999999994"/>
    <n v="1"/>
    <x v="8"/>
  </r>
  <r>
    <x v="9"/>
    <n v="2978500"/>
    <n v="1"/>
    <x v="8"/>
  </r>
  <r>
    <x v="31"/>
    <n v="1349000"/>
    <n v="1"/>
    <x v="8"/>
  </r>
  <r>
    <x v="13"/>
    <n v="3215906.6833333336"/>
    <n v="1"/>
    <x v="8"/>
  </r>
  <r>
    <x v="14"/>
    <n v="1875655"/>
    <n v="1"/>
    <x v="8"/>
  </r>
  <r>
    <x v="15"/>
    <n v="1344048.125"/>
    <n v="1"/>
    <x v="8"/>
  </r>
  <r>
    <x v="16"/>
    <n v="2734600"/>
    <n v="1"/>
    <x v="8"/>
  </r>
  <r>
    <x v="17"/>
    <n v="872471"/>
    <n v="1"/>
    <x v="8"/>
  </r>
  <r>
    <x v="0"/>
    <n v="37027591.299999997"/>
    <n v="2"/>
    <x v="9"/>
  </r>
  <r>
    <x v="1"/>
    <n v="2118000"/>
    <n v="2"/>
    <x v="9"/>
  </r>
  <r>
    <x v="2"/>
    <n v="14076000"/>
    <n v="2"/>
    <x v="9"/>
  </r>
  <r>
    <x v="3"/>
    <n v="2470850"/>
    <n v="2"/>
    <x v="9"/>
  </r>
  <r>
    <x v="4"/>
    <n v="2853800"/>
    <n v="2"/>
    <x v="9"/>
  </r>
  <r>
    <x v="5"/>
    <n v="1063600"/>
    <n v="2"/>
    <x v="9"/>
  </r>
  <r>
    <x v="7"/>
    <n v="3285100"/>
    <n v="2"/>
    <x v="9"/>
  </r>
  <r>
    <x v="18"/>
    <n v="4150199.9999999991"/>
    <n v="2"/>
    <x v="9"/>
  </r>
  <r>
    <x v="36"/>
    <n v="122500"/>
    <n v="2"/>
    <x v="9"/>
  </r>
  <r>
    <x v="8"/>
    <n v="802011"/>
    <n v="2"/>
    <x v="9"/>
  </r>
  <r>
    <x v="37"/>
    <n v="3164000"/>
    <n v="2"/>
    <x v="9"/>
  </r>
  <r>
    <x v="33"/>
    <n v="5511400"/>
    <n v="2"/>
    <x v="9"/>
  </r>
  <r>
    <x v="38"/>
    <n v="528000"/>
    <n v="2"/>
    <x v="9"/>
  </r>
  <r>
    <x v="39"/>
    <n v="116550"/>
    <n v="2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8C06C3-9881-4FC8-B7CE-4709D739E055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F13:G41" firstHeaderRow="1" firstDataRow="1" firstDataCol="1" rowPageCount="1" colPageCount="1"/>
  <pivotFields count="6">
    <pivotField axis="axisRow" showAll="0">
      <items count="41">
        <item x="1"/>
        <item x="2"/>
        <item x="31"/>
        <item x="6"/>
        <item x="4"/>
        <item x="27"/>
        <item x="29"/>
        <item x="23"/>
        <item x="9"/>
        <item x="22"/>
        <item x="8"/>
        <item x="20"/>
        <item x="32"/>
        <item x="19"/>
        <item x="13"/>
        <item x="18"/>
        <item x="33"/>
        <item x="26"/>
        <item x="24"/>
        <item x="10"/>
        <item x="15"/>
        <item x="14"/>
        <item x="0"/>
        <item x="35"/>
        <item x="11"/>
        <item x="21"/>
        <item x="34"/>
        <item x="3"/>
        <item x="17"/>
        <item x="16"/>
        <item x="25"/>
        <item x="5"/>
        <item x="7"/>
        <item x="28"/>
        <item x="30"/>
        <item x="12"/>
        <item x="36"/>
        <item x="37"/>
        <item x="38"/>
        <item x="39"/>
        <item t="default"/>
      </items>
    </pivotField>
    <pivotField dataField="1" numFmtId="164" showAll="0"/>
    <pivotField showAll="0"/>
    <pivotField numFmtId="14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multipleItemSelectionAllowed="1" showAll="0" defaultSubtotal="0">
      <items count="14">
        <item x="0"/>
        <item sd="0"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Page" multipleItemSelectionAllowed="1" showAll="0" defaultSubtotal="0">
      <items count="4">
        <item h="1" x="0"/>
        <item h="1" sd="0" x="1"/>
        <item x="2"/>
        <item h="1" x="3"/>
      </items>
    </pivotField>
  </pivotFields>
  <rowFields count="1">
    <field x="0"/>
  </rowFields>
  <rowItems count="28">
    <i>
      <x/>
    </i>
    <i>
      <x v="1"/>
    </i>
    <i>
      <x v="2"/>
    </i>
    <i>
      <x v="4"/>
    </i>
    <i>
      <x v="6"/>
    </i>
    <i>
      <x v="8"/>
    </i>
    <i>
      <x v="10"/>
    </i>
    <i>
      <x v="11"/>
    </i>
    <i>
      <x v="12"/>
    </i>
    <i>
      <x v="14"/>
    </i>
    <i>
      <x v="15"/>
    </i>
    <i>
      <x v="16"/>
    </i>
    <i>
      <x v="20"/>
    </i>
    <i>
      <x v="21"/>
    </i>
    <i>
      <x v="22"/>
    </i>
    <i>
      <x v="23"/>
    </i>
    <i>
      <x v="26"/>
    </i>
    <i>
      <x v="27"/>
    </i>
    <i>
      <x v="28"/>
    </i>
    <i>
      <x v="29"/>
    </i>
    <i>
      <x v="31"/>
    </i>
    <i>
      <x v="32"/>
    </i>
    <i>
      <x v="34"/>
    </i>
    <i>
      <x v="36"/>
    </i>
    <i>
      <x v="37"/>
    </i>
    <i>
      <x v="38"/>
    </i>
    <i>
      <x v="39"/>
    </i>
    <i t="grand">
      <x/>
    </i>
  </rowItems>
  <colItems count="1">
    <i/>
  </colItems>
  <pageFields count="1">
    <pageField fld="5" hier="-1"/>
  </pageFields>
  <dataFields count="1">
    <dataField name="Suma de COSTO" fld="1" baseField="0" baseItem="0"/>
  </dataFields>
  <formats count="1">
    <format dxfId="9">
      <pivotArea collapsedLevelsAreSubtotals="1" fieldPosition="0">
        <references count="1">
          <reference field="0" count="22">
            <x v="0"/>
            <x v="1"/>
            <x v="2"/>
            <x v="4"/>
            <x v="6"/>
            <x v="8"/>
            <x v="10"/>
            <x v="11"/>
            <x v="12"/>
            <x v="14"/>
            <x v="15"/>
            <x v="16"/>
            <x v="20"/>
            <x v="21"/>
            <x v="22"/>
            <x v="23"/>
            <x v="26"/>
            <x v="27"/>
            <x v="28"/>
            <x v="29"/>
            <x v="31"/>
            <x v="3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7F32B8-5B09-4E1F-9A92-B8FD6BFF4E6D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3:G7" firstHeaderRow="1" firstDataRow="1" firstDataCol="1"/>
  <pivotFields count="6">
    <pivotField showAll="0"/>
    <pivotField dataField="1" numFmtId="164" showAll="0"/>
    <pivotField showAll="0"/>
    <pivotField numFmtId="14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h="1" x="0"/>
        <item sd="0" x="1"/>
        <item h="1" x="2"/>
        <item h="1" x="3"/>
        <item t="default"/>
      </items>
    </pivotField>
  </pivotFields>
  <rowFields count="1">
    <field x="4"/>
  </rowFields>
  <rowItems count="4">
    <i>
      <x v="10"/>
    </i>
    <i>
      <x v="11"/>
    </i>
    <i>
      <x v="12"/>
    </i>
    <i t="grand">
      <x/>
    </i>
  </rowItems>
  <colItems count="1">
    <i/>
  </colItems>
  <dataFields count="1">
    <dataField name="Suma de COSTO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9E77B9-D925-4603-A9CD-14C1A60290F5}" name="TablaDiná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I43:J88" firstHeaderRow="1" firstDataRow="1" firstDataCol="1" rowPageCount="1" colPageCount="1"/>
  <pivotFields count="6">
    <pivotField axis="axisRow" showAll="0">
      <items count="41">
        <item x="1"/>
        <item x="2"/>
        <item x="31"/>
        <item x="6"/>
        <item x="4"/>
        <item x="27"/>
        <item x="29"/>
        <item x="23"/>
        <item x="9"/>
        <item x="22"/>
        <item x="8"/>
        <item x="20"/>
        <item x="32"/>
        <item x="19"/>
        <item x="13"/>
        <item x="18"/>
        <item x="33"/>
        <item x="26"/>
        <item x="24"/>
        <item x="10"/>
        <item x="15"/>
        <item x="14"/>
        <item x="0"/>
        <item x="35"/>
        <item x="11"/>
        <item x="21"/>
        <item x="34"/>
        <item x="3"/>
        <item x="17"/>
        <item x="16"/>
        <item x="25"/>
        <item x="5"/>
        <item x="7"/>
        <item x="28"/>
        <item x="30"/>
        <item x="12"/>
        <item x="36"/>
        <item x="37"/>
        <item x="38"/>
        <item x="39"/>
        <item t="default"/>
      </items>
    </pivotField>
    <pivotField dataField="1" numFmtId="164" showAll="0"/>
    <pivotField showAll="0"/>
    <pivotField numFmtId="14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 defaultSubtotal="0">
      <items count="14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</items>
    </pivotField>
    <pivotField axis="axisPage" multipleItemSelectionAllowed="1" showAll="0" defaultSubtotal="0">
      <items count="4">
        <item h="1" x="0"/>
        <item h="1" x="1"/>
        <item x="2"/>
        <item h="1" x="3"/>
      </items>
    </pivotField>
  </pivotFields>
  <rowFields count="2">
    <field x="0"/>
    <field x="4"/>
  </rowFields>
  <rowItems count="45">
    <i>
      <x/>
    </i>
    <i r="1">
      <x v="1"/>
    </i>
    <i>
      <x v="1"/>
    </i>
    <i r="1">
      <x v="1"/>
    </i>
    <i>
      <x v="2"/>
    </i>
    <i r="1">
      <x v="1"/>
    </i>
    <i>
      <x v="4"/>
    </i>
    <i r="1">
      <x v="1"/>
    </i>
    <i>
      <x v="6"/>
    </i>
    <i r="1">
      <x v="1"/>
    </i>
    <i>
      <x v="8"/>
    </i>
    <i r="1">
      <x v="1"/>
    </i>
    <i>
      <x v="10"/>
    </i>
    <i r="1">
      <x v="1"/>
    </i>
    <i>
      <x v="11"/>
    </i>
    <i r="1">
      <x v="1"/>
    </i>
    <i>
      <x v="12"/>
    </i>
    <i r="1">
      <x v="1"/>
    </i>
    <i>
      <x v="14"/>
    </i>
    <i r="1">
      <x v="1"/>
    </i>
    <i>
      <x v="16"/>
    </i>
    <i r="1">
      <x v="1"/>
    </i>
    <i>
      <x v="20"/>
    </i>
    <i r="1">
      <x v="1"/>
    </i>
    <i>
      <x v="21"/>
    </i>
    <i r="1">
      <x v="1"/>
    </i>
    <i>
      <x v="22"/>
    </i>
    <i r="1">
      <x v="1"/>
    </i>
    <i>
      <x v="23"/>
    </i>
    <i r="1">
      <x v="1"/>
    </i>
    <i>
      <x v="26"/>
    </i>
    <i r="1">
      <x v="1"/>
    </i>
    <i>
      <x v="27"/>
    </i>
    <i r="1">
      <x v="1"/>
    </i>
    <i>
      <x v="28"/>
    </i>
    <i r="1">
      <x v="1"/>
    </i>
    <i>
      <x v="29"/>
    </i>
    <i r="1">
      <x v="1"/>
    </i>
    <i>
      <x v="31"/>
    </i>
    <i r="1">
      <x v="1"/>
    </i>
    <i>
      <x v="32"/>
    </i>
    <i r="1">
      <x v="1"/>
    </i>
    <i>
      <x v="34"/>
    </i>
    <i r="1">
      <x v="1"/>
    </i>
    <i t="grand">
      <x/>
    </i>
  </rowItems>
  <colItems count="1">
    <i/>
  </colItems>
  <pageFields count="1">
    <pageField fld="5" hier="-1"/>
  </pageFields>
  <dataFields count="1">
    <dataField name="Suma de COSTO" fld="1" baseField="0" baseItem="0"/>
  </dataFields>
  <chartFormats count="45"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3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13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13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13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13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13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13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13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13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3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3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13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"/>
          </reference>
        </references>
      </pivotArea>
    </chartFormat>
    <chartFormat chart="13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"/>
          </reference>
        </references>
      </pivotArea>
    </chartFormat>
    <chartFormat chart="13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1"/>
          </reference>
        </references>
      </pivotArea>
    </chartFormat>
    <chartFormat chart="13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4" count="1" selected="0">
            <x v="1"/>
          </reference>
        </references>
      </pivotArea>
    </chartFormat>
    <chartFormat chart="13" format="29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4" count="1" selected="0">
            <x v="1"/>
          </reference>
        </references>
      </pivotArea>
    </chartFormat>
    <chartFormat chart="13" format="3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4" count="1" selected="0">
            <x v="1"/>
          </reference>
        </references>
      </pivotArea>
    </chartFormat>
    <chartFormat chart="13" format="3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4" count="1" selected="0">
            <x v="1"/>
          </reference>
        </references>
      </pivotArea>
    </chartFormat>
    <chartFormat chart="13" format="32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4" count="1" selected="0">
            <x v="1"/>
          </reference>
        </references>
      </pivotArea>
    </chartFormat>
    <chartFormat chart="13" format="33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4" count="1" selected="0">
            <x v="1"/>
          </reference>
        </references>
      </pivotArea>
    </chartFormat>
    <chartFormat chart="13" format="34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4" count="1" selected="0">
            <x v="1"/>
          </reference>
        </references>
      </pivotArea>
    </chartFormat>
    <chartFormat chart="13" format="35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4" count="1" selected="0">
            <x v="1"/>
          </reference>
        </references>
      </pivotArea>
    </chartFormat>
    <chartFormat chart="13" format="36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4" count="1" selected="0">
            <x v="1"/>
          </reference>
        </references>
      </pivotArea>
    </chartFormat>
    <chartFormat chart="13" format="37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4" count="1" selected="0">
            <x v="1"/>
          </reference>
        </references>
      </pivotArea>
    </chartFormat>
    <chartFormat chart="13" format="38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4" count="1" selected="0">
            <x v="1"/>
          </reference>
        </references>
      </pivotArea>
    </chartFormat>
    <chartFormat chart="13" format="39">
      <pivotArea type="data" outline="0" fieldPosition="0">
        <references count="3">
          <reference field="4294967294" count="1" selected="0">
            <x v="0"/>
          </reference>
          <reference field="0" count="1" selected="0">
            <x v="26"/>
          </reference>
          <reference field="4" count="1" selected="0">
            <x v="1"/>
          </reference>
        </references>
      </pivotArea>
    </chartFormat>
    <chartFormat chart="13" format="40">
      <pivotArea type="data" outline="0" fieldPosition="0">
        <references count="3">
          <reference field="4294967294" count="1" selected="0">
            <x v="0"/>
          </reference>
          <reference field="0" count="1" selected="0">
            <x v="27"/>
          </reference>
          <reference field="4" count="1" selected="0">
            <x v="1"/>
          </reference>
        </references>
      </pivotArea>
    </chartFormat>
    <chartFormat chart="13" format="41">
      <pivotArea type="data" outline="0" fieldPosition="0">
        <references count="3">
          <reference field="4294967294" count="1" selected="0">
            <x v="0"/>
          </reference>
          <reference field="0" count="1" selected="0">
            <x v="28"/>
          </reference>
          <reference field="4" count="1" selected="0">
            <x v="1"/>
          </reference>
        </references>
      </pivotArea>
    </chartFormat>
    <chartFormat chart="13" format="42">
      <pivotArea type="data" outline="0" fieldPosition="0">
        <references count="3">
          <reference field="4294967294" count="1" selected="0">
            <x v="0"/>
          </reference>
          <reference field="0" count="1" selected="0">
            <x v="29"/>
          </reference>
          <reference field="4" count="1" selected="0">
            <x v="1"/>
          </reference>
        </references>
      </pivotArea>
    </chartFormat>
    <chartFormat chart="13" format="43">
      <pivotArea type="data" outline="0" fieldPosition="0">
        <references count="3">
          <reference field="4294967294" count="1" selected="0">
            <x v="0"/>
          </reference>
          <reference field="0" count="1" selected="0">
            <x v="31"/>
          </reference>
          <reference field="4" count="1" selected="0">
            <x v="1"/>
          </reference>
        </references>
      </pivotArea>
    </chartFormat>
    <chartFormat chart="13" format="44">
      <pivotArea type="data" outline="0" fieldPosition="0">
        <references count="3">
          <reference field="4294967294" count="1" selected="0">
            <x v="0"/>
          </reference>
          <reference field="0" count="1" selected="0">
            <x v="32"/>
          </reference>
          <reference field="4" count="1" selected="0">
            <x v="1"/>
          </reference>
        </references>
      </pivotArea>
    </chartFormat>
    <chartFormat chart="13" format="45">
      <pivotArea type="data" outline="0" fieldPosition="0">
        <references count="3">
          <reference field="4294967294" count="1" selected="0">
            <x v="0"/>
          </reference>
          <reference field="0" count="1" selected="0">
            <x v="34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s__FECHA__LIQUIDACION" xr10:uid="{7C63EB02-5C08-4AEF-895A-056A5A0867DA}" sourceName="Años (FECHA  LIQUIDACION)">
  <pivotTables>
    <pivotTable tabId="3" name="TablaDinámica4"/>
  </pivotTables>
  <data>
    <tabular pivotCacheId="1484424560">
      <items count="4">
        <i x="1" s="1"/>
        <i x="2"/>
        <i x="0" nd="1"/>
        <i x="3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s (FECHA  LIQUIDACION) 1" xr10:uid="{F6FDF5FC-C44A-421D-B4BF-399621DABCD4}" cache="SegmentaciónDeDatos_Años__FECHA__LIQUIDACION" caption="Años (FECHA  LIQUIDACION)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331255-A34D-4751-9A2D-E2FFF9766B2B}" name="COSTOSNOMINAQUINCENAL" displayName="COSTOSNOMINAQUINCENAL" ref="A1:D803" totalsRowShown="0" headerRowBorderDxfId="8" tableBorderDxfId="7" totalsRowBorderDxfId="6">
  <autoFilter ref="A1:D803" xr:uid="{4C331255-A34D-4751-9A2D-E2FFF9766B2B}">
    <filterColumn colId="0">
      <filters>
        <filter val="limpieza de escaleras"/>
      </filters>
    </filterColumn>
  </autoFilter>
  <tableColumns count="4">
    <tableColumn id="1" xr3:uid="{44CC7ACB-109A-42D1-872C-2BC98D1D89E7}" name="LABOR" dataDxfId="5" totalsRowDxfId="4"/>
    <tableColumn id="2" xr3:uid="{03193548-758A-4995-A512-AA37A81F38AD}" name="COSTO" dataDxfId="3" totalsRowDxfId="2" dataCellStyle="Moneda"/>
    <tableColumn id="3" xr3:uid="{B8B234C8-4E2D-4624-95A6-A57858638417}" name="QUINCENA" dataDxfId="1"/>
    <tableColumn id="4" xr3:uid="{AE14474A-7951-4CFE-912C-ABCF58730884}" name="FECHA  LIQUIDAC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8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9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0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2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A8932-7F3D-41FB-9690-779A1701AA04}">
  <dimension ref="A1:O39"/>
  <sheetViews>
    <sheetView topLeftCell="A13" zoomScale="110" zoomScaleNormal="110" workbookViewId="0">
      <selection activeCell="M21" sqref="M21"/>
    </sheetView>
  </sheetViews>
  <sheetFormatPr baseColWidth="10" defaultRowHeight="15" x14ac:dyDescent="0.25"/>
  <sheetData>
    <row r="1" spans="1:15" x14ac:dyDescent="0.25">
      <c r="A1" s="184" t="s">
        <v>46</v>
      </c>
      <c r="B1" s="184"/>
      <c r="C1" s="184"/>
      <c r="D1" s="184"/>
      <c r="E1" s="184"/>
      <c r="F1" s="184"/>
      <c r="G1" s="15"/>
      <c r="H1" s="15"/>
      <c r="I1" s="183" t="s">
        <v>44</v>
      </c>
      <c r="J1" s="183"/>
      <c r="K1" s="183"/>
      <c r="L1" s="183"/>
      <c r="M1" s="183"/>
      <c r="N1" s="183"/>
      <c r="O1" s="15"/>
    </row>
    <row r="2" spans="1:15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15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spans="1:15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1:15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15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spans="1:15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1:15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15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spans="1:15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</row>
    <row r="16" spans="1:15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spans="1:15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1:15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1:15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1:15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spans="1:15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spans="1:15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1:15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spans="1:15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15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1:15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</row>
    <row r="27" spans="1:15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spans="1:15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1:15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1:15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spans="1:15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1:15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1:15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spans="1:15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</row>
    <row r="35" spans="1:15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spans="1:15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</row>
    <row r="37" spans="1:15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</row>
    <row r="38" spans="1:15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1:15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</sheetData>
  <mergeCells count="2">
    <mergeCell ref="I1:N1"/>
    <mergeCell ref="A1:F1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B4D30-97F2-42FA-A69A-43327E5550B3}">
  <dimension ref="A1:K803"/>
  <sheetViews>
    <sheetView workbookViewId="0">
      <selection activeCell="B804" sqref="B804"/>
    </sheetView>
  </sheetViews>
  <sheetFormatPr baseColWidth="10" defaultRowHeight="15" x14ac:dyDescent="0.25"/>
  <cols>
    <col min="1" max="1" width="28.28515625" style="3" customWidth="1"/>
    <col min="2" max="2" width="19.28515625" style="2" customWidth="1"/>
    <col min="3" max="3" width="12.28515625" customWidth="1"/>
    <col min="4" max="4" width="20.85546875" customWidth="1"/>
    <col min="6" max="6" width="16.5703125" bestFit="1" customWidth="1"/>
    <col min="7" max="7" width="14.42578125" bestFit="1" customWidth="1"/>
    <col min="8" max="8" width="12" bestFit="1" customWidth="1"/>
    <col min="9" max="9" width="24" bestFit="1" customWidth="1"/>
    <col min="10" max="10" width="14.42578125" bestFit="1" customWidth="1"/>
    <col min="11" max="12" width="12" bestFit="1" customWidth="1"/>
    <col min="13" max="13" width="9.28515625" bestFit="1" customWidth="1"/>
    <col min="14" max="52" width="10.28515625" bestFit="1" customWidth="1"/>
    <col min="53" max="139" width="11.7109375" bestFit="1" customWidth="1"/>
    <col min="140" max="155" width="12.7109375" bestFit="1" customWidth="1"/>
    <col min="156" max="156" width="12.85546875" bestFit="1" customWidth="1"/>
  </cols>
  <sheetData>
    <row r="1" spans="1:11" x14ac:dyDescent="0.25">
      <c r="A1" s="8" t="s">
        <v>11</v>
      </c>
      <c r="B1" s="9" t="s">
        <v>13</v>
      </c>
      <c r="C1" s="10" t="s">
        <v>12</v>
      </c>
      <c r="D1" s="11" t="s">
        <v>20</v>
      </c>
    </row>
    <row r="2" spans="1:11" hidden="1" x14ac:dyDescent="0.25">
      <c r="A2" s="6" t="s">
        <v>14</v>
      </c>
      <c r="B2" s="1">
        <f>+SUM([2]CONSOLIDADO!$G$54:$I$54)</f>
        <v>34726015</v>
      </c>
      <c r="C2" s="4">
        <v>1</v>
      </c>
      <c r="D2" s="7">
        <v>45214</v>
      </c>
    </row>
    <row r="3" spans="1:11" hidden="1" x14ac:dyDescent="0.25">
      <c r="A3" s="6" t="s">
        <v>0</v>
      </c>
      <c r="B3" s="1">
        <f>+[2]CONSOLIDADO!$J$54</f>
        <v>5100760</v>
      </c>
      <c r="C3" s="4">
        <v>1</v>
      </c>
      <c r="D3" s="7">
        <v>45214</v>
      </c>
      <c r="F3" s="16" t="s">
        <v>41</v>
      </c>
      <c r="G3" t="s">
        <v>40</v>
      </c>
      <c r="J3" s="19" t="str">
        <f>UPPER(F4)</f>
        <v>OCT</v>
      </c>
      <c r="K3" s="20" t="e">
        <f>GETPIVOTDATA("COSTO",$F$3,"Meses (FECHA  LIQUIDACION)",1)</f>
        <v>#REF!</v>
      </c>
    </row>
    <row r="4" spans="1:11" hidden="1" x14ac:dyDescent="0.25">
      <c r="A4" s="6" t="s">
        <v>1</v>
      </c>
      <c r="B4" s="1">
        <f>+'[2]TOTAL DEFINIT re'!$O$63</f>
        <v>12206000</v>
      </c>
      <c r="C4" s="4">
        <v>1</v>
      </c>
      <c r="D4" s="7">
        <v>45214</v>
      </c>
      <c r="F4" s="17" t="s">
        <v>77</v>
      </c>
      <c r="G4">
        <v>153900538.09999999</v>
      </c>
      <c r="J4" s="19" t="str">
        <f t="shared" ref="J4:J7" si="0">UPPER(F5)</f>
        <v>NOV</v>
      </c>
      <c r="K4" s="20" t="e">
        <f>GETPIVOTDATA("COSTO",$F$3,"Meses (FECHA  LIQUIDACION)",2)</f>
        <v>#REF!</v>
      </c>
    </row>
    <row r="5" spans="1:11" hidden="1" x14ac:dyDescent="0.25">
      <c r="A5" s="6" t="s">
        <v>2</v>
      </c>
      <c r="B5" s="1">
        <f>+SUM([2]CONSOLIDADO!$M$54:$N$54)</f>
        <v>2789255</v>
      </c>
      <c r="C5" s="4">
        <v>1</v>
      </c>
      <c r="D5" s="7">
        <v>45214</v>
      </c>
      <c r="F5" s="17" t="s">
        <v>74</v>
      </c>
      <c r="G5">
        <v>157833197.91666669</v>
      </c>
      <c r="J5" s="19" t="str">
        <f t="shared" si="0"/>
        <v>DIC</v>
      </c>
      <c r="K5" s="20">
        <f>GETPIVOTDATA("COSTO",$F$3,"Meses (FECHA  LIQUIDACION)",10)</f>
        <v>153900538.09999999</v>
      </c>
    </row>
    <row r="6" spans="1:11" hidden="1" x14ac:dyDescent="0.25">
      <c r="A6" s="6" t="s">
        <v>3</v>
      </c>
      <c r="B6" s="1">
        <f>+[2]CONSOLIDADO!$O$54</f>
        <v>185800</v>
      </c>
      <c r="C6" s="4">
        <v>1</v>
      </c>
      <c r="D6" s="7">
        <v>45214</v>
      </c>
      <c r="F6" s="17" t="s">
        <v>78</v>
      </c>
      <c r="G6">
        <v>123498892.24666667</v>
      </c>
      <c r="J6" s="19" t="str">
        <f t="shared" si="0"/>
        <v>TOTAL GENERAL</v>
      </c>
      <c r="K6" s="20">
        <f>GETPIVOTDATA("COSTO",$F$3,"Meses (FECHA  LIQUIDACION)",11)</f>
        <v>157833197.91666669</v>
      </c>
    </row>
    <row r="7" spans="1:11" hidden="1" x14ac:dyDescent="0.25">
      <c r="A7" s="6" t="s">
        <v>4</v>
      </c>
      <c r="B7" s="1">
        <f>+[2]CONSOLIDADO!$P$54</f>
        <v>1625100</v>
      </c>
      <c r="C7" s="4">
        <v>1</v>
      </c>
      <c r="D7" s="7">
        <v>45214</v>
      </c>
      <c r="F7" s="17" t="s">
        <v>42</v>
      </c>
      <c r="G7">
        <v>435232628.26333332</v>
      </c>
      <c r="J7" s="19" t="str">
        <f t="shared" si="0"/>
        <v/>
      </c>
      <c r="K7" s="20">
        <f>GETPIVOTDATA("COSTO",$F$3,"Meses (FECHA  LIQUIDACION)",12)</f>
        <v>123498892.24666667</v>
      </c>
    </row>
    <row r="8" spans="1:11" hidden="1" x14ac:dyDescent="0.25">
      <c r="A8" s="6" t="s">
        <v>15</v>
      </c>
      <c r="B8" s="1">
        <f>+[2]CONSOLIDADO!$S$54</f>
        <v>285600</v>
      </c>
      <c r="C8" s="4">
        <v>1</v>
      </c>
      <c r="D8" s="7">
        <v>45214</v>
      </c>
    </row>
    <row r="9" spans="1:11" hidden="1" x14ac:dyDescent="0.25">
      <c r="A9" s="6" t="s">
        <v>5</v>
      </c>
      <c r="B9" s="1">
        <f>+[2]CONSOLIDADO!$R$54</f>
        <v>2614400</v>
      </c>
      <c r="C9" s="4">
        <v>1</v>
      </c>
      <c r="D9" s="7">
        <v>45214</v>
      </c>
    </row>
    <row r="10" spans="1:11" x14ac:dyDescent="0.25">
      <c r="A10" s="6" t="s">
        <v>10</v>
      </c>
      <c r="B10" s="1">
        <f>+SUM([2]CONSOLIDADO!$Q$54+[2]CONSOLIDADO!$U$54)</f>
        <v>113750</v>
      </c>
      <c r="C10" s="4">
        <v>1</v>
      </c>
      <c r="D10" s="7">
        <v>45214</v>
      </c>
    </row>
    <row r="11" spans="1:11" hidden="1" x14ac:dyDescent="0.25">
      <c r="A11" s="6" t="s">
        <v>16</v>
      </c>
      <c r="B11" s="1">
        <f>+[2]CONSOLIDADO!$W$54</f>
        <v>2866500</v>
      </c>
      <c r="C11" s="4">
        <v>1</v>
      </c>
      <c r="D11" s="7">
        <v>45214</v>
      </c>
      <c r="F11" s="16" t="s">
        <v>45</v>
      </c>
      <c r="G11" t="s">
        <v>43</v>
      </c>
    </row>
    <row r="12" spans="1:11" hidden="1" x14ac:dyDescent="0.25">
      <c r="A12" s="6" t="s">
        <v>18</v>
      </c>
      <c r="B12" s="1">
        <f>+[2]CONSOLIDADO!$Y$54</f>
        <v>566400</v>
      </c>
      <c r="C12" s="4">
        <v>1</v>
      </c>
      <c r="D12" s="7">
        <v>45214</v>
      </c>
    </row>
    <row r="13" spans="1:11" hidden="1" x14ac:dyDescent="0.25">
      <c r="A13" s="6" t="s">
        <v>8</v>
      </c>
      <c r="B13" s="1">
        <f>+[2]CONSOLIDADO!$X$54</f>
        <v>1196000</v>
      </c>
      <c r="C13" s="4">
        <v>1</v>
      </c>
      <c r="D13" s="7">
        <v>45214</v>
      </c>
      <c r="F13" s="16" t="s">
        <v>41</v>
      </c>
      <c r="G13" t="s">
        <v>40</v>
      </c>
    </row>
    <row r="14" spans="1:11" hidden="1" x14ac:dyDescent="0.25">
      <c r="A14" s="6" t="s">
        <v>19</v>
      </c>
      <c r="B14" s="1">
        <f>+[2]CONSOLIDADO!$Z$54</f>
        <v>160000</v>
      </c>
      <c r="C14" s="4">
        <v>1</v>
      </c>
      <c r="D14" s="7">
        <v>45214</v>
      </c>
      <c r="F14" s="17" t="s">
        <v>0</v>
      </c>
      <c r="G14" s="18">
        <v>17594860</v>
      </c>
    </row>
    <row r="15" spans="1:11" hidden="1" x14ac:dyDescent="0.25">
      <c r="A15" s="6" t="s">
        <v>21</v>
      </c>
      <c r="B15" s="1">
        <v>3013935</v>
      </c>
      <c r="C15" s="4">
        <v>1</v>
      </c>
      <c r="D15" s="7">
        <v>45214</v>
      </c>
      <c r="F15" s="17" t="s">
        <v>1</v>
      </c>
      <c r="G15" s="18">
        <v>51156000</v>
      </c>
    </row>
    <row r="16" spans="1:11" hidden="1" x14ac:dyDescent="0.25">
      <c r="A16" s="6" t="s">
        <v>22</v>
      </c>
      <c r="B16" s="1">
        <f>+SUM([2]CONSOLIDADO!$AA$43:$AA$44)</f>
        <v>1724282</v>
      </c>
      <c r="C16" s="4">
        <v>1</v>
      </c>
      <c r="D16" s="7">
        <v>45214</v>
      </c>
      <c r="F16" s="17" t="s">
        <v>36</v>
      </c>
      <c r="G16" s="18">
        <v>6856160</v>
      </c>
    </row>
    <row r="17" spans="1:10" hidden="1" x14ac:dyDescent="0.25">
      <c r="A17" s="6" t="s">
        <v>23</v>
      </c>
      <c r="B17" s="1">
        <f>+[2]CONSOLIDADO!$AA$51</f>
        <v>1290000</v>
      </c>
      <c r="C17" s="4">
        <v>1</v>
      </c>
      <c r="D17" s="7">
        <v>45214</v>
      </c>
      <c r="F17" s="17" t="s">
        <v>3</v>
      </c>
      <c r="G17" s="18">
        <v>6378900</v>
      </c>
    </row>
    <row r="18" spans="1:10" hidden="1" x14ac:dyDescent="0.25">
      <c r="A18" s="6" t="s">
        <v>33</v>
      </c>
      <c r="B18" s="1">
        <f>+SUM('[2]TOTAL DEFINIT re'!$E$60:$E$61)</f>
        <v>2486000</v>
      </c>
      <c r="C18" s="4">
        <v>1</v>
      </c>
      <c r="D18" s="7">
        <v>45214</v>
      </c>
      <c r="F18" s="17" t="s">
        <v>35</v>
      </c>
      <c r="G18" s="18">
        <v>2036890</v>
      </c>
    </row>
    <row r="19" spans="1:10" hidden="1" x14ac:dyDescent="0.25">
      <c r="A19" s="6" t="s">
        <v>34</v>
      </c>
      <c r="B19" s="1">
        <f>+'[2]TOTAL DEFINIT re'!$E$28</f>
        <v>734490</v>
      </c>
      <c r="C19" s="4">
        <v>1</v>
      </c>
      <c r="D19" s="7">
        <v>45214</v>
      </c>
      <c r="F19" s="17" t="s">
        <v>16</v>
      </c>
      <c r="G19" s="18">
        <v>7112000</v>
      </c>
    </row>
    <row r="20" spans="1:10" hidden="1" x14ac:dyDescent="0.25">
      <c r="A20" s="6" t="s">
        <v>14</v>
      </c>
      <c r="B20" s="1">
        <f>+SUM([3]CONSOLIDADO!$C$54:$E$54)</f>
        <v>42080288</v>
      </c>
      <c r="C20" s="4">
        <v>2</v>
      </c>
      <c r="D20" s="7">
        <v>45230</v>
      </c>
      <c r="F20" s="17" t="s">
        <v>10</v>
      </c>
      <c r="G20" s="18">
        <v>1870246</v>
      </c>
    </row>
    <row r="21" spans="1:10" hidden="1" x14ac:dyDescent="0.25">
      <c r="A21" s="6" t="s">
        <v>0</v>
      </c>
      <c r="B21" s="1">
        <f>+[3]CONSOLIDADO!$F$54</f>
        <v>3700900</v>
      </c>
      <c r="C21" s="4">
        <v>2</v>
      </c>
      <c r="D21" s="7">
        <v>45230</v>
      </c>
      <c r="F21" s="17" t="s">
        <v>24</v>
      </c>
      <c r="G21" s="18">
        <v>600000</v>
      </c>
    </row>
    <row r="22" spans="1:10" hidden="1" x14ac:dyDescent="0.25">
      <c r="A22" s="6" t="s">
        <v>1</v>
      </c>
      <c r="B22" s="1">
        <f>+'[3]TOTAL DEFINIT '!$W$58</f>
        <v>12979500</v>
      </c>
      <c r="C22" s="4">
        <v>2</v>
      </c>
      <c r="D22" s="7">
        <v>45230</v>
      </c>
      <c r="F22" s="17" t="s">
        <v>6</v>
      </c>
      <c r="G22" s="18">
        <v>836800</v>
      </c>
    </row>
    <row r="23" spans="1:10" hidden="1" x14ac:dyDescent="0.25">
      <c r="A23" s="6" t="s">
        <v>2</v>
      </c>
      <c r="B23" s="1">
        <f>+[3]CONSOLIDADO!$I$54</f>
        <v>2059680</v>
      </c>
      <c r="C23" s="4">
        <v>2</v>
      </c>
      <c r="D23" s="7">
        <v>45230</v>
      </c>
      <c r="F23" s="17" t="s">
        <v>21</v>
      </c>
      <c r="G23" s="18">
        <v>8349502.2383333333</v>
      </c>
      <c r="I23" s="4" t="str">
        <f>+F15</f>
        <v>ALIMENTACION</v>
      </c>
      <c r="J23" s="1">
        <f>+GETPIVOTDATA("COSTO",$F$13,"LABOR","ALEMANA")</f>
        <v>17594860</v>
      </c>
    </row>
    <row r="24" spans="1:10" hidden="1" x14ac:dyDescent="0.25">
      <c r="A24" s="6" t="s">
        <v>3</v>
      </c>
      <c r="B24" s="1">
        <f>+[3]CONSOLIDADO!$J$54</f>
        <v>52800</v>
      </c>
      <c r="C24" s="4">
        <v>2</v>
      </c>
      <c r="D24" s="7">
        <v>45230</v>
      </c>
      <c r="F24" s="17" t="s">
        <v>9</v>
      </c>
      <c r="G24" s="18">
        <v>8351199.9999999991</v>
      </c>
      <c r="I24" s="4" t="str">
        <f>+F28</f>
        <v>PICADA</v>
      </c>
      <c r="J24" s="1">
        <f>+GETPIVOTDATA("COSTO",$F$13,"LABOR","PICADA")</f>
        <v>131050298.40000001</v>
      </c>
    </row>
    <row r="25" spans="1:10" hidden="1" x14ac:dyDescent="0.25">
      <c r="A25" s="6" t="s">
        <v>4</v>
      </c>
      <c r="B25" s="1">
        <f>+[3]CONSOLIDADO!$K$54</f>
        <v>1945600</v>
      </c>
      <c r="C25" s="4">
        <v>2</v>
      </c>
      <c r="D25" s="7">
        <v>45230</v>
      </c>
      <c r="F25" s="17" t="s">
        <v>17</v>
      </c>
      <c r="G25" s="18">
        <v>18062800</v>
      </c>
      <c r="I25" s="4" t="s">
        <v>21</v>
      </c>
      <c r="J25" s="1">
        <f>+GETPIVOTDATA("COSTO",$F$13,"LABOR","MALACATEROS")</f>
        <v>8349502.2383333333</v>
      </c>
    </row>
    <row r="26" spans="1:10" hidden="1" x14ac:dyDescent="0.25">
      <c r="A26" s="6" t="s">
        <v>5</v>
      </c>
      <c r="B26" s="1">
        <f>+[3]CONSOLIDADO!$M$54</f>
        <v>1536100</v>
      </c>
      <c r="C26" s="4">
        <v>2</v>
      </c>
      <c r="D26" s="7">
        <v>45230</v>
      </c>
      <c r="F26" s="17" t="s">
        <v>23</v>
      </c>
      <c r="G26" s="18">
        <v>3983759.6875</v>
      </c>
      <c r="I26" s="4" t="str">
        <f>+F14</f>
        <v>ALEMANA</v>
      </c>
      <c r="J26" s="1">
        <f>+GETPIVOTDATA("COSTO",$F$13,"LABOR","ALEMANA")</f>
        <v>17594860</v>
      </c>
    </row>
    <row r="27" spans="1:10" hidden="1" x14ac:dyDescent="0.25">
      <c r="A27" s="6" t="s">
        <v>9</v>
      </c>
      <c r="B27" s="1">
        <f>+[3]CONSOLIDADO!$O$54</f>
        <v>1090800</v>
      </c>
      <c r="C27" s="4">
        <v>2</v>
      </c>
      <c r="D27" s="7">
        <v>45230</v>
      </c>
      <c r="F27" s="17" t="s">
        <v>22</v>
      </c>
      <c r="G27" s="18">
        <v>4633950.92</v>
      </c>
      <c r="I27" s="4" t="str">
        <f>+F25</f>
        <v>METRO DESPATE</v>
      </c>
      <c r="J27" s="1">
        <f>+GETPIVOTDATA("COSTO",$F$13,"LABOR","METRO DESPATE")</f>
        <v>18062800</v>
      </c>
    </row>
    <row r="28" spans="1:10" x14ac:dyDescent="0.25">
      <c r="A28" s="6" t="s">
        <v>10</v>
      </c>
      <c r="B28" s="1">
        <f>+[3]CONSOLIDADO!$L$54+[3]CONSOLIDADO!$P$54</f>
        <v>769953.1</v>
      </c>
      <c r="C28" s="4">
        <v>2</v>
      </c>
      <c r="D28" s="7">
        <v>45230</v>
      </c>
      <c r="F28" s="17" t="s">
        <v>14</v>
      </c>
      <c r="G28" s="18">
        <v>131050298.40000001</v>
      </c>
      <c r="I28" s="4" t="str">
        <f>+F35</f>
        <v>TURNO</v>
      </c>
      <c r="J28" s="1">
        <f>+GETPIVOTDATA("COSTO",$F$13,"LABOR","TURNO")</f>
        <v>11651700</v>
      </c>
    </row>
    <row r="29" spans="1:10" hidden="1" x14ac:dyDescent="0.25">
      <c r="A29" s="6" t="s">
        <v>7</v>
      </c>
      <c r="B29" s="1">
        <f>+[3]CONSOLIDADO!$Q$54</f>
        <v>300000</v>
      </c>
      <c r="C29" s="4">
        <v>2</v>
      </c>
      <c r="D29" s="7">
        <v>45230</v>
      </c>
      <c r="F29" s="17" t="s">
        <v>39</v>
      </c>
      <c r="G29" s="18">
        <v>150000</v>
      </c>
    </row>
    <row r="30" spans="1:10" hidden="1" x14ac:dyDescent="0.25">
      <c r="A30" s="6" t="s">
        <v>16</v>
      </c>
      <c r="B30" s="1">
        <f>+[3]CONSOLIDADO!$R$54</f>
        <v>3363500</v>
      </c>
      <c r="C30" s="4">
        <v>2</v>
      </c>
      <c r="D30" s="7">
        <v>45230</v>
      </c>
      <c r="F30" s="17" t="s">
        <v>38</v>
      </c>
      <c r="G30" s="18">
        <v>332000</v>
      </c>
    </row>
    <row r="31" spans="1:10" hidden="1" x14ac:dyDescent="0.25">
      <c r="A31" s="6" t="s">
        <v>18</v>
      </c>
      <c r="B31" s="1">
        <f>+[2]CONSOLIDADO!$Y$54</f>
        <v>566400</v>
      </c>
      <c r="C31" s="4">
        <v>2</v>
      </c>
      <c r="D31" s="7">
        <v>45230</v>
      </c>
      <c r="F31" s="17" t="s">
        <v>2</v>
      </c>
      <c r="G31" s="18">
        <v>10302135</v>
      </c>
    </row>
    <row r="32" spans="1:10" hidden="1" x14ac:dyDescent="0.25">
      <c r="A32" s="6" t="s">
        <v>8</v>
      </c>
      <c r="B32" s="1">
        <f>+[3]CONSOLIDADO!$S$54</f>
        <v>400000</v>
      </c>
      <c r="C32" s="4">
        <v>2</v>
      </c>
      <c r="D32" s="7">
        <v>45230</v>
      </c>
      <c r="F32" s="17" t="s">
        <v>34</v>
      </c>
      <c r="G32" s="18">
        <v>2049791.125</v>
      </c>
    </row>
    <row r="33" spans="1:10" hidden="1" x14ac:dyDescent="0.25">
      <c r="A33" s="6" t="s">
        <v>19</v>
      </c>
      <c r="B33" s="1">
        <f>+[3]CONSOLIDADO!$U$54</f>
        <v>33000</v>
      </c>
      <c r="C33" s="4">
        <v>2</v>
      </c>
      <c r="D33" s="7">
        <v>45230</v>
      </c>
      <c r="F33" s="17" t="s">
        <v>33</v>
      </c>
      <c r="G33" s="18">
        <v>8203800</v>
      </c>
    </row>
    <row r="34" spans="1:10" hidden="1" x14ac:dyDescent="0.25">
      <c r="A34" s="6" t="s">
        <v>21</v>
      </c>
      <c r="B34" s="1">
        <v>3039472</v>
      </c>
      <c r="C34" s="4">
        <v>2</v>
      </c>
      <c r="D34" s="7">
        <v>45230</v>
      </c>
      <c r="F34" s="17" t="s">
        <v>4</v>
      </c>
      <c r="G34" s="18">
        <v>6203200</v>
      </c>
    </row>
    <row r="35" spans="1:10" hidden="1" x14ac:dyDescent="0.25">
      <c r="A35" s="6" t="s">
        <v>22</v>
      </c>
      <c r="B35" s="1">
        <f>+SUM([3]CONSOLIDADO!$V$45:$V$46)</f>
        <v>1650188</v>
      </c>
      <c r="C35" s="4">
        <v>2</v>
      </c>
      <c r="D35" s="7">
        <v>45230</v>
      </c>
      <c r="F35" s="17" t="s">
        <v>5</v>
      </c>
      <c r="G35" s="18">
        <v>11651700</v>
      </c>
    </row>
    <row r="36" spans="1:10" hidden="1" x14ac:dyDescent="0.25">
      <c r="A36" s="6" t="s">
        <v>23</v>
      </c>
      <c r="B36" s="1">
        <f>+[3]CONSOLIDADO!$V$51</f>
        <v>1289260</v>
      </c>
      <c r="C36" s="4">
        <v>2</v>
      </c>
      <c r="D36" s="7">
        <v>45230</v>
      </c>
      <c r="F36" s="17" t="s">
        <v>37</v>
      </c>
      <c r="G36">
        <v>360000</v>
      </c>
    </row>
    <row r="37" spans="1:10" hidden="1" x14ac:dyDescent="0.25">
      <c r="A37" s="6" t="s">
        <v>33</v>
      </c>
      <c r="B37" s="1">
        <f>+SUM('[3]TOTAL DEFINIT '!$E$55:$E$56)</f>
        <v>2624320</v>
      </c>
      <c r="C37" s="4">
        <v>2</v>
      </c>
      <c r="D37" s="7">
        <v>45230</v>
      </c>
      <c r="F37" s="17" t="s">
        <v>48</v>
      </c>
      <c r="G37">
        <v>122500</v>
      </c>
    </row>
    <row r="38" spans="1:10" hidden="1" x14ac:dyDescent="0.25">
      <c r="A38" s="6" t="s">
        <v>34</v>
      </c>
      <c r="B38" s="1">
        <f>+'[3]TOTAL DEFINIT '!$E$35</f>
        <v>734490</v>
      </c>
      <c r="C38" s="4">
        <v>2</v>
      </c>
      <c r="D38" s="7">
        <v>45230</v>
      </c>
      <c r="F38" s="17" t="s">
        <v>50</v>
      </c>
      <c r="G38">
        <v>3164000</v>
      </c>
    </row>
    <row r="39" spans="1:10" hidden="1" x14ac:dyDescent="0.25">
      <c r="A39" s="6" t="s">
        <v>14</v>
      </c>
      <c r="B39" s="1">
        <f>+SUM([4]CONSOLIDADO!$C$55:$F$55)</f>
        <v>35337750</v>
      </c>
      <c r="C39" s="4">
        <v>1</v>
      </c>
      <c r="D39" s="7">
        <v>45245</v>
      </c>
      <c r="F39" s="17" t="s">
        <v>51</v>
      </c>
      <c r="G39">
        <v>528000</v>
      </c>
    </row>
    <row r="40" spans="1:10" hidden="1" x14ac:dyDescent="0.25">
      <c r="A40" s="6" t="s">
        <v>0</v>
      </c>
      <c r="B40" s="1">
        <f>+[4]CONSOLIDADO!$G$55</f>
        <v>2793000</v>
      </c>
      <c r="C40" s="4">
        <v>1</v>
      </c>
      <c r="D40" s="7">
        <v>45245</v>
      </c>
      <c r="F40" s="17" t="s">
        <v>52</v>
      </c>
      <c r="G40">
        <v>116550</v>
      </c>
    </row>
    <row r="41" spans="1:10" hidden="1" x14ac:dyDescent="0.25">
      <c r="A41" s="6" t="s">
        <v>1</v>
      </c>
      <c r="B41" s="1">
        <f>+'[4]TOTAL DEFINIT '!$W$59</f>
        <v>12240000</v>
      </c>
      <c r="C41" s="4">
        <v>1</v>
      </c>
      <c r="D41" s="7">
        <v>45245</v>
      </c>
      <c r="F41" s="17" t="s">
        <v>42</v>
      </c>
      <c r="G41">
        <v>312057043.37083334</v>
      </c>
      <c r="I41" s="16" t="s">
        <v>45</v>
      </c>
      <c r="J41" t="s">
        <v>43</v>
      </c>
    </row>
    <row r="42" spans="1:10" hidden="1" x14ac:dyDescent="0.25">
      <c r="A42" s="6" t="s">
        <v>2</v>
      </c>
      <c r="B42" s="1">
        <f>+[4]CONSOLIDADO!$J$55</f>
        <v>3236100</v>
      </c>
      <c r="C42" s="4">
        <v>1</v>
      </c>
      <c r="D42" s="7">
        <v>45245</v>
      </c>
    </row>
    <row r="43" spans="1:10" hidden="1" x14ac:dyDescent="0.25">
      <c r="A43" s="6" t="s">
        <v>3</v>
      </c>
      <c r="B43" s="1">
        <f>+[4]CONSOLIDADO!$K$55</f>
        <v>251800</v>
      </c>
      <c r="C43" s="4">
        <v>1</v>
      </c>
      <c r="D43" s="7">
        <v>45245</v>
      </c>
      <c r="I43" s="16" t="s">
        <v>41</v>
      </c>
      <c r="J43" t="s">
        <v>40</v>
      </c>
    </row>
    <row r="44" spans="1:10" hidden="1" x14ac:dyDescent="0.25">
      <c r="A44" s="6" t="s">
        <v>4</v>
      </c>
      <c r="B44" s="1">
        <f>+[4]CONSOLIDADO!$L$55</f>
        <v>1258200</v>
      </c>
      <c r="C44" s="4">
        <v>1</v>
      </c>
      <c r="D44" s="7">
        <v>45245</v>
      </c>
      <c r="I44" s="17" t="s">
        <v>0</v>
      </c>
      <c r="J44">
        <v>12749100</v>
      </c>
    </row>
    <row r="45" spans="1:10" hidden="1" x14ac:dyDescent="0.25">
      <c r="A45" s="6" t="s">
        <v>15</v>
      </c>
      <c r="B45" s="1">
        <f>+[4]CONSOLIDADO!$M$55</f>
        <v>23100</v>
      </c>
      <c r="C45" s="4">
        <v>1</v>
      </c>
      <c r="D45" s="7">
        <v>45245</v>
      </c>
      <c r="I45" s="24" t="s">
        <v>53</v>
      </c>
      <c r="J45">
        <v>12749100</v>
      </c>
    </row>
    <row r="46" spans="1:10" hidden="1" x14ac:dyDescent="0.25">
      <c r="A46" s="6" t="s">
        <v>5</v>
      </c>
      <c r="B46" s="1">
        <f>+[4]CONSOLIDADO!$O$55</f>
        <v>2555000</v>
      </c>
      <c r="C46" s="4">
        <v>1</v>
      </c>
      <c r="D46" s="7">
        <v>45245</v>
      </c>
      <c r="I46" s="17" t="s">
        <v>1</v>
      </c>
      <c r="J46">
        <v>23256000</v>
      </c>
    </row>
    <row r="47" spans="1:10" x14ac:dyDescent="0.25">
      <c r="A47" s="6" t="s">
        <v>10</v>
      </c>
      <c r="B47" s="1">
        <f>+[4]CONSOLIDADO!$N$55</f>
        <v>384929.99999999994</v>
      </c>
      <c r="C47" s="4">
        <v>1</v>
      </c>
      <c r="D47" s="7">
        <v>45245</v>
      </c>
      <c r="I47" s="24" t="s">
        <v>53</v>
      </c>
      <c r="J47">
        <v>23256000</v>
      </c>
    </row>
    <row r="48" spans="1:10" hidden="1" x14ac:dyDescent="0.25">
      <c r="A48" s="6" t="s">
        <v>16</v>
      </c>
      <c r="B48" s="1">
        <f>+[4]CONSOLIDADO!$T$55</f>
        <v>2611000</v>
      </c>
      <c r="C48" s="4">
        <v>1</v>
      </c>
      <c r="D48" s="7">
        <v>45245</v>
      </c>
      <c r="I48" s="17" t="s">
        <v>36</v>
      </c>
      <c r="J48">
        <v>5507160</v>
      </c>
    </row>
    <row r="49" spans="1:10" hidden="1" x14ac:dyDescent="0.25">
      <c r="A49" s="6" t="s">
        <v>24</v>
      </c>
      <c r="B49" s="1">
        <f>+[4]CONSOLIDADO!$S$55</f>
        <v>300000</v>
      </c>
      <c r="C49" s="4">
        <v>1</v>
      </c>
      <c r="D49" s="7">
        <v>45245</v>
      </c>
      <c r="I49" s="24" t="s">
        <v>53</v>
      </c>
      <c r="J49">
        <v>5507160</v>
      </c>
    </row>
    <row r="50" spans="1:10" hidden="1" x14ac:dyDescent="0.25">
      <c r="A50" s="6" t="s">
        <v>25</v>
      </c>
      <c r="B50" s="1">
        <f>+[4]CONSOLIDADO!$V$55</f>
        <v>600000</v>
      </c>
      <c r="C50" s="4">
        <v>1</v>
      </c>
      <c r="D50" s="7">
        <v>45245</v>
      </c>
      <c r="I50" s="17" t="s">
        <v>3</v>
      </c>
      <c r="J50">
        <v>1741000</v>
      </c>
    </row>
    <row r="51" spans="1:10" hidden="1" x14ac:dyDescent="0.25">
      <c r="A51" s="6" t="s">
        <v>26</v>
      </c>
      <c r="B51" s="1">
        <f>+[4]CONSOLIDADO!$X$55</f>
        <v>200000</v>
      </c>
      <c r="C51" s="4">
        <v>1</v>
      </c>
      <c r="D51" s="7">
        <v>45245</v>
      </c>
      <c r="I51" s="24" t="s">
        <v>53</v>
      </c>
      <c r="J51">
        <v>1741000</v>
      </c>
    </row>
    <row r="52" spans="1:10" hidden="1" x14ac:dyDescent="0.25">
      <c r="A52" s="6" t="s">
        <v>19</v>
      </c>
      <c r="B52" s="1">
        <f>+[4]CONSOLIDADO!$Y$55</f>
        <v>35000</v>
      </c>
      <c r="C52" s="4">
        <v>1</v>
      </c>
      <c r="D52" s="7">
        <v>45245</v>
      </c>
      <c r="I52" s="17" t="s">
        <v>35</v>
      </c>
      <c r="J52">
        <v>2036890</v>
      </c>
    </row>
    <row r="53" spans="1:10" hidden="1" x14ac:dyDescent="0.25">
      <c r="A53" s="6" t="s">
        <v>21</v>
      </c>
      <c r="B53" s="1">
        <f>+[4]CONSOLIDADO!$Z$35+[4]CONSOLIDADO!$Z$5+[4]CONSOLIDADO!$Z$6</f>
        <v>3025899.958333333</v>
      </c>
      <c r="C53" s="4">
        <v>1</v>
      </c>
      <c r="D53" s="7">
        <v>45245</v>
      </c>
      <c r="I53" s="24" t="s">
        <v>53</v>
      </c>
      <c r="J53">
        <v>2036890</v>
      </c>
    </row>
    <row r="54" spans="1:10" hidden="1" x14ac:dyDescent="0.25">
      <c r="A54" s="6" t="s">
        <v>22</v>
      </c>
      <c r="B54" s="1">
        <f>+[4]CONSOLIDADO!$Z$46+[4]CONSOLIDADO!$Z$47</f>
        <v>1778980</v>
      </c>
      <c r="C54" s="4">
        <v>1</v>
      </c>
      <c r="D54" s="7">
        <v>45245</v>
      </c>
      <c r="I54" s="17" t="s">
        <v>16</v>
      </c>
      <c r="J54">
        <v>4133500</v>
      </c>
    </row>
    <row r="55" spans="1:10" hidden="1" x14ac:dyDescent="0.25">
      <c r="A55" s="6" t="s">
        <v>23</v>
      </c>
      <c r="B55" s="1">
        <f>+[4]CONSOLIDADO!$Z$52</f>
        <v>1305050</v>
      </c>
      <c r="C55" s="4">
        <v>1</v>
      </c>
      <c r="D55" s="7">
        <v>45245</v>
      </c>
      <c r="I55" s="24" t="s">
        <v>53</v>
      </c>
      <c r="J55">
        <v>4133500</v>
      </c>
    </row>
    <row r="56" spans="1:10" hidden="1" x14ac:dyDescent="0.25">
      <c r="A56" s="6" t="s">
        <v>33</v>
      </c>
      <c r="B56" s="1">
        <f>+SUM([4]CONSOLIDADO!$Z$53:$Z$54)</f>
        <v>2323080</v>
      </c>
      <c r="C56" s="4">
        <v>1</v>
      </c>
      <c r="D56" s="7">
        <v>45245</v>
      </c>
      <c r="I56" s="17" t="s">
        <v>10</v>
      </c>
      <c r="J56">
        <v>683305</v>
      </c>
    </row>
    <row r="57" spans="1:10" hidden="1" x14ac:dyDescent="0.25">
      <c r="A57" s="6" t="s">
        <v>34</v>
      </c>
      <c r="B57" s="1">
        <f>+'[4]TOTAL DEFINIT '!$E$36</f>
        <v>734490</v>
      </c>
      <c r="C57" s="4">
        <v>1</v>
      </c>
      <c r="D57" s="7">
        <v>45245</v>
      </c>
      <c r="I57" s="24" t="s">
        <v>53</v>
      </c>
      <c r="J57">
        <v>683305</v>
      </c>
    </row>
    <row r="58" spans="1:10" hidden="1" x14ac:dyDescent="0.25">
      <c r="A58" s="6" t="s">
        <v>14</v>
      </c>
      <c r="B58" s="1">
        <f>+SUM([5]CONSOLIDADO!$C$53:$F$53)</f>
        <v>44409191.5</v>
      </c>
      <c r="C58" s="4">
        <v>2</v>
      </c>
      <c r="D58" s="7">
        <v>45260</v>
      </c>
      <c r="I58" s="17" t="s">
        <v>24</v>
      </c>
      <c r="J58">
        <v>600000</v>
      </c>
    </row>
    <row r="59" spans="1:10" hidden="1" x14ac:dyDescent="0.25">
      <c r="A59" s="6" t="s">
        <v>0</v>
      </c>
      <c r="B59" s="1">
        <f>+[5]CONSOLIDADO!$G$53</f>
        <v>3532900</v>
      </c>
      <c r="C59" s="4">
        <v>2</v>
      </c>
      <c r="D59" s="7">
        <v>45260</v>
      </c>
      <c r="I59" s="24" t="s">
        <v>53</v>
      </c>
      <c r="J59">
        <v>600000</v>
      </c>
    </row>
    <row r="60" spans="1:10" hidden="1" x14ac:dyDescent="0.25">
      <c r="A60" s="6" t="s">
        <v>1</v>
      </c>
      <c r="B60" s="1">
        <f>+'[5]TOTAL DEFINIT '!$W$60</f>
        <v>13421500</v>
      </c>
      <c r="C60" s="4">
        <v>2</v>
      </c>
      <c r="D60" s="7">
        <v>45260</v>
      </c>
      <c r="I60" s="17" t="s">
        <v>6</v>
      </c>
      <c r="J60">
        <v>836800</v>
      </c>
    </row>
    <row r="61" spans="1:10" hidden="1" x14ac:dyDescent="0.25">
      <c r="A61" s="6" t="s">
        <v>2</v>
      </c>
      <c r="B61" s="1">
        <f>+[5]CONSOLIDADO!$J$53</f>
        <v>3060500</v>
      </c>
      <c r="C61" s="4">
        <v>2</v>
      </c>
      <c r="D61" s="7">
        <v>45260</v>
      </c>
      <c r="I61" s="24" t="s">
        <v>53</v>
      </c>
      <c r="J61">
        <v>836800</v>
      </c>
    </row>
    <row r="62" spans="1:10" hidden="1" x14ac:dyDescent="0.25">
      <c r="A62" s="6" t="s">
        <v>3</v>
      </c>
      <c r="B62" s="1">
        <f>+[5]CONSOLIDADO!$K$53</f>
        <v>440040</v>
      </c>
      <c r="C62" s="4">
        <v>2</v>
      </c>
      <c r="D62" s="7">
        <v>45260</v>
      </c>
      <c r="I62" s="17" t="s">
        <v>21</v>
      </c>
      <c r="J62">
        <v>5133595.5549999997</v>
      </c>
    </row>
    <row r="63" spans="1:10" hidden="1" x14ac:dyDescent="0.25">
      <c r="A63" s="6" t="s">
        <v>4</v>
      </c>
      <c r="B63" s="1">
        <f>+[5]CONSOLIDADO!$L$53</f>
        <v>1373550</v>
      </c>
      <c r="C63" s="4">
        <v>2</v>
      </c>
      <c r="D63" s="7">
        <v>45260</v>
      </c>
      <c r="I63" s="24" t="s">
        <v>53</v>
      </c>
      <c r="J63">
        <v>5133595.5549999997</v>
      </c>
    </row>
    <row r="64" spans="1:10" hidden="1" x14ac:dyDescent="0.25">
      <c r="A64" s="6" t="s">
        <v>5</v>
      </c>
      <c r="B64" s="1">
        <f>+[5]CONSOLIDADO!$N$53</f>
        <v>4074630</v>
      </c>
      <c r="C64" s="4">
        <v>2</v>
      </c>
      <c r="D64" s="7">
        <v>45260</v>
      </c>
      <c r="I64" s="17" t="s">
        <v>17</v>
      </c>
      <c r="J64">
        <v>9621400</v>
      </c>
    </row>
    <row r="65" spans="1:10" x14ac:dyDescent="0.25">
      <c r="A65" s="6" t="s">
        <v>10</v>
      </c>
      <c r="B65" s="1">
        <f>+[5]CONSOLIDADO!$M$53+[5]CONSOLIDADO!$Q$53</f>
        <v>384929.99999999994</v>
      </c>
      <c r="C65" s="4">
        <v>2</v>
      </c>
      <c r="D65" s="7">
        <v>45260</v>
      </c>
      <c r="I65" s="24" t="s">
        <v>53</v>
      </c>
      <c r="J65">
        <v>9621400</v>
      </c>
    </row>
    <row r="66" spans="1:10" hidden="1" x14ac:dyDescent="0.25">
      <c r="A66" s="6" t="s">
        <v>27</v>
      </c>
      <c r="B66" s="1">
        <f>+[5]CONSOLIDADO!$O$53</f>
        <v>852200</v>
      </c>
      <c r="C66" s="4">
        <v>2</v>
      </c>
      <c r="D66" s="7">
        <v>45260</v>
      </c>
      <c r="I66" s="17" t="s">
        <v>23</v>
      </c>
      <c r="J66">
        <v>2639711.5625</v>
      </c>
    </row>
    <row r="67" spans="1:10" hidden="1" x14ac:dyDescent="0.25">
      <c r="A67" s="6" t="s">
        <v>28</v>
      </c>
      <c r="B67" s="1">
        <f>+[5]CONSOLIDADO!$P$53</f>
        <v>616500</v>
      </c>
      <c r="C67" s="4">
        <v>2</v>
      </c>
      <c r="D67" s="7">
        <v>45260</v>
      </c>
      <c r="I67" s="24" t="s">
        <v>53</v>
      </c>
      <c r="J67">
        <v>2639711.5625</v>
      </c>
    </row>
    <row r="68" spans="1:10" hidden="1" x14ac:dyDescent="0.25">
      <c r="A68" s="6" t="s">
        <v>16</v>
      </c>
      <c r="B68" s="1">
        <f>+[5]CONSOLIDADO!$S$53</f>
        <v>3402000</v>
      </c>
      <c r="C68" s="4">
        <v>2</v>
      </c>
      <c r="D68" s="7">
        <v>45260</v>
      </c>
      <c r="I68" s="17" t="s">
        <v>22</v>
      </c>
      <c r="J68">
        <v>2758295.92</v>
      </c>
    </row>
    <row r="69" spans="1:10" hidden="1" x14ac:dyDescent="0.25">
      <c r="A69" s="6" t="s">
        <v>29</v>
      </c>
      <c r="B69" s="1">
        <f>+[5]CONSOLIDADO!$T$53</f>
        <v>150000</v>
      </c>
      <c r="C69" s="4">
        <v>2</v>
      </c>
      <c r="D69" s="7">
        <v>45260</v>
      </c>
      <c r="I69" s="24" t="s">
        <v>53</v>
      </c>
      <c r="J69">
        <v>2758295.92</v>
      </c>
    </row>
    <row r="70" spans="1:10" hidden="1" x14ac:dyDescent="0.25">
      <c r="A70" s="6" t="s">
        <v>30</v>
      </c>
      <c r="B70" s="1">
        <f>+[5]CONSOLIDADO!$V$53</f>
        <v>80000</v>
      </c>
      <c r="C70" s="4">
        <v>2</v>
      </c>
      <c r="D70" s="7">
        <v>45260</v>
      </c>
      <c r="I70" s="17" t="s">
        <v>14</v>
      </c>
      <c r="J70">
        <v>53085371.5</v>
      </c>
    </row>
    <row r="71" spans="1:10" hidden="1" x14ac:dyDescent="0.25">
      <c r="A71" s="6" t="s">
        <v>21</v>
      </c>
      <c r="B71" s="1">
        <f>+[5]CONSOLIDADO!$X$33+[5]CONSOLIDADO!$X$6</f>
        <v>3217291.458333334</v>
      </c>
      <c r="C71" s="4">
        <v>2</v>
      </c>
      <c r="D71" s="7">
        <v>45260</v>
      </c>
      <c r="I71" s="24" t="s">
        <v>53</v>
      </c>
      <c r="J71">
        <v>53085371.5</v>
      </c>
    </row>
    <row r="72" spans="1:10" hidden="1" x14ac:dyDescent="0.25">
      <c r="A72" s="6" t="s">
        <v>22</v>
      </c>
      <c r="B72" s="1">
        <f>+[5]CONSOLIDADO!$X$44+[5]CONSOLIDADO!$X$45</f>
        <v>2070188</v>
      </c>
      <c r="C72" s="4">
        <v>2</v>
      </c>
      <c r="D72" s="7">
        <v>45260</v>
      </c>
      <c r="I72" s="17" t="s">
        <v>39</v>
      </c>
      <c r="J72">
        <v>150000</v>
      </c>
    </row>
    <row r="73" spans="1:10" hidden="1" x14ac:dyDescent="0.25">
      <c r="A73" s="6" t="s">
        <v>23</v>
      </c>
      <c r="B73" s="1">
        <f>+[5]CONSOLIDADO!$X$50</f>
        <v>1465680</v>
      </c>
      <c r="C73" s="4">
        <v>2</v>
      </c>
      <c r="D73" s="7">
        <v>45260</v>
      </c>
      <c r="I73" s="24" t="s">
        <v>53</v>
      </c>
      <c r="J73">
        <v>150000</v>
      </c>
    </row>
    <row r="74" spans="1:10" hidden="1" x14ac:dyDescent="0.25">
      <c r="A74" s="6" t="s">
        <v>33</v>
      </c>
      <c r="B74" s="1">
        <f>+SUM([5]CONSOLIDADO!$X$51:$X$52)</f>
        <v>3456295</v>
      </c>
      <c r="C74" s="4">
        <v>2</v>
      </c>
      <c r="D74" s="7">
        <v>45260</v>
      </c>
      <c r="I74" s="17" t="s">
        <v>38</v>
      </c>
      <c r="J74">
        <v>332000</v>
      </c>
    </row>
    <row r="75" spans="1:10" hidden="1" x14ac:dyDescent="0.25">
      <c r="A75" s="6" t="s">
        <v>34</v>
      </c>
      <c r="B75" s="1">
        <f>+'[5]TOTAL DEFINIT '!$S$36</f>
        <v>832422</v>
      </c>
      <c r="C75" s="4">
        <v>2</v>
      </c>
      <c r="D75" s="7">
        <v>45260</v>
      </c>
      <c r="I75" s="24" t="s">
        <v>53</v>
      </c>
      <c r="J75">
        <v>332000</v>
      </c>
    </row>
    <row r="76" spans="1:10" hidden="1" x14ac:dyDescent="0.25">
      <c r="A76" s="6" t="s">
        <v>14</v>
      </c>
      <c r="B76" s="1">
        <f>+SUM([6]CONSOLIDADO!$C$53:$E$53)</f>
        <v>49453978</v>
      </c>
      <c r="C76" s="4">
        <v>1</v>
      </c>
      <c r="D76" s="7">
        <v>45275</v>
      </c>
      <c r="I76" s="17" t="s">
        <v>2</v>
      </c>
      <c r="J76">
        <v>5845070</v>
      </c>
    </row>
    <row r="77" spans="1:10" hidden="1" x14ac:dyDescent="0.25">
      <c r="A77" s="6" t="s">
        <v>0</v>
      </c>
      <c r="B77" s="1">
        <f>+[6]CONSOLIDADO!$F$53</f>
        <v>1607900</v>
      </c>
      <c r="C77" s="4">
        <v>1</v>
      </c>
      <c r="D77" s="7">
        <v>45275</v>
      </c>
      <c r="I77" s="24" t="s">
        <v>53</v>
      </c>
      <c r="J77">
        <v>5845070</v>
      </c>
    </row>
    <row r="78" spans="1:10" hidden="1" x14ac:dyDescent="0.25">
      <c r="A78" s="6" t="s">
        <v>1</v>
      </c>
      <c r="B78" s="1">
        <f>+'[6]TOTAL DEFINIT '!$W$56</f>
        <v>10370000</v>
      </c>
      <c r="C78" s="4">
        <v>1</v>
      </c>
      <c r="D78" s="7">
        <v>45275</v>
      </c>
      <c r="I78" s="17" t="s">
        <v>34</v>
      </c>
      <c r="J78">
        <v>1177320.125</v>
      </c>
    </row>
    <row r="79" spans="1:10" hidden="1" x14ac:dyDescent="0.25">
      <c r="A79" s="6" t="s">
        <v>2</v>
      </c>
      <c r="B79" s="1">
        <f>+[6]CONSOLIDADO!$I$53</f>
        <v>3376100.0000000005</v>
      </c>
      <c r="C79" s="4">
        <v>1</v>
      </c>
      <c r="D79" s="7">
        <v>45275</v>
      </c>
      <c r="I79" s="24" t="s">
        <v>53</v>
      </c>
      <c r="J79">
        <v>1177320.125</v>
      </c>
    </row>
    <row r="80" spans="1:10" hidden="1" x14ac:dyDescent="0.25">
      <c r="A80" s="6" t="s">
        <v>3</v>
      </c>
      <c r="B80" s="1">
        <f>+[6]CONSOLIDADO!$J$53</f>
        <v>99000</v>
      </c>
      <c r="C80" s="4">
        <v>1</v>
      </c>
      <c r="D80" s="7">
        <v>45275</v>
      </c>
      <c r="I80" s="17" t="s">
        <v>33</v>
      </c>
      <c r="J80">
        <v>5469200</v>
      </c>
    </row>
    <row r="81" spans="1:10" hidden="1" x14ac:dyDescent="0.25">
      <c r="A81" s="6" t="s">
        <v>4</v>
      </c>
      <c r="B81" s="1">
        <f>+[6]CONSOLIDADO!$K$53</f>
        <v>1332250</v>
      </c>
      <c r="C81" s="4">
        <v>1</v>
      </c>
      <c r="D81" s="7">
        <v>45275</v>
      </c>
      <c r="I81" s="24" t="s">
        <v>53</v>
      </c>
      <c r="J81">
        <v>5469200</v>
      </c>
    </row>
    <row r="82" spans="1:10" hidden="1" x14ac:dyDescent="0.25">
      <c r="A82" s="6" t="s">
        <v>5</v>
      </c>
      <c r="B82" s="1">
        <f>+[6]CONSOLIDADO!$M$53+[6]CONSOLIDADO!$L$53</f>
        <v>1793750</v>
      </c>
      <c r="C82" s="4">
        <v>1</v>
      </c>
      <c r="D82" s="7">
        <v>45275</v>
      </c>
      <c r="I82" s="17" t="s">
        <v>4</v>
      </c>
      <c r="J82">
        <v>4341900</v>
      </c>
    </row>
    <row r="83" spans="1:10" x14ac:dyDescent="0.25">
      <c r="A83" s="6" t="s">
        <v>10</v>
      </c>
      <c r="B83" s="1">
        <f>+[6]CONSOLIDADO!$P$53</f>
        <v>288750</v>
      </c>
      <c r="C83" s="4">
        <v>1</v>
      </c>
      <c r="D83" s="7">
        <v>45275</v>
      </c>
      <c r="I83" s="24" t="s">
        <v>53</v>
      </c>
      <c r="J83">
        <v>4341900</v>
      </c>
    </row>
    <row r="84" spans="1:10" hidden="1" x14ac:dyDescent="0.25">
      <c r="A84" s="6" t="s">
        <v>27</v>
      </c>
      <c r="B84" s="1">
        <f>+[6]CONSOLIDADO!$N$53</f>
        <v>157300</v>
      </c>
      <c r="C84" s="4">
        <v>1</v>
      </c>
      <c r="D84" s="7">
        <v>45275</v>
      </c>
      <c r="I84" s="17" t="s">
        <v>5</v>
      </c>
      <c r="J84">
        <v>5995000</v>
      </c>
    </row>
    <row r="85" spans="1:10" hidden="1" x14ac:dyDescent="0.25">
      <c r="A85" s="6" t="s">
        <v>24</v>
      </c>
      <c r="B85" s="1">
        <f>+[6]CONSOLIDADO!$Q$53</f>
        <v>300000</v>
      </c>
      <c r="C85" s="4">
        <v>1</v>
      </c>
      <c r="D85" s="7">
        <v>45275</v>
      </c>
      <c r="I85" s="24" t="s">
        <v>53</v>
      </c>
      <c r="J85">
        <v>5995000</v>
      </c>
    </row>
    <row r="86" spans="1:10" hidden="1" x14ac:dyDescent="0.25">
      <c r="A86" s="6" t="s">
        <v>16</v>
      </c>
      <c r="B86" s="1">
        <f>+[6]CONSOLIDADO!$R$53</f>
        <v>3951500</v>
      </c>
      <c r="C86" s="4">
        <v>1</v>
      </c>
      <c r="D86" s="7">
        <v>45275</v>
      </c>
      <c r="I86" s="17" t="s">
        <v>37</v>
      </c>
      <c r="J86">
        <v>360000</v>
      </c>
    </row>
    <row r="87" spans="1:10" hidden="1" x14ac:dyDescent="0.25">
      <c r="A87" s="6" t="s">
        <v>31</v>
      </c>
      <c r="B87" s="1">
        <f>+[6]CONSOLIDADO!$T$53</f>
        <v>90000</v>
      </c>
      <c r="C87" s="4">
        <v>1</v>
      </c>
      <c r="D87" s="7">
        <v>45275</v>
      </c>
      <c r="I87" s="24" t="s">
        <v>53</v>
      </c>
      <c r="J87">
        <v>360000</v>
      </c>
    </row>
    <row r="88" spans="1:10" hidden="1" x14ac:dyDescent="0.25">
      <c r="A88" s="6" t="s">
        <v>32</v>
      </c>
      <c r="B88" s="1">
        <f>+[6]CONSOLIDADO!$V$53</f>
        <v>160000</v>
      </c>
      <c r="C88" s="4">
        <v>1</v>
      </c>
      <c r="D88" s="7">
        <v>45275</v>
      </c>
      <c r="I88" s="17" t="s">
        <v>42</v>
      </c>
      <c r="J88">
        <v>148452619.66250002</v>
      </c>
    </row>
    <row r="89" spans="1:10" hidden="1" x14ac:dyDescent="0.25">
      <c r="A89" s="6" t="s">
        <v>21</v>
      </c>
      <c r="B89" s="1">
        <f>+SUM([6]CONSOLIDADO!$W$43+[6]CONSOLIDADO!$W$32+[6]CONSOLIDADO!$W$16)</f>
        <v>3223845.0133333332</v>
      </c>
      <c r="C89" s="4">
        <v>1</v>
      </c>
      <c r="D89" s="7">
        <v>45275</v>
      </c>
    </row>
    <row r="90" spans="1:10" hidden="1" x14ac:dyDescent="0.25">
      <c r="A90" s="6" t="s">
        <v>22</v>
      </c>
      <c r="B90" s="1">
        <f>+[6]CONSOLIDADO!$W$44+[6]CONSOLIDADO!$W$45</f>
        <v>1639584</v>
      </c>
      <c r="C90" s="4">
        <v>1</v>
      </c>
      <c r="D90" s="7">
        <v>45275</v>
      </c>
    </row>
    <row r="91" spans="1:10" hidden="1" x14ac:dyDescent="0.25">
      <c r="A91" s="6" t="s">
        <v>23</v>
      </c>
      <c r="B91" s="1">
        <f>+[6]CONSOLIDADO!$W$50</f>
        <v>1453340</v>
      </c>
      <c r="C91" s="4">
        <v>1</v>
      </c>
      <c r="D91" s="7">
        <v>45275</v>
      </c>
    </row>
    <row r="92" spans="1:10" hidden="1" x14ac:dyDescent="0.25">
      <c r="A92" s="6" t="s">
        <v>33</v>
      </c>
      <c r="B92" s="1">
        <f>+SUM([6]CONSOLIDADO!$W$51+[6]CONSOLIDADO!$W$52)</f>
        <v>2486000</v>
      </c>
      <c r="C92" s="4">
        <v>1</v>
      </c>
      <c r="D92" s="7">
        <v>45275</v>
      </c>
    </row>
    <row r="93" spans="1:10" hidden="1" x14ac:dyDescent="0.25">
      <c r="A93" s="6" t="s">
        <v>34</v>
      </c>
      <c r="B93" s="1">
        <f>+[6]CONSOLIDADO!$W$29</f>
        <v>734000</v>
      </c>
      <c r="C93" s="4">
        <v>1</v>
      </c>
      <c r="D93" s="7">
        <v>45275</v>
      </c>
    </row>
    <row r="94" spans="1:10" hidden="1" x14ac:dyDescent="0.25">
      <c r="A94" s="6" t="s">
        <v>14</v>
      </c>
      <c r="B94" s="1">
        <f>+SUM([7]CONSOLIDADO!$C$53:$E$53)</f>
        <v>20183555</v>
      </c>
      <c r="C94" s="4">
        <v>2</v>
      </c>
      <c r="D94" s="7">
        <v>45291</v>
      </c>
    </row>
    <row r="95" spans="1:10" hidden="1" x14ac:dyDescent="0.25">
      <c r="A95" s="6" t="s">
        <v>0</v>
      </c>
      <c r="B95" s="1">
        <f>+[7]CONSOLIDADO!$F$53</f>
        <v>790300</v>
      </c>
      <c r="C95" s="4">
        <v>2</v>
      </c>
      <c r="D95" s="7">
        <v>45291</v>
      </c>
    </row>
    <row r="96" spans="1:10" hidden="1" x14ac:dyDescent="0.25">
      <c r="A96" s="6" t="s">
        <v>1</v>
      </c>
      <c r="B96" s="1">
        <f>+'[7]TOTAL DEFINIT '!$S$56</f>
        <v>5576000</v>
      </c>
      <c r="C96" s="4">
        <v>2</v>
      </c>
      <c r="D96" s="7">
        <v>45291</v>
      </c>
    </row>
    <row r="97" spans="1:4" hidden="1" x14ac:dyDescent="0.25">
      <c r="A97" s="6" t="s">
        <v>2</v>
      </c>
      <c r="B97" s="1">
        <f>+[7]CONSOLIDADO!$I$53</f>
        <v>1141350</v>
      </c>
      <c r="C97" s="4">
        <v>2</v>
      </c>
      <c r="D97" s="7">
        <v>45291</v>
      </c>
    </row>
    <row r="98" spans="1:4" hidden="1" x14ac:dyDescent="0.25">
      <c r="A98" s="6" t="s">
        <v>3</v>
      </c>
      <c r="B98" s="1">
        <f>+[7]CONSOLIDADO!$J$53</f>
        <v>1002000</v>
      </c>
      <c r="C98" s="4">
        <v>2</v>
      </c>
      <c r="D98" s="7">
        <v>45291</v>
      </c>
    </row>
    <row r="99" spans="1:4" hidden="1" x14ac:dyDescent="0.25">
      <c r="A99" s="6" t="s">
        <v>4</v>
      </c>
      <c r="B99" s="1">
        <f>+[7]CONSOLIDADO!$K$53</f>
        <v>304650</v>
      </c>
      <c r="C99" s="4">
        <v>2</v>
      </c>
      <c r="D99" s="7">
        <v>45291</v>
      </c>
    </row>
    <row r="100" spans="1:4" hidden="1" x14ac:dyDescent="0.25">
      <c r="A100" s="6" t="s">
        <v>5</v>
      </c>
      <c r="B100" s="1">
        <f>+SUM([7]CONSOLIDADO!$L$53:$M$53)</f>
        <v>1225000</v>
      </c>
      <c r="C100" s="4">
        <v>2</v>
      </c>
      <c r="D100" s="7">
        <v>45291</v>
      </c>
    </row>
    <row r="101" spans="1:4" x14ac:dyDescent="0.25">
      <c r="A101" s="6" t="s">
        <v>10</v>
      </c>
      <c r="B101" s="1">
        <f>+[7]CONSOLIDADO!$P$53</f>
        <v>384929.99999999994</v>
      </c>
      <c r="C101" s="4">
        <v>2</v>
      </c>
      <c r="D101" s="7">
        <v>45291</v>
      </c>
    </row>
    <row r="102" spans="1:4" hidden="1" x14ac:dyDescent="0.25">
      <c r="A102" s="6" t="s">
        <v>35</v>
      </c>
      <c r="B102" s="1">
        <f>+[7]CONSOLIDADO!$U$53</f>
        <v>407330</v>
      </c>
      <c r="C102" s="4">
        <v>2</v>
      </c>
      <c r="D102" s="7">
        <v>45291</v>
      </c>
    </row>
    <row r="103" spans="1:4" hidden="1" x14ac:dyDescent="0.25">
      <c r="A103" s="6" t="s">
        <v>37</v>
      </c>
      <c r="B103" s="1">
        <f>+[7]CONSOLIDADO!$W$53</f>
        <v>360000</v>
      </c>
      <c r="C103" s="4">
        <v>2</v>
      </c>
      <c r="D103" s="7">
        <v>45291</v>
      </c>
    </row>
    <row r="104" spans="1:4" hidden="1" x14ac:dyDescent="0.25">
      <c r="A104" s="6" t="s">
        <v>16</v>
      </c>
      <c r="B104" s="1">
        <f>+[7]CONSOLIDADO!$R$53</f>
        <v>1393000</v>
      </c>
      <c r="C104" s="4">
        <v>2</v>
      </c>
      <c r="D104" s="7">
        <v>45291</v>
      </c>
    </row>
    <row r="105" spans="1:4" hidden="1" x14ac:dyDescent="0.25">
      <c r="A105" s="6" t="s">
        <v>36</v>
      </c>
      <c r="B105" s="1">
        <f>+[7]CONSOLIDADO!$V$53</f>
        <v>800000</v>
      </c>
      <c r="C105" s="4">
        <v>2</v>
      </c>
      <c r="D105" s="7">
        <v>45291</v>
      </c>
    </row>
    <row r="106" spans="1:4" hidden="1" x14ac:dyDescent="0.25">
      <c r="A106" s="6" t="s">
        <v>32</v>
      </c>
      <c r="B106" s="1">
        <f>+[7]CONSOLIDADO!$Y$53</f>
        <v>360000</v>
      </c>
      <c r="C106" s="4">
        <v>2</v>
      </c>
      <c r="D106" s="7">
        <v>45291</v>
      </c>
    </row>
    <row r="107" spans="1:4" hidden="1" x14ac:dyDescent="0.25">
      <c r="A107" s="6" t="s">
        <v>21</v>
      </c>
      <c r="B107" s="1">
        <f>+SUM([7]CONSOLIDADO!$Z$16+[7]CONSOLIDADO!$Z$32+[7]CONSOLIDADO!$Z$43)</f>
        <v>1868469.8333333333</v>
      </c>
      <c r="C107" s="4">
        <v>2</v>
      </c>
      <c r="D107" s="7">
        <v>45291</v>
      </c>
    </row>
    <row r="108" spans="1:4" hidden="1" x14ac:dyDescent="0.25">
      <c r="A108" s="6" t="s">
        <v>22</v>
      </c>
      <c r="B108" s="1">
        <f>+SUM([7]CONSOLIDADO!$Z$44+[7]CONSOLIDADO!$Z$45)</f>
        <v>1226448</v>
      </c>
      <c r="C108" s="4">
        <v>2</v>
      </c>
      <c r="D108" s="7">
        <v>45291</v>
      </c>
    </row>
    <row r="109" spans="1:4" hidden="1" x14ac:dyDescent="0.25">
      <c r="A109" s="6" t="s">
        <v>23</v>
      </c>
      <c r="B109" s="1">
        <f>+[7]CONSOLIDADO!$Z$50</f>
        <v>1159180</v>
      </c>
      <c r="C109" s="4">
        <v>2</v>
      </c>
      <c r="D109" s="7">
        <v>45291</v>
      </c>
    </row>
    <row r="110" spans="1:4" hidden="1" x14ac:dyDescent="0.25">
      <c r="A110" s="6" t="s">
        <v>33</v>
      </c>
      <c r="B110" s="1">
        <f>+SUM([7]CONSOLIDADO!$Z$51:$Z$52)</f>
        <v>2486000</v>
      </c>
      <c r="C110" s="4">
        <v>2</v>
      </c>
      <c r="D110" s="7">
        <v>45291</v>
      </c>
    </row>
    <row r="111" spans="1:4" hidden="1" x14ac:dyDescent="0.25">
      <c r="A111" s="6" t="s">
        <v>34</v>
      </c>
      <c r="B111" s="1">
        <f>+'[7]TOTAL DEFINIT '!$P$33</f>
        <v>313382.40000000002</v>
      </c>
      <c r="C111" s="4">
        <v>2</v>
      </c>
      <c r="D111" s="7">
        <v>45291</v>
      </c>
    </row>
    <row r="112" spans="1:4" hidden="1" x14ac:dyDescent="0.25">
      <c r="A112" s="6" t="s">
        <v>14</v>
      </c>
      <c r="B112" s="1">
        <f>+SUM([8]CONSOLIDADO!$C$62:$E$62)</f>
        <v>12698108.5</v>
      </c>
      <c r="C112" s="4">
        <v>1</v>
      </c>
      <c r="D112" s="7">
        <v>45306</v>
      </c>
    </row>
    <row r="113" spans="1:7" hidden="1" x14ac:dyDescent="0.25">
      <c r="A113" s="6" t="s">
        <v>0</v>
      </c>
      <c r="B113" s="1">
        <f>+[8]CONSOLIDADO!$F$62</f>
        <v>5416600</v>
      </c>
      <c r="C113" s="4">
        <v>1</v>
      </c>
      <c r="D113" s="7">
        <v>45306</v>
      </c>
      <c r="G113" s="18">
        <f>+B112+B133</f>
        <v>53085371.5</v>
      </c>
    </row>
    <row r="114" spans="1:7" hidden="1" x14ac:dyDescent="0.25">
      <c r="A114" s="6" t="s">
        <v>1</v>
      </c>
      <c r="B114" s="1">
        <f>+'[8]TOTAL DEFINIT '!$S$65</f>
        <v>8010000</v>
      </c>
      <c r="C114" s="4">
        <v>1</v>
      </c>
      <c r="D114" s="7">
        <v>45306</v>
      </c>
    </row>
    <row r="115" spans="1:7" hidden="1" x14ac:dyDescent="0.25">
      <c r="A115" s="6" t="s">
        <v>2</v>
      </c>
      <c r="B115" s="1">
        <f>+[8]CONSOLIDADO!$I$62</f>
        <v>1520400</v>
      </c>
      <c r="C115" s="4">
        <v>1</v>
      </c>
      <c r="D115" s="7">
        <v>45306</v>
      </c>
    </row>
    <row r="116" spans="1:7" hidden="1" x14ac:dyDescent="0.25">
      <c r="A116" s="6" t="s">
        <v>3</v>
      </c>
      <c r="B116" s="1">
        <f>+[8]CONSOLIDADO!$J$62</f>
        <v>500000</v>
      </c>
      <c r="C116" s="4">
        <v>1</v>
      </c>
      <c r="D116" s="7">
        <v>45306</v>
      </c>
    </row>
    <row r="117" spans="1:7" hidden="1" x14ac:dyDescent="0.25">
      <c r="A117" s="6" t="s">
        <v>4</v>
      </c>
      <c r="B117" s="1">
        <f>+[8]CONSOLIDADO!$K$62</f>
        <v>1151100</v>
      </c>
      <c r="C117" s="4">
        <v>1</v>
      </c>
      <c r="D117" s="7">
        <v>45306</v>
      </c>
    </row>
    <row r="118" spans="1:7" hidden="1" x14ac:dyDescent="0.25">
      <c r="A118" s="6" t="s">
        <v>5</v>
      </c>
      <c r="B118" s="1">
        <f>+SUM([8]CONSOLIDADO!$L$62:$M$62)</f>
        <v>3395000</v>
      </c>
      <c r="C118" s="4">
        <v>1</v>
      </c>
      <c r="D118" s="7">
        <v>45306</v>
      </c>
    </row>
    <row r="119" spans="1:7" hidden="1" x14ac:dyDescent="0.25">
      <c r="A119" s="6" t="s">
        <v>6</v>
      </c>
      <c r="B119" s="1">
        <f>+[8]CONSOLIDADO!$N$62</f>
        <v>207500</v>
      </c>
      <c r="C119" s="4">
        <v>1</v>
      </c>
      <c r="D119" s="7">
        <v>45306</v>
      </c>
    </row>
    <row r="120" spans="1:7" hidden="1" x14ac:dyDescent="0.25">
      <c r="A120" s="6" t="s">
        <v>17</v>
      </c>
      <c r="B120" s="1">
        <f>+[8]CONSOLIDADO!$O$62</f>
        <v>1096400</v>
      </c>
      <c r="C120" s="4">
        <v>1</v>
      </c>
      <c r="D120" s="7">
        <v>45306</v>
      </c>
    </row>
    <row r="121" spans="1:7" x14ac:dyDescent="0.25">
      <c r="A121" s="6" t="s">
        <v>10</v>
      </c>
      <c r="B121" s="1">
        <f>+[8]CONSOLIDADO!$P$62</f>
        <v>298375</v>
      </c>
      <c r="C121" s="4">
        <v>1</v>
      </c>
      <c r="D121" s="7">
        <v>45306</v>
      </c>
    </row>
    <row r="122" spans="1:7" hidden="1" x14ac:dyDescent="0.25">
      <c r="A122" s="6" t="s">
        <v>24</v>
      </c>
      <c r="B122" s="1">
        <f>+[8]CONSOLIDADO!$Q$62</f>
        <v>300000</v>
      </c>
      <c r="C122" s="4">
        <v>1</v>
      </c>
      <c r="D122" s="7">
        <v>45306</v>
      </c>
    </row>
    <row r="123" spans="1:7" hidden="1" x14ac:dyDescent="0.25">
      <c r="A123" s="6" t="s">
        <v>35</v>
      </c>
      <c r="B123" s="1">
        <f>+[8]CONSOLIDADO!$U$62</f>
        <v>1495890</v>
      </c>
      <c r="C123" s="4">
        <v>1</v>
      </c>
      <c r="D123" s="7">
        <v>45306</v>
      </c>
    </row>
    <row r="124" spans="1:7" hidden="1" x14ac:dyDescent="0.25">
      <c r="A124" s="6" t="s">
        <v>16</v>
      </c>
      <c r="B124" s="1">
        <f>+[8]CONSOLIDADO!$R$62</f>
        <v>959000</v>
      </c>
      <c r="C124" s="4">
        <v>1</v>
      </c>
      <c r="D124" s="7">
        <v>45306</v>
      </c>
    </row>
    <row r="125" spans="1:7" hidden="1" x14ac:dyDescent="0.25">
      <c r="A125" s="6" t="s">
        <v>36</v>
      </c>
      <c r="B125" s="1">
        <f>+[8]CONSOLIDADO!$V$62</f>
        <v>2051880</v>
      </c>
      <c r="C125" s="4">
        <v>1</v>
      </c>
      <c r="D125" s="7">
        <v>45306</v>
      </c>
    </row>
    <row r="126" spans="1:7" hidden="1" x14ac:dyDescent="0.25">
      <c r="A126" s="6" t="s">
        <v>37</v>
      </c>
      <c r="B126" s="1">
        <f>+[8]CONSOLIDADO!$W$62</f>
        <v>360000</v>
      </c>
      <c r="C126" s="4">
        <v>1</v>
      </c>
      <c r="D126" s="7">
        <v>45306</v>
      </c>
    </row>
    <row r="127" spans="1:7" hidden="1" x14ac:dyDescent="0.25">
      <c r="A127" s="6" t="s">
        <v>38</v>
      </c>
      <c r="B127" s="1">
        <f>+[8]CONSOLIDADO!$X$62</f>
        <v>332000</v>
      </c>
      <c r="C127" s="4">
        <v>1</v>
      </c>
      <c r="D127" s="7">
        <v>45306</v>
      </c>
    </row>
    <row r="128" spans="1:7" hidden="1" x14ac:dyDescent="0.25">
      <c r="A128" s="6" t="s">
        <v>21</v>
      </c>
      <c r="B128" s="1">
        <f>+SUM([8]CONSOLIDADO!$Z$49+[8]CONSOLIDADO!$Z$38+[8]CONSOLIDADO!$Z$17)</f>
        <v>1682830.2533333334</v>
      </c>
      <c r="C128" s="4">
        <v>1</v>
      </c>
      <c r="D128" s="7">
        <v>45306</v>
      </c>
    </row>
    <row r="129" spans="1:6" hidden="1" x14ac:dyDescent="0.25">
      <c r="A129" s="6" t="s">
        <v>22</v>
      </c>
      <c r="B129" s="1">
        <f>+SUM([8]CONSOLIDADO!$Z$49:$Z$50)</f>
        <v>874687.91999999993</v>
      </c>
      <c r="C129" s="4">
        <v>1</v>
      </c>
      <c r="D129" s="7">
        <v>45306</v>
      </c>
    </row>
    <row r="130" spans="1:6" hidden="1" x14ac:dyDescent="0.25">
      <c r="A130" s="6" t="s">
        <v>23</v>
      </c>
      <c r="B130" s="1">
        <f>+[8]CONSOLIDADO!$Z$59</f>
        <v>1219953.1250000002</v>
      </c>
      <c r="C130" s="4">
        <v>1</v>
      </c>
      <c r="D130" s="7">
        <v>45306</v>
      </c>
    </row>
    <row r="131" spans="1:6" hidden="1" x14ac:dyDescent="0.25">
      <c r="A131" s="6" t="s">
        <v>33</v>
      </c>
      <c r="B131" s="1">
        <f>+SUM([8]CONSOLIDADO!$Z$60:$Z$61)</f>
        <v>2734600</v>
      </c>
      <c r="C131" s="4">
        <v>1</v>
      </c>
      <c r="D131" s="7">
        <v>45306</v>
      </c>
    </row>
    <row r="132" spans="1:6" hidden="1" x14ac:dyDescent="0.25">
      <c r="A132" s="6" t="s">
        <v>34</v>
      </c>
      <c r="B132" s="1">
        <v>313382</v>
      </c>
      <c r="C132" s="4">
        <v>1</v>
      </c>
      <c r="D132" s="7">
        <v>45306</v>
      </c>
    </row>
    <row r="133" spans="1:6" hidden="1" x14ac:dyDescent="0.25">
      <c r="A133" s="6" t="s">
        <v>14</v>
      </c>
      <c r="B133" s="1">
        <f>+SUM([9]CONSOLIDADO!$C$63:$E$63)</f>
        <v>40387263</v>
      </c>
      <c r="C133" s="4">
        <v>2</v>
      </c>
      <c r="D133" s="7">
        <v>45322</v>
      </c>
    </row>
    <row r="134" spans="1:6" hidden="1" x14ac:dyDescent="0.25">
      <c r="A134" s="6" t="s">
        <v>0</v>
      </c>
      <c r="B134" s="1">
        <f>+[9]CONSOLIDADO!$F$63</f>
        <v>7332500</v>
      </c>
      <c r="C134" s="4">
        <v>2</v>
      </c>
      <c r="D134" s="7">
        <v>45322</v>
      </c>
    </row>
    <row r="135" spans="1:6" hidden="1" x14ac:dyDescent="0.25">
      <c r="A135" s="6" t="s">
        <v>1</v>
      </c>
      <c r="B135" s="1">
        <f>+'[9]TOTAL DEFINIT '!$S$66</f>
        <v>15246000</v>
      </c>
      <c r="C135" s="4">
        <v>2</v>
      </c>
      <c r="D135" s="7">
        <v>45322</v>
      </c>
    </row>
    <row r="136" spans="1:6" hidden="1" x14ac:dyDescent="0.25">
      <c r="A136" s="6" t="s">
        <v>2</v>
      </c>
      <c r="B136" s="1">
        <f>+[9]CONSOLIDADO!$I$63</f>
        <v>4324670</v>
      </c>
      <c r="C136" s="4">
        <v>2</v>
      </c>
      <c r="D136" s="7">
        <v>45322</v>
      </c>
    </row>
    <row r="137" spans="1:6" hidden="1" x14ac:dyDescent="0.25">
      <c r="A137" s="6" t="s">
        <v>3</v>
      </c>
      <c r="B137" s="1">
        <f>+[9]CONSOLIDADO!$J$63</f>
        <v>1241000</v>
      </c>
      <c r="C137" s="4">
        <v>2</v>
      </c>
      <c r="D137" s="7">
        <v>45322</v>
      </c>
    </row>
    <row r="138" spans="1:6" hidden="1" x14ac:dyDescent="0.25">
      <c r="A138" s="6" t="s">
        <v>4</v>
      </c>
      <c r="B138" s="1">
        <f>+[9]CONSOLIDADO!$K$63</f>
        <v>3190800</v>
      </c>
      <c r="C138" s="4">
        <v>2</v>
      </c>
      <c r="D138" s="7">
        <v>45322</v>
      </c>
    </row>
    <row r="139" spans="1:6" hidden="1" x14ac:dyDescent="0.25">
      <c r="A139" s="6" t="s">
        <v>5</v>
      </c>
      <c r="B139" s="1">
        <f>+SUM([9]CONSOLIDADO!$L$63:$M$63)</f>
        <v>2600000</v>
      </c>
      <c r="C139" s="4">
        <v>2</v>
      </c>
      <c r="D139" s="7">
        <v>45322</v>
      </c>
    </row>
    <row r="140" spans="1:6" hidden="1" x14ac:dyDescent="0.25">
      <c r="A140" s="6" t="s">
        <v>6</v>
      </c>
      <c r="B140" s="1">
        <f>+[9]CONSOLIDADO!$N$63</f>
        <v>629300</v>
      </c>
      <c r="C140" s="4">
        <v>2</v>
      </c>
      <c r="D140" s="7">
        <v>45322</v>
      </c>
    </row>
    <row r="141" spans="1:6" hidden="1" x14ac:dyDescent="0.25">
      <c r="A141" s="6" t="s">
        <v>17</v>
      </c>
      <c r="B141" s="1">
        <f>+[9]CONSOLIDADO!$O$63</f>
        <v>8525000</v>
      </c>
      <c r="C141" s="4">
        <v>2</v>
      </c>
      <c r="D141" s="7">
        <v>45322</v>
      </c>
      <c r="F141" s="18">
        <f>+COSTOSNOMINAQUINCENAL[[#This Row],[COSTO]]+B144</f>
        <v>9066000</v>
      </c>
    </row>
    <row r="142" spans="1:6" x14ac:dyDescent="0.25">
      <c r="A142" s="6" t="s">
        <v>10</v>
      </c>
      <c r="B142" s="1">
        <f>+[9]CONSOLIDADO!$P$63</f>
        <v>384929.99999999994</v>
      </c>
      <c r="C142" s="4">
        <v>2</v>
      </c>
      <c r="D142" s="7">
        <v>45322</v>
      </c>
    </row>
    <row r="143" spans="1:6" hidden="1" x14ac:dyDescent="0.25">
      <c r="A143" s="6" t="s">
        <v>24</v>
      </c>
      <c r="B143" s="1">
        <f>+[9]CONSOLIDADO!$Q$63</f>
        <v>300000</v>
      </c>
      <c r="C143" s="4">
        <v>2</v>
      </c>
      <c r="D143" s="7">
        <v>45322</v>
      </c>
    </row>
    <row r="144" spans="1:6" hidden="1" x14ac:dyDescent="0.25">
      <c r="A144" s="6" t="s">
        <v>35</v>
      </c>
      <c r="B144" s="1">
        <f>+[9]CONSOLIDADO!$U$63</f>
        <v>541000</v>
      </c>
      <c r="C144" s="4">
        <v>2</v>
      </c>
      <c r="D144" s="7">
        <v>45322</v>
      </c>
    </row>
    <row r="145" spans="1:6" hidden="1" x14ac:dyDescent="0.25">
      <c r="A145" s="6" t="s">
        <v>16</v>
      </c>
      <c r="B145" s="1">
        <f>+[9]CONSOLIDADO!$R$63</f>
        <v>3174500</v>
      </c>
      <c r="C145" s="4">
        <v>2</v>
      </c>
      <c r="D145" s="7">
        <v>45322</v>
      </c>
    </row>
    <row r="146" spans="1:6" hidden="1" x14ac:dyDescent="0.25">
      <c r="A146" s="6" t="s">
        <v>36</v>
      </c>
      <c r="B146" s="1">
        <f>+[9]CONSOLIDADO!$V$63</f>
        <v>3455280</v>
      </c>
      <c r="C146" s="4">
        <v>2</v>
      </c>
      <c r="D146" s="7">
        <v>45322</v>
      </c>
    </row>
    <row r="147" spans="1:6" hidden="1" x14ac:dyDescent="0.25">
      <c r="A147" s="6" t="s">
        <v>39</v>
      </c>
      <c r="B147" s="1">
        <f>+[9]CONSOLIDADO!$Z$63</f>
        <v>150000</v>
      </c>
      <c r="C147" s="4">
        <v>2</v>
      </c>
      <c r="D147" s="7">
        <v>45322</v>
      </c>
    </row>
    <row r="148" spans="1:6" hidden="1" x14ac:dyDescent="0.25">
      <c r="A148" s="6" t="s">
        <v>21</v>
      </c>
      <c r="B148" s="1">
        <f>+SUM([9]CONSOLIDADO!$AA$52+[9]CONSOLIDADO!$AA$17+[9]CONSOLIDADO!$AA$40)</f>
        <v>3450765.3016666668</v>
      </c>
      <c r="C148" s="4">
        <v>2</v>
      </c>
      <c r="D148" s="7">
        <v>45322</v>
      </c>
    </row>
    <row r="149" spans="1:6" hidden="1" x14ac:dyDescent="0.25">
      <c r="A149" s="6" t="s">
        <v>22</v>
      </c>
      <c r="B149" s="1">
        <f>+SUM([9]CONSOLIDADO!$AA$50+[9]CONSOLIDADO!$AA$53)</f>
        <v>1883608</v>
      </c>
      <c r="C149" s="4">
        <v>2</v>
      </c>
      <c r="D149" s="7">
        <v>45322</v>
      </c>
    </row>
    <row r="150" spans="1:6" hidden="1" x14ac:dyDescent="0.25">
      <c r="A150" s="6" t="s">
        <v>23</v>
      </c>
      <c r="B150" s="1">
        <f>+[9]CONSOLIDADO!$AA$60</f>
        <v>1419758.4375</v>
      </c>
      <c r="C150" s="4">
        <v>2</v>
      </c>
      <c r="D150" s="7">
        <v>45322</v>
      </c>
    </row>
    <row r="151" spans="1:6" hidden="1" x14ac:dyDescent="0.25">
      <c r="A151" s="6" t="s">
        <v>33</v>
      </c>
      <c r="B151" s="1">
        <f>+SUM([9]CONSOLIDADO!$AA$61:$AA$62)</f>
        <v>2734600</v>
      </c>
      <c r="C151" s="4">
        <v>2</v>
      </c>
      <c r="D151" s="7">
        <v>45322</v>
      </c>
    </row>
    <row r="152" spans="1:6" hidden="1" x14ac:dyDescent="0.25">
      <c r="A152" s="6" t="s">
        <v>34</v>
      </c>
      <c r="B152" s="1">
        <f>+'[9]TOTAL DEFINIT '!$P$41</f>
        <v>863938.125</v>
      </c>
      <c r="C152" s="4">
        <v>2</v>
      </c>
      <c r="D152" s="7">
        <v>45322</v>
      </c>
    </row>
    <row r="153" spans="1:6" hidden="1" x14ac:dyDescent="0.25">
      <c r="A153" s="6" t="s">
        <v>14</v>
      </c>
      <c r="B153" s="1">
        <f>+SUM([10]CONSOLIDADO!$C$57:$E$57)</f>
        <v>40937335.600000001</v>
      </c>
      <c r="C153" s="4">
        <v>1</v>
      </c>
      <c r="D153" s="7">
        <v>45337</v>
      </c>
    </row>
    <row r="154" spans="1:6" hidden="1" x14ac:dyDescent="0.25">
      <c r="A154" s="6" t="s">
        <v>0</v>
      </c>
      <c r="B154" s="1">
        <f>+[10]CONSOLIDADO!$F$57</f>
        <v>2727760</v>
      </c>
      <c r="C154" s="4">
        <v>1</v>
      </c>
      <c r="D154" s="7">
        <v>45337</v>
      </c>
    </row>
    <row r="155" spans="1:6" hidden="1" x14ac:dyDescent="0.25">
      <c r="A155" s="6" t="s">
        <v>54</v>
      </c>
      <c r="B155" s="1">
        <f>+'[10]TOTAL DEFINIT '!$S$66</f>
        <v>13824000</v>
      </c>
      <c r="C155" s="4">
        <v>1</v>
      </c>
      <c r="D155" s="7">
        <v>45337</v>
      </c>
    </row>
    <row r="156" spans="1:6" hidden="1" x14ac:dyDescent="0.25">
      <c r="A156" s="6" t="s">
        <v>2</v>
      </c>
      <c r="B156" s="1">
        <f>+[10]CONSOLIDADO!$I$57</f>
        <v>1986215</v>
      </c>
      <c r="C156" s="4">
        <v>1</v>
      </c>
      <c r="D156" s="7">
        <v>45337</v>
      </c>
      <c r="F156" s="18">
        <f>+B154+COSTOSNOMINAQUINCENAL[[#This Row],[COSTO]]+B157</f>
        <v>6498075</v>
      </c>
    </row>
    <row r="157" spans="1:6" hidden="1" x14ac:dyDescent="0.25">
      <c r="A157" s="6" t="s">
        <v>3</v>
      </c>
      <c r="B157" s="1">
        <f>+[10]CONSOLIDADO!$J$57</f>
        <v>1784100</v>
      </c>
      <c r="C157" s="4">
        <v>1</v>
      </c>
      <c r="D157" s="7">
        <v>45337</v>
      </c>
    </row>
    <row r="158" spans="1:6" hidden="1" x14ac:dyDescent="0.25">
      <c r="A158" s="6" t="s">
        <v>4</v>
      </c>
      <c r="B158" s="1">
        <f>+[10]CONSOLIDADO!$K$57</f>
        <v>797700</v>
      </c>
      <c r="C158" s="4">
        <v>1</v>
      </c>
      <c r="D158" s="7">
        <v>45337</v>
      </c>
    </row>
    <row r="159" spans="1:6" hidden="1" x14ac:dyDescent="0.25">
      <c r="A159" s="6" t="s">
        <v>5</v>
      </c>
      <c r="B159" s="1">
        <f>+[10]CONSOLIDADO!$M$57</f>
        <v>2371600</v>
      </c>
      <c r="C159" s="4">
        <v>1</v>
      </c>
      <c r="D159" s="7">
        <v>45337</v>
      </c>
    </row>
    <row r="160" spans="1:6" hidden="1" x14ac:dyDescent="0.25">
      <c r="A160" s="6" t="s">
        <v>9</v>
      </c>
      <c r="B160" s="1">
        <f>+[10]CONSOLIDADO!$O$57</f>
        <v>4201000</v>
      </c>
      <c r="C160" s="4">
        <v>1</v>
      </c>
      <c r="D160" s="7">
        <v>45337</v>
      </c>
    </row>
    <row r="161" spans="1:6" hidden="1" x14ac:dyDescent="0.25">
      <c r="A161" s="6" t="s">
        <v>17</v>
      </c>
      <c r="B161" s="1">
        <f>+[10]CONSOLIDADO!$U$57</f>
        <v>2930000</v>
      </c>
      <c r="C161" s="4">
        <v>1</v>
      </c>
      <c r="D161" s="7">
        <v>45337</v>
      </c>
    </row>
    <row r="162" spans="1:6" x14ac:dyDescent="0.25">
      <c r="A162" s="6" t="s">
        <v>10</v>
      </c>
      <c r="B162" s="1">
        <f>+[10]CONSOLIDADO!$P$57</f>
        <v>384929.99999999994</v>
      </c>
      <c r="C162" s="4">
        <v>1</v>
      </c>
      <c r="D162" s="7">
        <v>45337</v>
      </c>
    </row>
    <row r="163" spans="1:6" hidden="1" x14ac:dyDescent="0.25">
      <c r="A163" s="6" t="s">
        <v>16</v>
      </c>
      <c r="B163" s="1">
        <f>+[10]CONSOLIDADO!$R$57</f>
        <v>2978500</v>
      </c>
      <c r="C163" s="4">
        <v>1</v>
      </c>
      <c r="D163" s="7">
        <v>45337</v>
      </c>
    </row>
    <row r="164" spans="1:6" hidden="1" x14ac:dyDescent="0.25">
      <c r="A164" s="6" t="s">
        <v>36</v>
      </c>
      <c r="B164" s="1">
        <f>+[10]CONSOLIDADO!$V$57</f>
        <v>1349000</v>
      </c>
      <c r="C164" s="4">
        <v>1</v>
      </c>
      <c r="D164" s="7">
        <v>45337</v>
      </c>
    </row>
    <row r="165" spans="1:6" hidden="1" x14ac:dyDescent="0.25">
      <c r="A165" s="6" t="s">
        <v>21</v>
      </c>
      <c r="B165" s="1">
        <f>+SUM([10]CONSOLIDADO!$AA$46+[10]CONSOLIDADO!$AA$34+[10]CONSOLIDADO!$AA$16)</f>
        <v>3215906.6833333336</v>
      </c>
      <c r="C165" s="4">
        <v>1</v>
      </c>
      <c r="D165" s="7">
        <v>45337</v>
      </c>
    </row>
    <row r="166" spans="1:6" hidden="1" x14ac:dyDescent="0.25">
      <c r="A166" s="6" t="s">
        <v>22</v>
      </c>
      <c r="B166" s="1">
        <f>+SUM([10]CONSOLIDADO!$AA$44+[10]CONSOLIDADO!$AA$47)</f>
        <v>1875655</v>
      </c>
      <c r="C166" s="4">
        <v>1</v>
      </c>
      <c r="D166" s="7">
        <v>45337</v>
      </c>
    </row>
    <row r="167" spans="1:6" hidden="1" x14ac:dyDescent="0.25">
      <c r="A167" s="6" t="s">
        <v>23</v>
      </c>
      <c r="B167" s="1">
        <f>+[10]CONSOLIDADO!$AA$54</f>
        <v>1344048.125</v>
      </c>
      <c r="C167" s="4">
        <v>1</v>
      </c>
      <c r="D167" s="7">
        <v>45337</v>
      </c>
    </row>
    <row r="168" spans="1:6" hidden="1" x14ac:dyDescent="0.25">
      <c r="A168" s="6" t="s">
        <v>33</v>
      </c>
      <c r="B168" s="1">
        <f>+SUM([10]CONSOLIDADO!$AA$55:$AA$56)</f>
        <v>2734600</v>
      </c>
      <c r="C168" s="4">
        <v>1</v>
      </c>
      <c r="D168" s="7">
        <v>45337</v>
      </c>
    </row>
    <row r="169" spans="1:6" hidden="1" x14ac:dyDescent="0.25">
      <c r="A169" s="12" t="s">
        <v>34</v>
      </c>
      <c r="B169" s="5">
        <f>+'[10]TOTAL DEFINIT '!$P$41</f>
        <v>872471</v>
      </c>
      <c r="C169" s="13">
        <v>1</v>
      </c>
      <c r="D169" s="14">
        <v>45337</v>
      </c>
    </row>
    <row r="170" spans="1:6" hidden="1" x14ac:dyDescent="0.25">
      <c r="A170" s="12" t="s">
        <v>14</v>
      </c>
      <c r="B170" s="5">
        <f>+[11]CONSOLIDADO!$C$61+[11]CONSOLIDADO!$D$61+[11]CONSOLIDADO!$E$61+[11]CONSOLIDADO!$F$61</f>
        <v>37027591.299999997</v>
      </c>
      <c r="C170" s="13">
        <v>2</v>
      </c>
      <c r="D170" s="14">
        <v>45351</v>
      </c>
    </row>
    <row r="171" spans="1:6" hidden="1" x14ac:dyDescent="0.25">
      <c r="A171" s="6" t="s">
        <v>0</v>
      </c>
      <c r="B171" s="1">
        <f>+[11]CONSOLIDADO!$G$61</f>
        <v>2118000</v>
      </c>
      <c r="C171" s="13">
        <v>2</v>
      </c>
      <c r="D171" s="14">
        <v>45351</v>
      </c>
    </row>
    <row r="172" spans="1:6" hidden="1" x14ac:dyDescent="0.25">
      <c r="A172" s="6" t="s">
        <v>1</v>
      </c>
      <c r="B172" s="1">
        <f>+'[11]TOTAL DEFINIT '!$S$66</f>
        <v>14076000</v>
      </c>
      <c r="C172" s="13">
        <v>2</v>
      </c>
      <c r="D172" s="14">
        <v>45351</v>
      </c>
    </row>
    <row r="173" spans="1:6" hidden="1" x14ac:dyDescent="0.25">
      <c r="A173" s="6" t="s">
        <v>2</v>
      </c>
      <c r="B173" s="1">
        <f>+[11]CONSOLIDADO!$J$61</f>
        <v>2470850</v>
      </c>
      <c r="C173" s="13">
        <v>2</v>
      </c>
      <c r="D173" s="14">
        <v>45351</v>
      </c>
    </row>
    <row r="174" spans="1:6" hidden="1" x14ac:dyDescent="0.25">
      <c r="A174" s="6" t="s">
        <v>3</v>
      </c>
      <c r="B174" s="1">
        <f>+[11]CONSOLIDADO!$K$61</f>
        <v>2853800</v>
      </c>
      <c r="C174" s="13">
        <v>2</v>
      </c>
      <c r="D174" s="14">
        <v>45351</v>
      </c>
    </row>
    <row r="175" spans="1:6" hidden="1" x14ac:dyDescent="0.25">
      <c r="A175" s="12" t="s">
        <v>4</v>
      </c>
      <c r="B175" s="5">
        <f>+[11]CONSOLIDADO!$L$61</f>
        <v>1063600</v>
      </c>
      <c r="C175" s="13">
        <v>2</v>
      </c>
      <c r="D175" s="14">
        <v>45351</v>
      </c>
      <c r="F175" s="18">
        <f>+B177+B178+B181</f>
        <v>9784100</v>
      </c>
    </row>
    <row r="176" spans="1:6" hidden="1" x14ac:dyDescent="0.25">
      <c r="A176" s="12" t="str">
        <f>+[11]CONSOLIDADO!$N$1</f>
        <v>TURNO</v>
      </c>
      <c r="B176" s="22">
        <f>+[11]CONSOLIDADO!$N$61</f>
        <v>3285100</v>
      </c>
      <c r="C176" s="13">
        <v>2</v>
      </c>
      <c r="D176" s="14">
        <v>45351</v>
      </c>
    </row>
    <row r="177" spans="1:4" hidden="1" x14ac:dyDescent="0.25">
      <c r="A177" s="21" t="s">
        <v>47</v>
      </c>
      <c r="B177" s="1">
        <f>+[11]CONSOLIDADO!$P$61</f>
        <v>4150199.9999999991</v>
      </c>
      <c r="C177" s="13">
        <v>2</v>
      </c>
      <c r="D177" s="14">
        <v>45351</v>
      </c>
    </row>
    <row r="178" spans="1:4" hidden="1" x14ac:dyDescent="0.25">
      <c r="A178" s="21" t="s">
        <v>48</v>
      </c>
      <c r="B178" s="1">
        <f>+[11]CONSOLIDADO!$Q$61</f>
        <v>122500</v>
      </c>
      <c r="C178" s="13">
        <v>2</v>
      </c>
      <c r="D178" s="14">
        <v>45351</v>
      </c>
    </row>
    <row r="179" spans="1:4" x14ac:dyDescent="0.25">
      <c r="A179" s="21" t="s">
        <v>49</v>
      </c>
      <c r="B179" s="1">
        <f>+[11]CONSOLIDADO!$R$61</f>
        <v>802011</v>
      </c>
      <c r="C179" s="13">
        <v>2</v>
      </c>
      <c r="D179" s="14">
        <v>45351</v>
      </c>
    </row>
    <row r="180" spans="1:4" hidden="1" x14ac:dyDescent="0.25">
      <c r="A180" s="23" t="str">
        <f>+[11]CONSOLIDADO!$T$1</f>
        <v>coches guayados</v>
      </c>
      <c r="B180" s="1">
        <f>+[11]CONSOLIDADO!$T$61</f>
        <v>3164000</v>
      </c>
      <c r="C180" s="13">
        <v>2</v>
      </c>
      <c r="D180" s="14">
        <v>45351</v>
      </c>
    </row>
    <row r="181" spans="1:4" hidden="1" x14ac:dyDescent="0.25">
      <c r="A181" s="23" t="str">
        <f>+[11]CONSOLIDADO!$W$1</f>
        <v>metro despate</v>
      </c>
      <c r="B181" s="1">
        <f>+[11]CONSOLIDADO!$W$61</f>
        <v>5511400</v>
      </c>
      <c r="C181" s="13">
        <v>2</v>
      </c>
      <c r="D181" s="14">
        <v>45351</v>
      </c>
    </row>
    <row r="182" spans="1:4" hidden="1" x14ac:dyDescent="0.25">
      <c r="A182" s="23" t="str">
        <f>+[11]CONSOLIDADO!$X$1</f>
        <v>ARCO DE ACERO</v>
      </c>
      <c r="B182" s="1">
        <f>+[11]CONSOLIDADO!$X$61</f>
        <v>528000</v>
      </c>
      <c r="C182" s="13">
        <v>2</v>
      </c>
      <c r="D182" s="14">
        <v>45351</v>
      </c>
    </row>
    <row r="183" spans="1:4" hidden="1" x14ac:dyDescent="0.25">
      <c r="A183" s="23" t="str">
        <f>+[11]CONSOLIDADO!$AB$1</f>
        <v>coche de basura y madera</v>
      </c>
      <c r="B183" s="1">
        <f>+[11]CONSOLIDADO!$AB$61</f>
        <v>116550</v>
      </c>
      <c r="C183" s="13">
        <v>2</v>
      </c>
      <c r="D183" s="14">
        <v>45351</v>
      </c>
    </row>
    <row r="184" spans="1:4" hidden="1" x14ac:dyDescent="0.25">
      <c r="A184" s="12" t="s">
        <v>21</v>
      </c>
      <c r="B184" s="5">
        <f>+[11]CONSOLIDADO!$AC$51+[11]CONSOLIDADO!$AC$39+[11]CONSOLIDADO!$AC$19</f>
        <v>2712008.6799999997</v>
      </c>
      <c r="C184" s="13">
        <v>2</v>
      </c>
      <c r="D184" s="14">
        <v>45351</v>
      </c>
    </row>
    <row r="185" spans="1:4" hidden="1" x14ac:dyDescent="0.25">
      <c r="A185" s="12" t="s">
        <v>22</v>
      </c>
      <c r="B185" s="5">
        <f>+[11]CONSOLIDADO!$AC$49+[11]CONSOLIDADO!$AC$52</f>
        <v>1387629</v>
      </c>
      <c r="C185" s="13">
        <v>2</v>
      </c>
      <c r="D185" s="14">
        <v>45351</v>
      </c>
    </row>
    <row r="186" spans="1:4" hidden="1" x14ac:dyDescent="0.25">
      <c r="A186" s="12" t="s">
        <v>33</v>
      </c>
      <c r="B186" s="5">
        <f>+[11]CONSOLIDADO!$AC$59+[11]CONSOLIDADO!$AC$60</f>
        <v>2734600</v>
      </c>
      <c r="C186" s="13">
        <v>2</v>
      </c>
      <c r="D186" s="14">
        <v>45351</v>
      </c>
    </row>
    <row r="187" spans="1:4" hidden="1" x14ac:dyDescent="0.25">
      <c r="A187" s="12" t="s">
        <v>23</v>
      </c>
      <c r="B187" s="5">
        <f>+[11]CONSOLIDADO!$AC$58</f>
        <v>1491884.1666666665</v>
      </c>
      <c r="C187" s="13">
        <v>2</v>
      </c>
      <c r="D187" s="14">
        <v>45351</v>
      </c>
    </row>
    <row r="188" spans="1:4" hidden="1" x14ac:dyDescent="0.25">
      <c r="A188" s="12" t="s">
        <v>34</v>
      </c>
      <c r="B188" s="5">
        <f>+[11]CONSOLIDADO!$AC$37</f>
        <v>807945</v>
      </c>
      <c r="C188" s="13">
        <v>2</v>
      </c>
      <c r="D188" s="14">
        <v>45351</v>
      </c>
    </row>
    <row r="189" spans="1:4" hidden="1" x14ac:dyDescent="0.25">
      <c r="A189" s="6" t="s">
        <v>14</v>
      </c>
      <c r="B189" s="1">
        <f>+[12]CONSOLIDADO!$C$61+[12]CONSOLIDADO!$E$61+[12]CONSOLIDADO!$F$61</f>
        <v>41208636.5</v>
      </c>
      <c r="C189" s="4">
        <v>1</v>
      </c>
      <c r="D189" s="7">
        <v>45366</v>
      </c>
    </row>
    <row r="190" spans="1:4" hidden="1" x14ac:dyDescent="0.25">
      <c r="A190" s="6" t="s">
        <v>0</v>
      </c>
      <c r="B190" s="1">
        <f>+[12]CONSOLIDADO!$G$61</f>
        <v>4078100</v>
      </c>
      <c r="C190" s="4">
        <v>1</v>
      </c>
      <c r="D190" s="7">
        <v>45366</v>
      </c>
    </row>
    <row r="191" spans="1:4" hidden="1" x14ac:dyDescent="0.25">
      <c r="A191" s="6" t="s">
        <v>1</v>
      </c>
      <c r="B191" s="1">
        <f>+'[12]TOTAL DEFINIT '!$S$67</f>
        <v>13959000</v>
      </c>
      <c r="C191" s="4">
        <v>1</v>
      </c>
      <c r="D191" s="7">
        <v>45366</v>
      </c>
    </row>
    <row r="192" spans="1:4" hidden="1" x14ac:dyDescent="0.25">
      <c r="A192" s="6" t="s">
        <v>2</v>
      </c>
      <c r="B192" s="1">
        <f>+[12]CONSOLIDADO!$J$61</f>
        <v>3081865.5</v>
      </c>
      <c r="C192" s="4">
        <v>1</v>
      </c>
      <c r="D192" s="7">
        <v>45366</v>
      </c>
    </row>
    <row r="193" spans="1:4" hidden="1" x14ac:dyDescent="0.25">
      <c r="A193" s="6" t="s">
        <v>3</v>
      </c>
      <c r="B193" s="1">
        <f>+[12]CONSOLIDADO!$K$61</f>
        <v>1923000</v>
      </c>
      <c r="C193" s="4">
        <v>1</v>
      </c>
      <c r="D193" s="7">
        <v>45366</v>
      </c>
    </row>
    <row r="194" spans="1:4" hidden="1" x14ac:dyDescent="0.25">
      <c r="A194" s="6" t="s">
        <v>4</v>
      </c>
      <c r="B194" s="1">
        <f>+[12]CONSOLIDADO!$L$61</f>
        <v>1503810</v>
      </c>
      <c r="C194" s="4">
        <v>1</v>
      </c>
      <c r="D194" s="7">
        <v>45366</v>
      </c>
    </row>
    <row r="195" spans="1:4" hidden="1" x14ac:dyDescent="0.25">
      <c r="A195" s="6" t="str">
        <f>+[11]CONSOLIDADO!$N$1</f>
        <v>TURNO</v>
      </c>
      <c r="B195" s="1">
        <f>+[12]CONSOLIDADO!$N$61</f>
        <v>4315500</v>
      </c>
      <c r="C195" s="4">
        <v>1</v>
      </c>
      <c r="D195" s="7">
        <v>45366</v>
      </c>
    </row>
    <row r="196" spans="1:4" hidden="1" x14ac:dyDescent="0.25">
      <c r="A196" s="6" t="s">
        <v>47</v>
      </c>
      <c r="B196" s="1">
        <f>+[12]CONSOLIDADO!$P$61</f>
        <v>4587000</v>
      </c>
      <c r="C196" s="4">
        <v>1</v>
      </c>
      <c r="D196" s="7">
        <v>45366</v>
      </c>
    </row>
    <row r="197" spans="1:4" hidden="1" x14ac:dyDescent="0.25">
      <c r="A197" s="6" t="s">
        <v>48</v>
      </c>
      <c r="B197" s="1">
        <f>+[12]CONSOLIDADO!$Q$61</f>
        <v>183750</v>
      </c>
      <c r="C197" s="4">
        <v>1</v>
      </c>
      <c r="D197" s="7">
        <v>45366</v>
      </c>
    </row>
    <row r="198" spans="1:4" x14ac:dyDescent="0.25">
      <c r="A198" s="6" t="s">
        <v>49</v>
      </c>
      <c r="B198" s="1">
        <f>+[12]CONSOLIDADO!$R$61</f>
        <v>673680</v>
      </c>
      <c r="C198" s="4">
        <v>1</v>
      </c>
      <c r="D198" s="7">
        <v>45366</v>
      </c>
    </row>
    <row r="199" spans="1:4" hidden="1" x14ac:dyDescent="0.25">
      <c r="A199" s="6" t="str">
        <f>+[11]CONSOLIDADO!$T$1</f>
        <v>coches guayados</v>
      </c>
      <c r="B199" s="1">
        <f>+[12]CONSOLIDADO!$T$61</f>
        <v>3589250</v>
      </c>
      <c r="C199" s="4">
        <v>1</v>
      </c>
      <c r="D199" s="7">
        <v>45366</v>
      </c>
    </row>
    <row r="200" spans="1:4" hidden="1" x14ac:dyDescent="0.25">
      <c r="A200" s="6" t="str">
        <f>+[11]CONSOLIDADO!$W$1</f>
        <v>metro despate</v>
      </c>
      <c r="B200" s="1">
        <f>+[12]CONSOLIDADO!$W$61</f>
        <v>6717490</v>
      </c>
      <c r="C200" s="4">
        <v>1</v>
      </c>
      <c r="D200" s="7">
        <v>45366</v>
      </c>
    </row>
    <row r="201" spans="1:4" hidden="1" x14ac:dyDescent="0.25">
      <c r="A201" s="6" t="str">
        <f>+[11]CONSOLIDADO!$X$1</f>
        <v>ARCO DE ACERO</v>
      </c>
      <c r="B201" s="1">
        <f>+[12]CONSOLIDADO!$X$61</f>
        <v>1194000</v>
      </c>
      <c r="C201" s="4">
        <v>1</v>
      </c>
      <c r="D201" s="7">
        <v>45366</v>
      </c>
    </row>
    <row r="202" spans="1:4" hidden="1" x14ac:dyDescent="0.25">
      <c r="A202" s="6" t="s">
        <v>21</v>
      </c>
      <c r="B202" s="1">
        <f>+[12]CONSOLIDADO!$AC$52+[12]CONSOLIDADO!$AC$50+[12]CONSOLIDADO!$AC$20</f>
        <v>2767636.2533333334</v>
      </c>
      <c r="C202" s="4">
        <v>1</v>
      </c>
      <c r="D202" s="7">
        <v>45366</v>
      </c>
    </row>
    <row r="203" spans="1:4" hidden="1" x14ac:dyDescent="0.25">
      <c r="A203" s="6" t="s">
        <v>22</v>
      </c>
      <c r="B203" s="1">
        <f>+[12]CONSOLIDADO!$AC$50</f>
        <v>758399</v>
      </c>
      <c r="C203" s="4">
        <v>1</v>
      </c>
      <c r="D203" s="7">
        <v>45366</v>
      </c>
    </row>
    <row r="204" spans="1:4" hidden="1" x14ac:dyDescent="0.25">
      <c r="A204" s="6" t="s">
        <v>33</v>
      </c>
      <c r="B204" s="1">
        <f>+[12]CONSOLIDADO!$AC$59+[12]CONSOLIDADO!$AC$60</f>
        <v>2734600</v>
      </c>
      <c r="C204" s="4">
        <v>1</v>
      </c>
      <c r="D204" s="7">
        <v>45366</v>
      </c>
    </row>
    <row r="205" spans="1:4" hidden="1" x14ac:dyDescent="0.25">
      <c r="A205" s="6" t="s">
        <v>23</v>
      </c>
      <c r="B205" s="1">
        <f>+[12]CONSOLIDADO!$AC$58</f>
        <v>1460316.6666666667</v>
      </c>
      <c r="C205" s="4">
        <v>1</v>
      </c>
      <c r="D205" s="7">
        <v>45366</v>
      </c>
    </row>
    <row r="206" spans="1:4" hidden="1" x14ac:dyDescent="0.25">
      <c r="A206" s="12" t="s">
        <v>34</v>
      </c>
      <c r="B206" s="5">
        <f>+[12]CONSOLIDADO!$AC$38</f>
        <v>807945</v>
      </c>
      <c r="C206" s="4">
        <v>1</v>
      </c>
      <c r="D206" s="7">
        <v>45366</v>
      </c>
    </row>
    <row r="207" spans="1:4" hidden="1" x14ac:dyDescent="0.25">
      <c r="A207" s="6" t="s">
        <v>79</v>
      </c>
      <c r="B207" s="1">
        <f>+[12]CONSOLIDADO!$AB$61</f>
        <v>453502</v>
      </c>
      <c r="C207" s="4">
        <v>1</v>
      </c>
      <c r="D207" s="7">
        <v>45366</v>
      </c>
    </row>
    <row r="208" spans="1:4" hidden="1" x14ac:dyDescent="0.25">
      <c r="A208" s="6" t="s">
        <v>14</v>
      </c>
      <c r="B208" s="1">
        <f>+[13]CONSOLIDADO!$C$56+[13]CONSOLIDADO!$D$56+[13]CONSOLIDADO!$E$56+[13]CONSOLIDADO!$F$56</f>
        <v>16885350</v>
      </c>
      <c r="C208" s="4">
        <v>2</v>
      </c>
      <c r="D208" s="7">
        <v>45382</v>
      </c>
    </row>
    <row r="209" spans="1:4" hidden="1" x14ac:dyDescent="0.25">
      <c r="A209" s="6" t="s">
        <v>0</v>
      </c>
      <c r="B209" s="1">
        <f>+[13]CONSOLIDADO!$G$56</f>
        <v>2100000</v>
      </c>
      <c r="C209" s="4">
        <v>2</v>
      </c>
      <c r="D209" s="7">
        <v>45382</v>
      </c>
    </row>
    <row r="210" spans="1:4" hidden="1" x14ac:dyDescent="0.25">
      <c r="A210" s="6" t="s">
        <v>1</v>
      </c>
      <c r="B210" s="1">
        <f>+'[13]TOTAL DEFINIT '!$S$66</f>
        <v>7299000</v>
      </c>
      <c r="C210" s="4">
        <v>2</v>
      </c>
      <c r="D210" s="7">
        <v>45382</v>
      </c>
    </row>
    <row r="211" spans="1:4" hidden="1" x14ac:dyDescent="0.25">
      <c r="A211" s="6" t="s">
        <v>2</v>
      </c>
      <c r="B211" s="1">
        <f>+[13]CONSOLIDADO!$J$56</f>
        <v>1257200</v>
      </c>
      <c r="C211" s="4">
        <v>2</v>
      </c>
      <c r="D211" s="7">
        <v>45382</v>
      </c>
    </row>
    <row r="212" spans="1:4" hidden="1" x14ac:dyDescent="0.25">
      <c r="A212" s="6" t="s">
        <v>3</v>
      </c>
      <c r="B212" s="1">
        <f>+[13]CONSOLIDADO!$K$56</f>
        <v>1639000</v>
      </c>
      <c r="C212" s="4">
        <v>2</v>
      </c>
      <c r="D212" s="7">
        <v>45382</v>
      </c>
    </row>
    <row r="213" spans="1:4" hidden="1" x14ac:dyDescent="0.25">
      <c r="A213" s="6" t="s">
        <v>4</v>
      </c>
      <c r="B213" s="1">
        <f>+[13]CONSOLIDADO!$L$56</f>
        <v>502900</v>
      </c>
      <c r="C213" s="4">
        <v>2</v>
      </c>
      <c r="D213" s="7">
        <v>45382</v>
      </c>
    </row>
    <row r="214" spans="1:4" hidden="1" x14ac:dyDescent="0.25">
      <c r="A214" s="6" t="str">
        <f>+[11]CONSOLIDADO!$N$1</f>
        <v>TURNO</v>
      </c>
      <c r="B214" s="1">
        <f>+[13]CONSOLIDADO!$N$56</f>
        <v>3123400</v>
      </c>
      <c r="C214" s="4">
        <v>2</v>
      </c>
      <c r="D214" s="7">
        <v>45382</v>
      </c>
    </row>
    <row r="215" spans="1:4" hidden="1" x14ac:dyDescent="0.25">
      <c r="A215" s="6" t="s">
        <v>47</v>
      </c>
      <c r="B215" s="1">
        <f>+[13]CONSOLIDADO!$P$56</f>
        <v>1416000</v>
      </c>
      <c r="C215" s="4">
        <v>2</v>
      </c>
      <c r="D215" s="7">
        <v>45382</v>
      </c>
    </row>
    <row r="216" spans="1:4" hidden="1" x14ac:dyDescent="0.25">
      <c r="A216" s="6" t="s">
        <v>48</v>
      </c>
      <c r="B216" s="1">
        <v>0</v>
      </c>
      <c r="C216" s="4">
        <v>2</v>
      </c>
      <c r="D216" s="7">
        <v>45382</v>
      </c>
    </row>
    <row r="217" spans="1:4" x14ac:dyDescent="0.25">
      <c r="A217" s="6" t="s">
        <v>49</v>
      </c>
      <c r="B217" s="1">
        <f>+[13]CONSOLIDADO!$R$56</f>
        <v>472500</v>
      </c>
      <c r="C217" s="4">
        <v>2</v>
      </c>
      <c r="D217" s="7">
        <v>45382</v>
      </c>
    </row>
    <row r="218" spans="1:4" hidden="1" x14ac:dyDescent="0.25">
      <c r="A218" s="6" t="str">
        <f>+[11]CONSOLIDADO!$T$1</f>
        <v>coches guayados</v>
      </c>
      <c r="B218" s="1">
        <f>+[13]CONSOLIDADO!$T$56</f>
        <v>1403500</v>
      </c>
      <c r="C218" s="4">
        <v>2</v>
      </c>
      <c r="D218" s="7">
        <v>45382</v>
      </c>
    </row>
    <row r="219" spans="1:4" hidden="1" x14ac:dyDescent="0.25">
      <c r="A219" s="6" t="str">
        <f>+[11]CONSOLIDADO!$W$1</f>
        <v>metro despate</v>
      </c>
      <c r="B219" s="1">
        <f>+[13]CONSOLIDADO!$W$56</f>
        <v>2957500</v>
      </c>
      <c r="C219" s="4">
        <v>2</v>
      </c>
      <c r="D219" s="7">
        <v>45382</v>
      </c>
    </row>
    <row r="220" spans="1:4" hidden="1" x14ac:dyDescent="0.25">
      <c r="A220" s="6" t="str">
        <f>+[11]CONSOLIDADO!$X$1</f>
        <v>ARCO DE ACERO</v>
      </c>
      <c r="B220" s="1">
        <f>+[13]CONSOLIDADO!$X$56</f>
        <v>1373000</v>
      </c>
      <c r="C220" s="4">
        <v>2</v>
      </c>
      <c r="D220" s="7">
        <v>45382</v>
      </c>
    </row>
    <row r="221" spans="1:4" hidden="1" x14ac:dyDescent="0.25">
      <c r="A221" s="6" t="s">
        <v>21</v>
      </c>
      <c r="B221" s="1">
        <f>+[13]CONSOLIDADO!$AC$46+[13]CONSOLIDADO!$AC$36+[13]CONSOLIDADO!$AC$17</f>
        <v>3070026.666666667</v>
      </c>
      <c r="C221" s="4">
        <v>2</v>
      </c>
      <c r="D221" s="7">
        <v>45382</v>
      </c>
    </row>
    <row r="222" spans="1:4" hidden="1" x14ac:dyDescent="0.25">
      <c r="A222" s="6" t="s">
        <v>22</v>
      </c>
      <c r="B222" s="1">
        <f>+[13]CONSOLIDADO!$AC$48</f>
        <v>482947</v>
      </c>
      <c r="C222" s="4">
        <v>2</v>
      </c>
      <c r="D222" s="7">
        <v>45382</v>
      </c>
    </row>
    <row r="223" spans="1:4" hidden="1" x14ac:dyDescent="0.25">
      <c r="A223" s="6" t="s">
        <v>33</v>
      </c>
      <c r="B223" s="1">
        <f>+[13]CONSOLIDADO!$AC$54+[13]CONSOLIDADO!$AC$55</f>
        <v>2734600</v>
      </c>
      <c r="C223" s="4">
        <v>2</v>
      </c>
      <c r="D223" s="7">
        <v>45382</v>
      </c>
    </row>
    <row r="224" spans="1:4" hidden="1" x14ac:dyDescent="0.25">
      <c r="A224" s="6" t="s">
        <v>23</v>
      </c>
      <c r="B224" s="1">
        <f>+[13]CONSOLIDADO!$AC$53</f>
        <v>1172671.8750000002</v>
      </c>
      <c r="C224" s="4">
        <v>2</v>
      </c>
      <c r="D224" s="7">
        <v>45382</v>
      </c>
    </row>
    <row r="225" spans="1:4" hidden="1" x14ac:dyDescent="0.25">
      <c r="A225" s="12" t="s">
        <v>34</v>
      </c>
      <c r="B225" s="5">
        <f>+[13]CONSOLIDADO!$AC$34</f>
        <v>807945</v>
      </c>
      <c r="C225" s="4">
        <v>2</v>
      </c>
      <c r="D225" s="7">
        <v>45382</v>
      </c>
    </row>
    <row r="226" spans="1:4" hidden="1" x14ac:dyDescent="0.25">
      <c r="A226" s="6" t="s">
        <v>14</v>
      </c>
      <c r="B226" s="1">
        <f>+[14]CONSOLIDADO!$C$56+[14]CONSOLIDADO!$F$56</f>
        <v>34337187.5</v>
      </c>
      <c r="C226" s="4">
        <v>1</v>
      </c>
      <c r="D226" s="7">
        <v>45398</v>
      </c>
    </row>
    <row r="227" spans="1:4" hidden="1" x14ac:dyDescent="0.25">
      <c r="A227" s="6" t="s">
        <v>0</v>
      </c>
      <c r="B227" s="1">
        <f>+[14]CONSOLIDADO!$G$56</f>
        <v>4224700</v>
      </c>
      <c r="C227" s="4">
        <v>1</v>
      </c>
      <c r="D227" s="7">
        <v>45398</v>
      </c>
    </row>
    <row r="228" spans="1:4" hidden="1" x14ac:dyDescent="0.25">
      <c r="A228" s="6" t="s">
        <v>1</v>
      </c>
      <c r="B228" s="1">
        <v>10980000</v>
      </c>
      <c r="C228" s="4">
        <v>1</v>
      </c>
      <c r="D228" s="7">
        <v>45398</v>
      </c>
    </row>
    <row r="229" spans="1:4" hidden="1" x14ac:dyDescent="0.25">
      <c r="A229" s="6" t="s">
        <v>2</v>
      </c>
      <c r="B229" s="1">
        <f>+[14]CONSOLIDADO!$J$56</f>
        <v>4190550</v>
      </c>
      <c r="C229" s="4">
        <v>1</v>
      </c>
      <c r="D229" s="7">
        <v>45398</v>
      </c>
    </row>
    <row r="230" spans="1:4" hidden="1" x14ac:dyDescent="0.25">
      <c r="A230" s="6" t="s">
        <v>3</v>
      </c>
      <c r="B230" s="1">
        <f>+[14]CONSOLIDADO!$K$56</f>
        <v>531000</v>
      </c>
      <c r="C230" s="4">
        <v>1</v>
      </c>
      <c r="D230" s="7">
        <v>45398</v>
      </c>
    </row>
    <row r="231" spans="1:4" hidden="1" x14ac:dyDescent="0.25">
      <c r="A231" s="6" t="s">
        <v>4</v>
      </c>
      <c r="B231" s="1">
        <f>+[14]CONSOLIDADO!$L$56</f>
        <v>1087380</v>
      </c>
      <c r="C231" s="4">
        <v>1</v>
      </c>
      <c r="D231" s="7">
        <v>45398</v>
      </c>
    </row>
    <row r="232" spans="1:4" hidden="1" x14ac:dyDescent="0.25">
      <c r="A232" s="6" t="str">
        <f>+[11]CONSOLIDADO!$N$1</f>
        <v>TURNO</v>
      </c>
      <c r="B232" s="1">
        <f>+[14]CONSOLIDADO!$N$56</f>
        <v>2604726</v>
      </c>
      <c r="C232" s="4">
        <v>1</v>
      </c>
      <c r="D232" s="7">
        <v>45398</v>
      </c>
    </row>
    <row r="233" spans="1:4" hidden="1" x14ac:dyDescent="0.25">
      <c r="A233" s="6" t="s">
        <v>47</v>
      </c>
      <c r="B233" s="1">
        <f>+[14]CONSOLIDADO!$P$56</f>
        <v>1252400</v>
      </c>
      <c r="C233" s="4">
        <v>1</v>
      </c>
      <c r="D233" s="7">
        <v>45398</v>
      </c>
    </row>
    <row r="234" spans="1:4" hidden="1" x14ac:dyDescent="0.25">
      <c r="A234" s="6" t="s">
        <v>48</v>
      </c>
      <c r="B234" s="1">
        <f>+[14]CONSOLIDADO!$Q$56</f>
        <v>0</v>
      </c>
      <c r="C234" s="4">
        <v>1</v>
      </c>
      <c r="D234" s="7">
        <v>45398</v>
      </c>
    </row>
    <row r="235" spans="1:4" x14ac:dyDescent="0.25">
      <c r="A235" s="6" t="s">
        <v>49</v>
      </c>
      <c r="B235" s="1">
        <f>+[14]CONSOLIDADO!$R$56</f>
        <v>878500</v>
      </c>
      <c r="C235" s="4">
        <v>1</v>
      </c>
      <c r="D235" s="7">
        <v>45398</v>
      </c>
    </row>
    <row r="236" spans="1:4" hidden="1" x14ac:dyDescent="0.25">
      <c r="A236" s="6" t="str">
        <f>+[11]CONSOLIDADO!$T$1</f>
        <v>coches guayados</v>
      </c>
      <c r="B236" s="1">
        <f>+[14]CONSOLIDADO!$T$56</f>
        <v>2674000</v>
      </c>
      <c r="C236" s="4">
        <v>1</v>
      </c>
      <c r="D236" s="7">
        <v>45398</v>
      </c>
    </row>
    <row r="237" spans="1:4" hidden="1" x14ac:dyDescent="0.25">
      <c r="A237" s="6" t="str">
        <f>+[11]CONSOLIDADO!$W$1</f>
        <v>metro despate</v>
      </c>
      <c r="B237" s="1">
        <f>+[14]CONSOLIDADO!$W$56</f>
        <v>3417000</v>
      </c>
      <c r="C237" s="4">
        <v>1</v>
      </c>
      <c r="D237" s="7">
        <v>45398</v>
      </c>
    </row>
    <row r="238" spans="1:4" hidden="1" x14ac:dyDescent="0.25">
      <c r="A238" s="6" t="str">
        <f>+[11]CONSOLIDADO!$X$1</f>
        <v>ARCO DE ACERO</v>
      </c>
      <c r="B238" s="1">
        <f>+[14]CONSOLIDADO!$X$56</f>
        <v>1644000</v>
      </c>
      <c r="C238" s="4">
        <v>1</v>
      </c>
      <c r="D238" s="7">
        <v>45398</v>
      </c>
    </row>
    <row r="239" spans="1:4" hidden="1" x14ac:dyDescent="0.25">
      <c r="A239" s="6" t="s">
        <v>21</v>
      </c>
      <c r="B239" s="1">
        <f>+[14]CONSOLIDADO!$O$72+[14]CONSOLIDADO!$O$73+[14]CONSOLIDADO!$O$74</f>
        <v>3500628.666666667</v>
      </c>
      <c r="C239" s="4">
        <v>1</v>
      </c>
      <c r="D239" s="7">
        <v>45398</v>
      </c>
    </row>
    <row r="240" spans="1:4" hidden="1" x14ac:dyDescent="0.25">
      <c r="A240" s="6" t="s">
        <v>22</v>
      </c>
      <c r="B240" s="1">
        <f>+[14]CONSOLIDADO!$AC$7</f>
        <v>789309</v>
      </c>
      <c r="C240" s="4">
        <v>1</v>
      </c>
      <c r="D240" s="7">
        <v>45398</v>
      </c>
    </row>
    <row r="241" spans="1:4" hidden="1" x14ac:dyDescent="0.25">
      <c r="A241" s="6" t="s">
        <v>33</v>
      </c>
      <c r="B241" s="1">
        <f>+[14]CONSOLIDADO!$AC$54+[14]CONSOLIDADO!$AC$55</f>
        <v>2734600</v>
      </c>
      <c r="C241" s="4">
        <v>1</v>
      </c>
      <c r="D241" s="7">
        <v>45398</v>
      </c>
    </row>
    <row r="242" spans="1:4" hidden="1" x14ac:dyDescent="0.25">
      <c r="A242" s="6" t="s">
        <v>23</v>
      </c>
      <c r="B242" s="1">
        <f>+[14]CONSOLIDADO!$AC$53</f>
        <v>1318308.3333333333</v>
      </c>
      <c r="C242" s="4">
        <v>1</v>
      </c>
      <c r="D242" s="7">
        <v>45398</v>
      </c>
    </row>
    <row r="243" spans="1:4" hidden="1" x14ac:dyDescent="0.25">
      <c r="A243" s="12" t="s">
        <v>34</v>
      </c>
      <c r="B243" s="5">
        <f>+[13]CONSOLIDADO!$AC$34</f>
        <v>807945</v>
      </c>
      <c r="C243" s="4">
        <v>1</v>
      </c>
      <c r="D243" s="7">
        <v>45398</v>
      </c>
    </row>
    <row r="244" spans="1:4" hidden="1" x14ac:dyDescent="0.25">
      <c r="A244" s="12" t="s">
        <v>79</v>
      </c>
      <c r="B244" s="5">
        <f>+[14]CONSOLIDADO!$U$56+[14]CONSOLIDADO!$M$56+[14]CONSOLIDADO!$V$56</f>
        <v>547920</v>
      </c>
      <c r="C244" s="4">
        <v>1</v>
      </c>
      <c r="D244" s="7">
        <v>45398</v>
      </c>
    </row>
    <row r="245" spans="1:4" hidden="1" x14ac:dyDescent="0.25">
      <c r="A245" s="6" t="s">
        <v>14</v>
      </c>
      <c r="B245" s="1">
        <f>+[15]CONSOLIDADO!$C$52+[15]CONSOLIDADO!$D$52+[15]CONSOLIDADO!$E$52+[15]CONSOLIDADO!$F$52+[15]CONSOLIDADO!$G$52+[15]CONSOLIDADO!$H$52</f>
        <v>33568772.399999999</v>
      </c>
      <c r="C245" s="4">
        <v>2</v>
      </c>
      <c r="D245" s="7">
        <v>45412</v>
      </c>
    </row>
    <row r="246" spans="1:4" hidden="1" x14ac:dyDescent="0.25">
      <c r="A246" s="6" t="s">
        <v>0</v>
      </c>
      <c r="B246" s="1">
        <f>+[15]CONSOLIDADO!$I$52</f>
        <v>3543600</v>
      </c>
      <c r="C246" s="4">
        <v>2</v>
      </c>
      <c r="D246" s="7">
        <v>45412</v>
      </c>
    </row>
    <row r="247" spans="1:4" hidden="1" x14ac:dyDescent="0.25">
      <c r="A247" s="6" t="s">
        <v>1</v>
      </c>
      <c r="B247" s="1">
        <f>+'[15]TOTAL DEFINIT '!$R$56</f>
        <v>7956026</v>
      </c>
      <c r="C247" s="4">
        <v>2</v>
      </c>
      <c r="D247" s="7">
        <v>45412</v>
      </c>
    </row>
    <row r="248" spans="1:4" hidden="1" x14ac:dyDescent="0.25">
      <c r="A248" s="6" t="s">
        <v>2</v>
      </c>
      <c r="B248" s="1">
        <f>+[15]CONSOLIDADO!$J$52</f>
        <v>2083980</v>
      </c>
      <c r="C248" s="4">
        <v>2</v>
      </c>
      <c r="D248" s="7">
        <v>45412</v>
      </c>
    </row>
    <row r="249" spans="1:4" hidden="1" x14ac:dyDescent="0.25">
      <c r="A249" s="6" t="s">
        <v>3</v>
      </c>
      <c r="B249" s="1">
        <f>+[15]CONSOLIDADO!$M$52</f>
        <v>399200</v>
      </c>
      <c r="C249" s="4">
        <v>2</v>
      </c>
      <c r="D249" s="7">
        <v>45412</v>
      </c>
    </row>
    <row r="250" spans="1:4" hidden="1" x14ac:dyDescent="0.25">
      <c r="A250" s="6" t="s">
        <v>4</v>
      </c>
      <c r="B250" s="1">
        <f>+[15]CONSOLIDADO!$K$52</f>
        <v>969300</v>
      </c>
      <c r="C250" s="4">
        <v>2</v>
      </c>
      <c r="D250" s="7">
        <v>45412</v>
      </c>
    </row>
    <row r="251" spans="1:4" hidden="1" x14ac:dyDescent="0.25">
      <c r="A251" s="6" t="str">
        <f>+[11]CONSOLIDADO!$N$1</f>
        <v>TURNO</v>
      </c>
      <c r="B251" s="1">
        <f>+[15]CONSOLIDADO!$L$52</f>
        <v>3919200</v>
      </c>
      <c r="C251" s="4">
        <v>2</v>
      </c>
      <c r="D251" s="7">
        <v>45412</v>
      </c>
    </row>
    <row r="252" spans="1:4" hidden="1" x14ac:dyDescent="0.25">
      <c r="A252" s="6" t="s">
        <v>47</v>
      </c>
      <c r="B252" s="1">
        <f>+[15]CONSOLIDADO!$P$52</f>
        <v>400000</v>
      </c>
      <c r="C252" s="4">
        <v>2</v>
      </c>
      <c r="D252" s="7">
        <v>45412</v>
      </c>
    </row>
    <row r="253" spans="1:4" hidden="1" x14ac:dyDescent="0.25">
      <c r="A253" s="6" t="s">
        <v>48</v>
      </c>
      <c r="B253" s="1">
        <f>+[15]CONSOLIDADO!$Q$52</f>
        <v>0</v>
      </c>
      <c r="C253" s="4">
        <v>2</v>
      </c>
      <c r="D253" s="7">
        <v>45412</v>
      </c>
    </row>
    <row r="254" spans="1:4" x14ac:dyDescent="0.25">
      <c r="A254" s="6" t="s">
        <v>49</v>
      </c>
      <c r="B254" s="1">
        <f>+[15]CONSOLIDADO!$R$52</f>
        <v>330000</v>
      </c>
      <c r="C254" s="4">
        <v>2</v>
      </c>
      <c r="D254" s="7">
        <v>45412</v>
      </c>
    </row>
    <row r="255" spans="1:4" hidden="1" x14ac:dyDescent="0.25">
      <c r="A255" s="6" t="str">
        <f>+[11]CONSOLIDADO!$T$1</f>
        <v>coches guayados</v>
      </c>
      <c r="B255" s="1">
        <f>+[15]CONSOLIDADO!$T$52</f>
        <v>2179200</v>
      </c>
      <c r="C255" s="4">
        <v>2</v>
      </c>
      <c r="D255" s="7">
        <v>45412</v>
      </c>
    </row>
    <row r="256" spans="1:4" hidden="1" x14ac:dyDescent="0.25">
      <c r="A256" s="6" t="str">
        <f>+[11]CONSOLIDADO!$W$1</f>
        <v>metro despate</v>
      </c>
      <c r="B256" s="1">
        <f>+[15]CONSOLIDADO!$W$52</f>
        <v>240000</v>
      </c>
      <c r="C256" s="4">
        <v>2</v>
      </c>
      <c r="D256" s="7">
        <v>45412</v>
      </c>
    </row>
    <row r="257" spans="1:4" hidden="1" x14ac:dyDescent="0.25">
      <c r="A257" s="6" t="str">
        <f>+[11]CONSOLIDADO!$X$1</f>
        <v>ARCO DE ACERO</v>
      </c>
      <c r="B257" s="1">
        <f>+[15]CONSOLIDADO!$X$52</f>
        <v>300000</v>
      </c>
      <c r="C257" s="4">
        <v>2</v>
      </c>
      <c r="D257" s="7">
        <v>45412</v>
      </c>
    </row>
    <row r="258" spans="1:4" hidden="1" x14ac:dyDescent="0.25">
      <c r="A258" s="6" t="s">
        <v>21</v>
      </c>
      <c r="B258" s="1">
        <f>+[15]CONSOLIDADO!$AC$17+[15]CONSOLIDADO!$AC$30+[15]CONSOLIDADO!$AC$5</f>
        <v>3349697.291666667</v>
      </c>
      <c r="C258" s="4">
        <v>2</v>
      </c>
      <c r="D258" s="7">
        <v>45412</v>
      </c>
    </row>
    <row r="259" spans="1:4" hidden="1" x14ac:dyDescent="0.25">
      <c r="A259" s="6" t="s">
        <v>22</v>
      </c>
      <c r="B259" s="1">
        <f>+[15]CONSOLIDADO!$AC$7+[15]CONSOLIDADO!$AC$47</f>
        <v>1917098</v>
      </c>
      <c r="C259" s="4">
        <v>2</v>
      </c>
      <c r="D259" s="7">
        <v>45412</v>
      </c>
    </row>
    <row r="260" spans="1:4" hidden="1" x14ac:dyDescent="0.25">
      <c r="A260" s="6" t="s">
        <v>33</v>
      </c>
      <c r="B260" s="1">
        <f>+[15]CONSOLIDADO!$AC$51+[15]CONSOLIDADO!$AC$50</f>
        <v>2734600</v>
      </c>
      <c r="C260" s="4">
        <v>2</v>
      </c>
      <c r="D260" s="7">
        <v>45412</v>
      </c>
    </row>
    <row r="261" spans="1:4" hidden="1" x14ac:dyDescent="0.25">
      <c r="A261" s="6" t="s">
        <v>23</v>
      </c>
      <c r="B261" s="1">
        <f>+[15]CONSOLIDADO!$AC$49</f>
        <v>1263271.875</v>
      </c>
      <c r="C261" s="4">
        <v>2</v>
      </c>
      <c r="D261" s="7">
        <v>45412</v>
      </c>
    </row>
    <row r="262" spans="1:4" hidden="1" x14ac:dyDescent="0.25">
      <c r="A262" s="6" t="s">
        <v>34</v>
      </c>
      <c r="B262" s="1">
        <f>+[13]CONSOLIDADO!$AC$34</f>
        <v>807945</v>
      </c>
      <c r="C262" s="4">
        <v>2</v>
      </c>
      <c r="D262" s="7">
        <v>45412</v>
      </c>
    </row>
    <row r="263" spans="1:4" hidden="1" x14ac:dyDescent="0.25">
      <c r="A263" s="12" t="s">
        <v>79</v>
      </c>
      <c r="B263" s="5">
        <f>+[15]CONSOLIDADO!$AA$52</f>
        <v>150000</v>
      </c>
      <c r="C263" s="4">
        <v>2</v>
      </c>
      <c r="D263" s="7">
        <v>45412</v>
      </c>
    </row>
    <row r="264" spans="1:4" hidden="1" x14ac:dyDescent="0.25">
      <c r="A264" s="6" t="s">
        <v>14</v>
      </c>
      <c r="B264" s="1">
        <f>+[16]CONSOLIDADO!$D$47+[16]CONSOLIDADO!$E$47+[16]CONSOLIDADO!$F$47+[16]CONSOLIDADO!$G$47+[16]CONSOLIDADO!$H$47</f>
        <v>25489468</v>
      </c>
      <c r="C264" s="4">
        <v>1</v>
      </c>
      <c r="D264" s="7">
        <v>45428</v>
      </c>
    </row>
    <row r="265" spans="1:4" hidden="1" x14ac:dyDescent="0.25">
      <c r="A265" s="6" t="s">
        <v>0</v>
      </c>
      <c r="B265" s="1">
        <f>+[16]CONSOLIDADO!$I$47</f>
        <v>3329400</v>
      </c>
      <c r="C265" s="4">
        <v>1</v>
      </c>
      <c r="D265" s="7">
        <v>45428</v>
      </c>
    </row>
    <row r="266" spans="1:4" hidden="1" x14ac:dyDescent="0.25">
      <c r="A266" s="6" t="s">
        <v>1</v>
      </c>
      <c r="B266" s="1">
        <f>+'[16]TOTAL DEFINIT '!$N$57</f>
        <v>6543000</v>
      </c>
      <c r="C266" s="4">
        <v>1</v>
      </c>
      <c r="D266" s="7">
        <v>45428</v>
      </c>
    </row>
    <row r="267" spans="1:4" hidden="1" x14ac:dyDescent="0.25">
      <c r="A267" s="6" t="s">
        <v>2</v>
      </c>
      <c r="B267" s="1">
        <f>+[16]CONSOLIDADO!$J$47</f>
        <v>1502700</v>
      </c>
      <c r="C267" s="4">
        <v>1</v>
      </c>
      <c r="D267" s="7">
        <v>45428</v>
      </c>
    </row>
    <row r="268" spans="1:4" hidden="1" x14ac:dyDescent="0.25">
      <c r="A268" s="6" t="s">
        <v>3</v>
      </c>
      <c r="B268" s="1">
        <f>+[16]CONSOLIDADO!$M$47</f>
        <v>360000</v>
      </c>
      <c r="C268" s="4">
        <v>1</v>
      </c>
      <c r="D268" s="7">
        <v>45428</v>
      </c>
    </row>
    <row r="269" spans="1:4" hidden="1" x14ac:dyDescent="0.25">
      <c r="A269" s="6" t="s">
        <v>4</v>
      </c>
      <c r="B269" s="1">
        <f>+[16]CONSOLIDADO!$K$47</f>
        <v>1142400</v>
      </c>
      <c r="C269" s="4">
        <v>1</v>
      </c>
      <c r="D269" s="7">
        <v>45428</v>
      </c>
    </row>
    <row r="270" spans="1:4" hidden="1" x14ac:dyDescent="0.25">
      <c r="A270" s="6" t="str">
        <f>+[11]CONSOLIDADO!$N$1</f>
        <v>TURNO</v>
      </c>
      <c r="B270" s="1">
        <f>+[16]CONSOLIDADO!$L$47</f>
        <v>3152400</v>
      </c>
      <c r="C270" s="4">
        <v>1</v>
      </c>
      <c r="D270" s="7">
        <v>45428</v>
      </c>
    </row>
    <row r="271" spans="1:4" hidden="1" x14ac:dyDescent="0.25">
      <c r="A271" s="6" t="s">
        <v>47</v>
      </c>
      <c r="B271" s="1">
        <f>+[16]CONSOLIDADO!$P$47</f>
        <v>976000</v>
      </c>
      <c r="C271" s="4">
        <v>1</v>
      </c>
      <c r="D271" s="7">
        <v>45428</v>
      </c>
    </row>
    <row r="272" spans="1:4" hidden="1" x14ac:dyDescent="0.25">
      <c r="A272" s="6" t="s">
        <v>48</v>
      </c>
      <c r="B272" s="1">
        <f>+[16]CONSOLIDADO!$Q$47</f>
        <v>1001000</v>
      </c>
      <c r="C272" s="4">
        <v>1</v>
      </c>
      <c r="D272" s="7">
        <v>45428</v>
      </c>
    </row>
    <row r="273" spans="1:4" x14ac:dyDescent="0.25">
      <c r="A273" s="6" t="s">
        <v>49</v>
      </c>
      <c r="B273" s="1">
        <f>+[16]CONSOLIDADO!$R$47</f>
        <v>335500</v>
      </c>
      <c r="C273" s="4">
        <v>1</v>
      </c>
      <c r="D273" s="7">
        <v>45428</v>
      </c>
    </row>
    <row r="274" spans="1:4" hidden="1" x14ac:dyDescent="0.25">
      <c r="A274" s="6" t="str">
        <f>+[11]CONSOLIDADO!$T$1</f>
        <v>coches guayados</v>
      </c>
      <c r="B274" s="1">
        <f>+[16]CONSOLIDADO!$T$47</f>
        <v>1664000</v>
      </c>
      <c r="C274" s="4">
        <v>1</v>
      </c>
      <c r="D274" s="7">
        <v>45428</v>
      </c>
    </row>
    <row r="275" spans="1:4" hidden="1" x14ac:dyDescent="0.25">
      <c r="A275" s="6" t="str">
        <f>+[11]CONSOLIDADO!$W$1</f>
        <v>metro despate</v>
      </c>
      <c r="B275" s="1">
        <f>+[16]CONSOLIDADO!$W$47</f>
        <v>580000</v>
      </c>
      <c r="C275" s="4">
        <v>1</v>
      </c>
      <c r="D275" s="7">
        <v>45428</v>
      </c>
    </row>
    <row r="276" spans="1:4" hidden="1" x14ac:dyDescent="0.25">
      <c r="A276" s="6" t="str">
        <f>+[11]CONSOLIDADO!$X$1</f>
        <v>ARCO DE ACERO</v>
      </c>
      <c r="B276" s="1">
        <f>+[16]CONSOLIDADO!$X$47</f>
        <v>600000</v>
      </c>
      <c r="C276" s="4">
        <v>1</v>
      </c>
      <c r="D276" s="7">
        <v>45428</v>
      </c>
    </row>
    <row r="277" spans="1:4" hidden="1" x14ac:dyDescent="0.25">
      <c r="A277" s="6" t="s">
        <v>21</v>
      </c>
      <c r="B277" s="1">
        <f>+[16]CONSOLIDADO!$AC$27+[16]CONSOLIDADO!$AC$4</f>
        <v>2779869.166666667</v>
      </c>
      <c r="C277" s="4">
        <v>1</v>
      </c>
      <c r="D277" s="7">
        <v>45428</v>
      </c>
    </row>
    <row r="278" spans="1:4" hidden="1" x14ac:dyDescent="0.25">
      <c r="A278" s="6" t="s">
        <v>22</v>
      </c>
      <c r="B278" s="1">
        <f>+[14]CONSOLIDADO!$AC$7</f>
        <v>789309</v>
      </c>
      <c r="C278" s="4">
        <v>1</v>
      </c>
      <c r="D278" s="7">
        <v>45428</v>
      </c>
    </row>
    <row r="279" spans="1:4" hidden="1" x14ac:dyDescent="0.25">
      <c r="A279" s="6" t="s">
        <v>33</v>
      </c>
      <c r="B279" s="1">
        <f>+[14]CONSOLIDADO!$AC$54+[14]CONSOLIDADO!$AC$55</f>
        <v>2734600</v>
      </c>
      <c r="C279" s="4">
        <v>1</v>
      </c>
      <c r="D279" s="7">
        <v>45428</v>
      </c>
    </row>
    <row r="280" spans="1:4" hidden="1" x14ac:dyDescent="0.25">
      <c r="A280" s="6" t="s">
        <v>23</v>
      </c>
      <c r="B280" s="1">
        <f>+[14]CONSOLIDADO!$AC$53</f>
        <v>1318308.3333333333</v>
      </c>
      <c r="C280" s="4">
        <v>1</v>
      </c>
      <c r="D280" s="7">
        <v>45428</v>
      </c>
    </row>
    <row r="281" spans="1:4" hidden="1" x14ac:dyDescent="0.25">
      <c r="A281" s="6" t="s">
        <v>34</v>
      </c>
      <c r="B281" s="1">
        <f>+[13]CONSOLIDADO!$AC$34</f>
        <v>807945</v>
      </c>
      <c r="C281" s="4">
        <v>1</v>
      </c>
      <c r="D281" s="7">
        <v>45428</v>
      </c>
    </row>
    <row r="282" spans="1:4" hidden="1" x14ac:dyDescent="0.25">
      <c r="A282" s="6" t="s">
        <v>79</v>
      </c>
      <c r="B282" s="1">
        <f>+[14]CONSOLIDADO!$U$56+[14]CONSOLIDADO!$M$56+[14]CONSOLIDADO!$V$56</f>
        <v>547920</v>
      </c>
      <c r="C282" s="4">
        <v>1</v>
      </c>
      <c r="D282" s="7">
        <v>45428</v>
      </c>
    </row>
    <row r="283" spans="1:4" hidden="1" x14ac:dyDescent="0.25">
      <c r="A283" s="6" t="s">
        <v>14</v>
      </c>
      <c r="B283" s="1">
        <f>+[15]CONSOLIDADO!$C$52+[15]CONSOLIDADO!$D$52+[15]CONSOLIDADO!$E$52+[15]CONSOLIDADO!$F$52+[15]CONSOLIDADO!$G$52+[15]CONSOLIDADO!$H$52</f>
        <v>33568772.399999999</v>
      </c>
      <c r="C283" s="4">
        <v>2</v>
      </c>
      <c r="D283" s="7">
        <v>45443</v>
      </c>
    </row>
    <row r="284" spans="1:4" hidden="1" x14ac:dyDescent="0.25">
      <c r="A284" s="6" t="s">
        <v>0</v>
      </c>
      <c r="B284" s="1">
        <f>+[15]CONSOLIDADO!$I$52</f>
        <v>3543600</v>
      </c>
      <c r="C284" s="4">
        <v>2</v>
      </c>
      <c r="D284" s="7">
        <v>45443</v>
      </c>
    </row>
    <row r="285" spans="1:4" hidden="1" x14ac:dyDescent="0.25">
      <c r="A285" s="6" t="s">
        <v>1</v>
      </c>
      <c r="B285" s="1">
        <f>+'[15]TOTAL DEFINIT '!$R$56</f>
        <v>7956026</v>
      </c>
      <c r="C285" s="4">
        <v>2</v>
      </c>
      <c r="D285" s="7">
        <v>45443</v>
      </c>
    </row>
    <row r="286" spans="1:4" hidden="1" x14ac:dyDescent="0.25">
      <c r="A286" s="6" t="s">
        <v>2</v>
      </c>
      <c r="B286" s="1">
        <f>+[15]CONSOLIDADO!$J$52</f>
        <v>2083980</v>
      </c>
      <c r="C286" s="4">
        <v>2</v>
      </c>
      <c r="D286" s="7">
        <v>45443</v>
      </c>
    </row>
    <row r="287" spans="1:4" hidden="1" x14ac:dyDescent="0.25">
      <c r="A287" s="6" t="s">
        <v>3</v>
      </c>
      <c r="B287" s="1">
        <f>+[15]CONSOLIDADO!$M$52</f>
        <v>399200</v>
      </c>
      <c r="C287" s="4">
        <v>2</v>
      </c>
      <c r="D287" s="7">
        <v>45443</v>
      </c>
    </row>
    <row r="288" spans="1:4" hidden="1" x14ac:dyDescent="0.25">
      <c r="A288" s="6" t="s">
        <v>4</v>
      </c>
      <c r="B288" s="1">
        <f>+[15]CONSOLIDADO!$K$52</f>
        <v>969300</v>
      </c>
      <c r="C288" s="4">
        <v>2</v>
      </c>
      <c r="D288" s="7">
        <v>45443</v>
      </c>
    </row>
    <row r="289" spans="1:4" hidden="1" x14ac:dyDescent="0.25">
      <c r="A289" s="6" t="str">
        <f>+[11]CONSOLIDADO!$N$1</f>
        <v>TURNO</v>
      </c>
      <c r="B289" s="1">
        <f>+[15]CONSOLIDADO!$L$52</f>
        <v>3919200</v>
      </c>
      <c r="C289" s="4">
        <v>2</v>
      </c>
      <c r="D289" s="7">
        <v>45443</v>
      </c>
    </row>
    <row r="290" spans="1:4" hidden="1" x14ac:dyDescent="0.25">
      <c r="A290" s="6" t="s">
        <v>47</v>
      </c>
      <c r="B290" s="1">
        <f>+[15]CONSOLIDADO!$P$52</f>
        <v>400000</v>
      </c>
      <c r="C290" s="4">
        <v>2</v>
      </c>
      <c r="D290" s="7">
        <v>45443</v>
      </c>
    </row>
    <row r="291" spans="1:4" hidden="1" x14ac:dyDescent="0.25">
      <c r="A291" s="6" t="s">
        <v>48</v>
      </c>
      <c r="B291" s="1">
        <f>+[15]CONSOLIDADO!$Q$52</f>
        <v>0</v>
      </c>
      <c r="C291" s="4">
        <v>2</v>
      </c>
      <c r="D291" s="7">
        <v>45443</v>
      </c>
    </row>
    <row r="292" spans="1:4" x14ac:dyDescent="0.25">
      <c r="A292" s="6" t="s">
        <v>49</v>
      </c>
      <c r="B292" s="1">
        <f>+[15]CONSOLIDADO!$R$52</f>
        <v>330000</v>
      </c>
      <c r="C292" s="4">
        <v>2</v>
      </c>
      <c r="D292" s="7">
        <v>45443</v>
      </c>
    </row>
    <row r="293" spans="1:4" hidden="1" x14ac:dyDescent="0.25">
      <c r="A293" s="6" t="str">
        <f>+[11]CONSOLIDADO!$T$1</f>
        <v>coches guayados</v>
      </c>
      <c r="B293" s="1">
        <f>+[15]CONSOLIDADO!$T$52</f>
        <v>2179200</v>
      </c>
      <c r="C293" s="4">
        <v>2</v>
      </c>
      <c r="D293" s="7">
        <v>45443</v>
      </c>
    </row>
    <row r="294" spans="1:4" hidden="1" x14ac:dyDescent="0.25">
      <c r="A294" s="6" t="str">
        <f>+[11]CONSOLIDADO!$W$1</f>
        <v>metro despate</v>
      </c>
      <c r="B294" s="1">
        <f>+[15]CONSOLIDADO!$W$52</f>
        <v>240000</v>
      </c>
      <c r="C294" s="4">
        <v>2</v>
      </c>
      <c r="D294" s="7">
        <v>45443</v>
      </c>
    </row>
    <row r="295" spans="1:4" hidden="1" x14ac:dyDescent="0.25">
      <c r="A295" s="6" t="str">
        <f>+[11]CONSOLIDADO!$X$1</f>
        <v>ARCO DE ACERO</v>
      </c>
      <c r="B295" s="1">
        <f>+[15]CONSOLIDADO!$X$52</f>
        <v>300000</v>
      </c>
      <c r="C295" s="4">
        <v>2</v>
      </c>
      <c r="D295" s="7">
        <v>45443</v>
      </c>
    </row>
    <row r="296" spans="1:4" hidden="1" x14ac:dyDescent="0.25">
      <c r="A296" s="6" t="s">
        <v>21</v>
      </c>
      <c r="B296" s="1">
        <f>+[15]CONSOLIDADO!$AC$17+[15]CONSOLIDADO!$AC$30+[15]CONSOLIDADO!$AC$5</f>
        <v>3349697.291666667</v>
      </c>
      <c r="C296" s="4">
        <v>2</v>
      </c>
      <c r="D296" s="7">
        <v>45443</v>
      </c>
    </row>
    <row r="297" spans="1:4" hidden="1" x14ac:dyDescent="0.25">
      <c r="A297" s="6" t="s">
        <v>22</v>
      </c>
      <c r="B297" s="1">
        <f>+[15]CONSOLIDADO!$AC$7+[15]CONSOLIDADO!$AC$47</f>
        <v>1917098</v>
      </c>
      <c r="C297" s="4">
        <v>2</v>
      </c>
      <c r="D297" s="7">
        <v>45443</v>
      </c>
    </row>
    <row r="298" spans="1:4" hidden="1" x14ac:dyDescent="0.25">
      <c r="A298" s="6" t="s">
        <v>33</v>
      </c>
      <c r="B298" s="1">
        <f>+[15]CONSOLIDADO!$AC$51+[15]CONSOLIDADO!$AC$50</f>
        <v>2734600</v>
      </c>
      <c r="C298" s="4">
        <v>2</v>
      </c>
      <c r="D298" s="7">
        <v>45443</v>
      </c>
    </row>
    <row r="299" spans="1:4" hidden="1" x14ac:dyDescent="0.25">
      <c r="A299" s="6" t="s">
        <v>23</v>
      </c>
      <c r="B299" s="1">
        <f>+[15]CONSOLIDADO!$AC$49</f>
        <v>1263271.875</v>
      </c>
      <c r="C299" s="4">
        <v>2</v>
      </c>
      <c r="D299" s="7">
        <v>45443</v>
      </c>
    </row>
    <row r="300" spans="1:4" hidden="1" x14ac:dyDescent="0.25">
      <c r="A300" s="6" t="s">
        <v>34</v>
      </c>
      <c r="B300" s="1">
        <f>+[13]CONSOLIDADO!$AC$34</f>
        <v>807945</v>
      </c>
      <c r="C300" s="4">
        <v>2</v>
      </c>
      <c r="D300" s="7">
        <v>45443</v>
      </c>
    </row>
    <row r="301" spans="1:4" hidden="1" x14ac:dyDescent="0.25">
      <c r="A301" s="12" t="s">
        <v>79</v>
      </c>
      <c r="B301" s="5">
        <f>+[15]CONSOLIDADO!$AA$52</f>
        <v>150000</v>
      </c>
      <c r="C301" s="13">
        <v>2</v>
      </c>
      <c r="D301" s="7">
        <v>45443</v>
      </c>
    </row>
    <row r="302" spans="1:4" hidden="1" x14ac:dyDescent="0.25">
      <c r="A302" s="6" t="s">
        <v>14</v>
      </c>
      <c r="B302" s="1">
        <f>+[17]CONSOLIDADO!$D$45+[17]CONSOLIDADO!$E$45+[17]CONSOLIDADO!$F$45</f>
        <v>34987362.200000003</v>
      </c>
      <c r="C302" s="4"/>
      <c r="D302" s="7">
        <v>45459</v>
      </c>
    </row>
    <row r="303" spans="1:4" hidden="1" x14ac:dyDescent="0.25">
      <c r="A303" s="6" t="s">
        <v>0</v>
      </c>
      <c r="B303" s="1">
        <f>+[17]CONSOLIDADO!$I$45</f>
        <v>4994700</v>
      </c>
      <c r="C303" s="4"/>
      <c r="D303" s="7">
        <v>45459</v>
      </c>
    </row>
    <row r="304" spans="1:4" hidden="1" x14ac:dyDescent="0.25">
      <c r="A304" s="6" t="s">
        <v>1</v>
      </c>
      <c r="B304" s="1">
        <f>+'[17]TOTAL DEFINIT '!$N$54</f>
        <v>7612500</v>
      </c>
      <c r="C304" s="4"/>
      <c r="D304" s="7">
        <v>45459</v>
      </c>
    </row>
    <row r="305" spans="1:4" hidden="1" x14ac:dyDescent="0.25">
      <c r="A305" s="6" t="s">
        <v>2</v>
      </c>
      <c r="B305" s="1">
        <f>+[17]CONSOLIDADO!$J$45</f>
        <v>658800</v>
      </c>
      <c r="C305" s="4"/>
      <c r="D305" s="7">
        <v>45459</v>
      </c>
    </row>
    <row r="306" spans="1:4" hidden="1" x14ac:dyDescent="0.25">
      <c r="A306" s="6" t="s">
        <v>3</v>
      </c>
      <c r="B306" s="1">
        <f>+[17]CONSOLIDADO!$M$45</f>
        <v>189980</v>
      </c>
      <c r="C306" s="4"/>
      <c r="D306" s="7">
        <v>45459</v>
      </c>
    </row>
    <row r="307" spans="1:4" hidden="1" x14ac:dyDescent="0.25">
      <c r="A307" s="6" t="s">
        <v>4</v>
      </c>
      <c r="B307" s="1">
        <f>+[17]CONSOLIDADO!$K$45</f>
        <v>1992000</v>
      </c>
      <c r="C307" s="4"/>
      <c r="D307" s="7">
        <v>45459</v>
      </c>
    </row>
    <row r="308" spans="1:4" hidden="1" x14ac:dyDescent="0.25">
      <c r="A308" s="6" t="str">
        <f>+[11]CONSOLIDADO!$N$1</f>
        <v>TURNO</v>
      </c>
      <c r="B308" s="1">
        <f>+[17]CONSOLIDADO!$L$45</f>
        <v>1065000</v>
      </c>
      <c r="C308" s="4"/>
      <c r="D308" s="7">
        <v>45459</v>
      </c>
    </row>
    <row r="309" spans="1:4" hidden="1" x14ac:dyDescent="0.25">
      <c r="A309" s="6" t="s">
        <v>47</v>
      </c>
      <c r="B309" s="1">
        <f>+[17]CONSOLIDADO!$P$45</f>
        <v>2680000</v>
      </c>
      <c r="C309" s="4"/>
      <c r="D309" s="7">
        <v>45459</v>
      </c>
    </row>
    <row r="310" spans="1:4" hidden="1" x14ac:dyDescent="0.25">
      <c r="A310" s="6" t="s">
        <v>48</v>
      </c>
      <c r="B310" s="1">
        <f>+[17]CONSOLIDADO!$Q$45</f>
        <v>0</v>
      </c>
      <c r="C310" s="4"/>
      <c r="D310" s="7">
        <v>45459</v>
      </c>
    </row>
    <row r="311" spans="1:4" x14ac:dyDescent="0.25">
      <c r="A311" s="6" t="s">
        <v>49</v>
      </c>
      <c r="B311" s="1">
        <f>+[17]CONSOLIDADO!$R$45</f>
        <v>115807.99999999999</v>
      </c>
      <c r="C311" s="4"/>
      <c r="D311" s="7">
        <v>45459</v>
      </c>
    </row>
    <row r="312" spans="1:4" hidden="1" x14ac:dyDescent="0.25">
      <c r="A312" s="6" t="str">
        <f>+[11]CONSOLIDADO!$T$1</f>
        <v>coches guayados</v>
      </c>
      <c r="B312" s="1">
        <f>+[17]CONSOLIDADO!$T$45</f>
        <v>2947000</v>
      </c>
      <c r="C312" s="4"/>
      <c r="D312" s="7">
        <v>45459</v>
      </c>
    </row>
    <row r="313" spans="1:4" hidden="1" x14ac:dyDescent="0.25">
      <c r="A313" s="6" t="str">
        <f>+[11]CONSOLIDADO!$W$1</f>
        <v>metro despate</v>
      </c>
      <c r="B313" s="1">
        <f>+[17]CONSOLIDADO!$W$45</f>
        <v>956000</v>
      </c>
      <c r="C313" s="4"/>
      <c r="D313" s="7">
        <v>45459</v>
      </c>
    </row>
    <row r="314" spans="1:4" hidden="1" x14ac:dyDescent="0.25">
      <c r="A314" s="6" t="str">
        <f>+[11]CONSOLIDADO!$X$1</f>
        <v>ARCO DE ACERO</v>
      </c>
      <c r="B314" s="1">
        <f>+[17]CONSOLIDADO!$X$45</f>
        <v>0</v>
      </c>
      <c r="C314" s="4"/>
      <c r="D314" s="7">
        <v>45459</v>
      </c>
    </row>
    <row r="315" spans="1:4" hidden="1" x14ac:dyDescent="0.25">
      <c r="A315" s="6" t="s">
        <v>21</v>
      </c>
      <c r="B315" s="1">
        <f>+[17]CONSOLIDADO!$Y$45+[17]CONSOLIDADO!$AE$12+[17]CONSOLIDADO!$AE$25+[17]CONSOLIDADO!$AE$3+[17]CONSOLIDADO!$Y$20</f>
        <v>3627247.5</v>
      </c>
      <c r="C315" s="4"/>
      <c r="D315" s="7">
        <v>45459</v>
      </c>
    </row>
    <row r="316" spans="1:4" hidden="1" x14ac:dyDescent="0.25">
      <c r="A316" s="6" t="s">
        <v>22</v>
      </c>
      <c r="B316" s="1">
        <f>+[17]CONSOLIDADO!$AE$36</f>
        <v>912337</v>
      </c>
      <c r="C316" s="4"/>
      <c r="D316" s="7">
        <v>45459</v>
      </c>
    </row>
    <row r="317" spans="1:4" hidden="1" x14ac:dyDescent="0.25">
      <c r="A317" s="6" t="s">
        <v>33</v>
      </c>
      <c r="B317" s="1">
        <f>+[17]CONSOLIDADO!$AE$44+[17]CONSOLIDADO!$AE$43</f>
        <v>2734600</v>
      </c>
      <c r="C317" s="4"/>
      <c r="D317" s="7">
        <v>45459</v>
      </c>
    </row>
    <row r="318" spans="1:4" hidden="1" x14ac:dyDescent="0.25">
      <c r="A318" s="6" t="s">
        <v>23</v>
      </c>
      <c r="B318" s="1">
        <f>+[17]CONSOLIDADO!$AE$42</f>
        <v>1422953.125</v>
      </c>
      <c r="C318" s="4"/>
      <c r="D318" s="7">
        <v>45459</v>
      </c>
    </row>
    <row r="319" spans="1:4" hidden="1" x14ac:dyDescent="0.25">
      <c r="A319" s="6" t="s">
        <v>34</v>
      </c>
      <c r="B319" s="1">
        <v>0</v>
      </c>
      <c r="C319" s="4"/>
      <c r="D319" s="7">
        <v>45459</v>
      </c>
    </row>
    <row r="320" spans="1:4" hidden="1" x14ac:dyDescent="0.25">
      <c r="A320" s="12" t="s">
        <v>79</v>
      </c>
      <c r="B320" s="5">
        <f>+[17]CONSOLIDADO!$V$45+[17]CONSOLIDADO!$U$45+[17]CONSOLIDADO!$N$45</f>
        <v>330000</v>
      </c>
      <c r="C320" s="13"/>
      <c r="D320" s="7">
        <v>45459</v>
      </c>
    </row>
    <row r="321" spans="1:4" hidden="1" x14ac:dyDescent="0.25">
      <c r="A321" s="6" t="s">
        <v>14</v>
      </c>
      <c r="B321" s="1">
        <f>+SUM([18]CONSOLIDADO!$C$47:$G$47)</f>
        <v>31447859</v>
      </c>
      <c r="C321" s="4"/>
      <c r="D321" s="7">
        <v>45473</v>
      </c>
    </row>
    <row r="322" spans="1:4" hidden="1" x14ac:dyDescent="0.25">
      <c r="A322" s="6" t="s">
        <v>0</v>
      </c>
      <c r="B322" s="1">
        <f>+[18]CONSOLIDADO!$J$47</f>
        <v>2250000</v>
      </c>
      <c r="C322" s="4"/>
      <c r="D322" s="7">
        <v>45473</v>
      </c>
    </row>
    <row r="323" spans="1:4" hidden="1" x14ac:dyDescent="0.25">
      <c r="A323" s="6" t="s">
        <v>1</v>
      </c>
      <c r="B323" s="1">
        <f>+'[18]TOTAL DEFINIT '!$N$52</f>
        <v>8233750</v>
      </c>
      <c r="C323" s="4"/>
      <c r="D323" s="7">
        <v>45473</v>
      </c>
    </row>
    <row r="324" spans="1:4" hidden="1" x14ac:dyDescent="0.25">
      <c r="A324" s="6" t="s">
        <v>2</v>
      </c>
      <c r="B324" s="1">
        <f>+[18]CONSOLIDADO!$K$47</f>
        <v>599100</v>
      </c>
      <c r="C324" s="4"/>
      <c r="D324" s="7">
        <v>45473</v>
      </c>
    </row>
    <row r="325" spans="1:4" hidden="1" x14ac:dyDescent="0.25">
      <c r="A325" s="6" t="s">
        <v>3</v>
      </c>
      <c r="B325" s="1">
        <f>+[18]CONSOLIDADO!$N$47</f>
        <v>0</v>
      </c>
      <c r="C325" s="4"/>
      <c r="D325" s="7">
        <v>45473</v>
      </c>
    </row>
    <row r="326" spans="1:4" hidden="1" x14ac:dyDescent="0.25">
      <c r="A326" s="6" t="s">
        <v>4</v>
      </c>
      <c r="B326" s="1">
        <f>+[18]CONSOLIDADO!$L$47</f>
        <v>1190000</v>
      </c>
      <c r="C326" s="4"/>
      <c r="D326" s="7">
        <v>45473</v>
      </c>
    </row>
    <row r="327" spans="1:4" hidden="1" x14ac:dyDescent="0.25">
      <c r="A327" s="6" t="str">
        <f>+[11]CONSOLIDADO!$N$1</f>
        <v>TURNO</v>
      </c>
      <c r="B327" s="1">
        <f>+[18]CONSOLIDADO!$M$47</f>
        <v>2272500</v>
      </c>
      <c r="C327" s="4"/>
      <c r="D327" s="7">
        <v>45473</v>
      </c>
    </row>
    <row r="328" spans="1:4" hidden="1" x14ac:dyDescent="0.25">
      <c r="A328" s="6" t="s">
        <v>47</v>
      </c>
      <c r="B328" s="1">
        <f>+[18]CONSOLIDADO!$Q$47</f>
        <v>3304750</v>
      </c>
      <c r="C328" s="4"/>
      <c r="D328" s="7">
        <v>45473</v>
      </c>
    </row>
    <row r="329" spans="1:4" hidden="1" x14ac:dyDescent="0.25">
      <c r="A329" s="6" t="s">
        <v>48</v>
      </c>
      <c r="B329" s="1">
        <f>+[18]CONSOLIDADO!$R$47</f>
        <v>204750</v>
      </c>
      <c r="C329" s="4"/>
      <c r="D329" s="7">
        <v>45473</v>
      </c>
    </row>
    <row r="330" spans="1:4" x14ac:dyDescent="0.25">
      <c r="A330" s="6" t="s">
        <v>49</v>
      </c>
      <c r="B330" s="1">
        <f>+[18]CONSOLIDADO!$S$47</f>
        <v>247500</v>
      </c>
      <c r="C330" s="4"/>
      <c r="D330" s="7">
        <v>45473</v>
      </c>
    </row>
    <row r="331" spans="1:4" hidden="1" x14ac:dyDescent="0.25">
      <c r="A331" s="6" t="str">
        <f>+[11]CONSOLIDADO!$T$1</f>
        <v>coches guayados</v>
      </c>
      <c r="B331" s="1">
        <f>+[18]CONSOLIDADO!$U$47</f>
        <v>2254000</v>
      </c>
      <c r="C331" s="4"/>
      <c r="D331" s="7">
        <v>45473</v>
      </c>
    </row>
    <row r="332" spans="1:4" hidden="1" x14ac:dyDescent="0.25">
      <c r="A332" s="6" t="str">
        <f>+[11]CONSOLIDADO!$W$1</f>
        <v>metro despate</v>
      </c>
      <c r="B332" s="1">
        <f>+[18]CONSOLIDADO!$X$47</f>
        <v>1220000</v>
      </c>
      <c r="C332" s="4"/>
      <c r="D332" s="7">
        <v>45473</v>
      </c>
    </row>
    <row r="333" spans="1:4" hidden="1" x14ac:dyDescent="0.25">
      <c r="A333" s="6" t="str">
        <f>+[11]CONSOLIDADO!$X$1</f>
        <v>ARCO DE ACERO</v>
      </c>
      <c r="B333" s="1">
        <f>+[18]CONSOLIDADO!$Y$47</f>
        <v>0</v>
      </c>
      <c r="C333" s="4"/>
      <c r="D333" s="7">
        <v>45473</v>
      </c>
    </row>
    <row r="334" spans="1:4" hidden="1" x14ac:dyDescent="0.25">
      <c r="A334" s="6" t="s">
        <v>21</v>
      </c>
      <c r="B334" s="1">
        <f>+[18]CONSOLIDADO!$AF$17+[18]CONSOLIDADO!$AF$11+[18]CONSOLIDADO!$AF$23</f>
        <v>3924134.1666666665</v>
      </c>
      <c r="C334" s="4"/>
      <c r="D334" s="7">
        <v>45473</v>
      </c>
    </row>
    <row r="335" spans="1:4" hidden="1" x14ac:dyDescent="0.25">
      <c r="A335" s="6" t="s">
        <v>22</v>
      </c>
      <c r="B335" s="1">
        <f>+[18]CONSOLIDADO!$AF$36</f>
        <v>916686</v>
      </c>
      <c r="C335" s="4"/>
      <c r="D335" s="7">
        <v>45473</v>
      </c>
    </row>
    <row r="336" spans="1:4" hidden="1" x14ac:dyDescent="0.25">
      <c r="A336" s="6" t="s">
        <v>33</v>
      </c>
      <c r="B336" s="1">
        <f>+[18]CONSOLIDADO!$AF$46+[18]CONSOLIDADO!$AF$45</f>
        <v>2734600</v>
      </c>
      <c r="C336" s="4"/>
      <c r="D336" s="7">
        <v>45473</v>
      </c>
    </row>
    <row r="337" spans="1:4" hidden="1" x14ac:dyDescent="0.25">
      <c r="A337" s="6" t="s">
        <v>23</v>
      </c>
      <c r="B337" s="1">
        <f>+[18]CONSOLIDADO!$AF$44</f>
        <v>1310235.416666667</v>
      </c>
      <c r="C337" s="4"/>
      <c r="D337" s="7">
        <v>45473</v>
      </c>
    </row>
    <row r="338" spans="1:4" hidden="1" x14ac:dyDescent="0.25">
      <c r="A338" s="6" t="s">
        <v>34</v>
      </c>
      <c r="B338" s="1"/>
      <c r="C338" s="4"/>
      <c r="D338" s="7">
        <v>45473</v>
      </c>
    </row>
    <row r="339" spans="1:4" hidden="1" x14ac:dyDescent="0.25">
      <c r="A339" s="12" t="s">
        <v>79</v>
      </c>
      <c r="B339" s="5">
        <f>+[18]CONSOLIDADO!$T$47+[18]CONSOLIDADO!$W$47</f>
        <v>314500</v>
      </c>
      <c r="C339" s="13"/>
      <c r="D339" s="7">
        <v>45473</v>
      </c>
    </row>
    <row r="340" spans="1:4" hidden="1" x14ac:dyDescent="0.25">
      <c r="A340" s="6" t="s">
        <v>14</v>
      </c>
      <c r="B340" s="1">
        <f>+SUM([19]CONSOLIDADO!$C$46:$I$46)</f>
        <v>32992248</v>
      </c>
      <c r="C340" s="4"/>
      <c r="D340" s="7">
        <v>45489</v>
      </c>
    </row>
    <row r="341" spans="1:4" hidden="1" x14ac:dyDescent="0.25">
      <c r="A341" s="6" t="s">
        <v>0</v>
      </c>
      <c r="B341" s="1">
        <f>+[19]CONSOLIDADO!$J$46</f>
        <v>3652800</v>
      </c>
      <c r="C341" s="4"/>
      <c r="D341" s="7">
        <v>45489</v>
      </c>
    </row>
    <row r="342" spans="1:4" hidden="1" x14ac:dyDescent="0.25">
      <c r="A342" s="6" t="s">
        <v>1</v>
      </c>
      <c r="B342" s="1">
        <f>+'[19]TOTAL DEFINIT '!$M$52</f>
        <v>8417500</v>
      </c>
      <c r="C342" s="4"/>
      <c r="D342" s="7">
        <v>45489</v>
      </c>
    </row>
    <row r="343" spans="1:4" hidden="1" x14ac:dyDescent="0.25">
      <c r="A343" s="6" t="s">
        <v>2</v>
      </c>
      <c r="B343" s="1">
        <f>+[19]CONSOLIDADO!$K$46</f>
        <v>590700</v>
      </c>
      <c r="C343" s="4"/>
      <c r="D343" s="7">
        <v>45489</v>
      </c>
    </row>
    <row r="344" spans="1:4" hidden="1" x14ac:dyDescent="0.25">
      <c r="A344" s="6" t="s">
        <v>3</v>
      </c>
      <c r="B344" s="1">
        <f>+[19]CONSOLIDADO!$N$46</f>
        <v>359200</v>
      </c>
      <c r="C344" s="4"/>
      <c r="D344" s="7">
        <v>45489</v>
      </c>
    </row>
    <row r="345" spans="1:4" hidden="1" x14ac:dyDescent="0.25">
      <c r="A345" s="6" t="s">
        <v>4</v>
      </c>
      <c r="B345" s="1">
        <f>+[19]CONSOLIDADO!$L$46</f>
        <v>1291500</v>
      </c>
      <c r="C345" s="4"/>
      <c r="D345" s="7">
        <v>45489</v>
      </c>
    </row>
    <row r="346" spans="1:4" hidden="1" x14ac:dyDescent="0.25">
      <c r="A346" s="6" t="str">
        <f>+[11]CONSOLIDADO!$N$1</f>
        <v>TURNO</v>
      </c>
      <c r="B346" s="1">
        <f>+[19]CONSOLIDADO!$M$46</f>
        <v>2637600</v>
      </c>
      <c r="C346" s="4"/>
      <c r="D346" s="7">
        <v>45489</v>
      </c>
    </row>
    <row r="347" spans="1:4" hidden="1" x14ac:dyDescent="0.25">
      <c r="A347" s="6" t="s">
        <v>47</v>
      </c>
      <c r="B347" s="1">
        <f>+[19]CONSOLIDADO!$R$46</f>
        <v>1720000</v>
      </c>
      <c r="C347" s="4"/>
      <c r="D347" s="7">
        <v>45489</v>
      </c>
    </row>
    <row r="348" spans="1:4" hidden="1" x14ac:dyDescent="0.25">
      <c r="A348" s="6" t="s">
        <v>48</v>
      </c>
      <c r="B348" s="1">
        <f>+[19]CONSOLIDADO!$S$46</f>
        <v>980000</v>
      </c>
      <c r="C348" s="4"/>
      <c r="D348" s="7">
        <v>45489</v>
      </c>
    </row>
    <row r="349" spans="1:4" x14ac:dyDescent="0.25">
      <c r="A349" s="6" t="s">
        <v>49</v>
      </c>
      <c r="B349" s="1">
        <f>+[19]CONSOLIDADO!$P$46+[19]CONSOLIDADO!$T$46</f>
        <v>845100</v>
      </c>
      <c r="C349" s="4"/>
      <c r="D349" s="7">
        <v>45489</v>
      </c>
    </row>
    <row r="350" spans="1:4" hidden="1" x14ac:dyDescent="0.25">
      <c r="A350" s="6" t="str">
        <f>+[11]CONSOLIDADO!$T$1</f>
        <v>coches guayados</v>
      </c>
      <c r="B350" s="1">
        <f>+[19]CONSOLIDADO!$V$46</f>
        <v>2894000</v>
      </c>
      <c r="C350" s="4"/>
      <c r="D350" s="7">
        <v>45489</v>
      </c>
    </row>
    <row r="351" spans="1:4" hidden="1" x14ac:dyDescent="0.25">
      <c r="A351" s="6" t="str">
        <f>+[11]CONSOLIDADO!$W$1</f>
        <v>metro despate</v>
      </c>
      <c r="B351" s="1">
        <f>+[19]CONSOLIDADO!$Y$46</f>
        <v>480000</v>
      </c>
      <c r="C351" s="4"/>
      <c r="D351" s="7">
        <v>45489</v>
      </c>
    </row>
    <row r="352" spans="1:4" hidden="1" x14ac:dyDescent="0.25">
      <c r="A352" s="6" t="str">
        <f>+[11]CONSOLIDADO!$X$1</f>
        <v>ARCO DE ACERO</v>
      </c>
      <c r="B352" s="1">
        <f>+[19]CONSOLIDADO!$Z$46</f>
        <v>0</v>
      </c>
      <c r="C352" s="4"/>
      <c r="D352" s="7">
        <v>45489</v>
      </c>
    </row>
    <row r="353" spans="1:4" hidden="1" x14ac:dyDescent="0.25">
      <c r="A353" s="6" t="s">
        <v>21</v>
      </c>
      <c r="B353" s="1">
        <f>+[19]CONSOLIDADO!$AG$23+[19]CONSOLIDADO!$AG$17</f>
        <v>3160729.3333333335</v>
      </c>
      <c r="C353" s="4"/>
      <c r="D353" s="7">
        <v>45489</v>
      </c>
    </row>
    <row r="354" spans="1:4" hidden="1" x14ac:dyDescent="0.25">
      <c r="A354" s="6" t="s">
        <v>22</v>
      </c>
      <c r="B354" s="1">
        <f>+[19]CONSOLIDADO!$AG$36</f>
        <v>1210790</v>
      </c>
      <c r="C354" s="4"/>
      <c r="D354" s="7">
        <v>45489</v>
      </c>
    </row>
    <row r="355" spans="1:4" hidden="1" x14ac:dyDescent="0.25">
      <c r="A355" s="6" t="s">
        <v>33</v>
      </c>
      <c r="B355" s="1">
        <f>+[19]CONSOLIDADO!$AG$45+[19]CONSOLIDADO!$AG$44</f>
        <v>2734600</v>
      </c>
      <c r="C355" s="4"/>
      <c r="D355" s="7">
        <v>45489</v>
      </c>
    </row>
    <row r="356" spans="1:4" hidden="1" x14ac:dyDescent="0.25">
      <c r="A356" s="6" t="s">
        <v>23</v>
      </c>
      <c r="B356" s="1">
        <f>+[19]CONSOLIDADO!$AG$43</f>
        <v>1367662.5</v>
      </c>
      <c r="C356" s="4"/>
      <c r="D356" s="7">
        <v>45489</v>
      </c>
    </row>
    <row r="357" spans="1:4" hidden="1" x14ac:dyDescent="0.25">
      <c r="A357" s="12" t="s">
        <v>79</v>
      </c>
      <c r="B357" s="5">
        <f>+[19]CONSOLIDADO!$O$46+[19]CONSOLIDADO!$U$46</f>
        <v>670000</v>
      </c>
      <c r="C357" s="13"/>
      <c r="D357" s="7">
        <v>45489</v>
      </c>
    </row>
    <row r="358" spans="1:4" hidden="1" x14ac:dyDescent="0.25">
      <c r="A358" s="6" t="s">
        <v>14</v>
      </c>
      <c r="B358" s="1">
        <f>+SUM([20]CONSOLIDADO!$C$46:$H$46)</f>
        <v>32218798</v>
      </c>
      <c r="C358" s="4"/>
      <c r="D358" s="7">
        <v>45504</v>
      </c>
    </row>
    <row r="359" spans="1:4" hidden="1" x14ac:dyDescent="0.25">
      <c r="A359" s="6" t="s">
        <v>0</v>
      </c>
      <c r="B359" s="1">
        <f>+[20]CONSOLIDADO!$J$46</f>
        <v>3696600</v>
      </c>
      <c r="C359" s="4"/>
      <c r="D359" s="7">
        <v>45504</v>
      </c>
    </row>
    <row r="360" spans="1:4" hidden="1" x14ac:dyDescent="0.25">
      <c r="A360" s="6" t="s">
        <v>1</v>
      </c>
      <c r="B360" s="1">
        <f>+'[20]TOTAL DEFINIT '!$M$50</f>
        <v>8712500</v>
      </c>
      <c r="C360" s="4"/>
      <c r="D360" s="7">
        <v>45504</v>
      </c>
    </row>
    <row r="361" spans="1:4" hidden="1" x14ac:dyDescent="0.25">
      <c r="A361" s="6" t="s">
        <v>2</v>
      </c>
      <c r="B361" s="1">
        <f>+[20]CONSOLIDADO!$K$46</f>
        <v>1012300</v>
      </c>
      <c r="C361" s="4"/>
      <c r="D361" s="7">
        <v>45504</v>
      </c>
    </row>
    <row r="362" spans="1:4" hidden="1" x14ac:dyDescent="0.25">
      <c r="A362" s="6" t="s">
        <v>3</v>
      </c>
      <c r="B362" s="1">
        <f>+[20]CONSOLIDADO!$N$46</f>
        <v>918880</v>
      </c>
      <c r="C362" s="4"/>
      <c r="D362" s="7">
        <v>45504</v>
      </c>
    </row>
    <row r="363" spans="1:4" hidden="1" x14ac:dyDescent="0.25">
      <c r="A363" s="6" t="s">
        <v>4</v>
      </c>
      <c r="B363" s="1">
        <f>+[20]CONSOLIDADO!$L$46</f>
        <v>1633100</v>
      </c>
      <c r="C363" s="4"/>
      <c r="D363" s="7">
        <v>45504</v>
      </c>
    </row>
    <row r="364" spans="1:4" hidden="1" x14ac:dyDescent="0.25">
      <c r="A364" s="6" t="str">
        <f>+[11]CONSOLIDADO!$N$1</f>
        <v>TURNO</v>
      </c>
      <c r="B364" s="1">
        <f>+[20]CONSOLIDADO!$M$46</f>
        <v>1740000</v>
      </c>
      <c r="C364" s="4"/>
      <c r="D364" s="7">
        <v>45504</v>
      </c>
    </row>
    <row r="365" spans="1:4" hidden="1" x14ac:dyDescent="0.25">
      <c r="A365" s="6" t="s">
        <v>47</v>
      </c>
      <c r="B365" s="1">
        <f>+[20]CONSOLIDADO!$R$46</f>
        <v>3390000</v>
      </c>
      <c r="C365" s="4"/>
      <c r="D365" s="7">
        <v>45504</v>
      </c>
    </row>
    <row r="366" spans="1:4" hidden="1" x14ac:dyDescent="0.25">
      <c r="A366" s="6" t="s">
        <v>48</v>
      </c>
      <c r="B366" s="1">
        <f>+[20]CONSOLIDADO!$S$46</f>
        <v>1831400</v>
      </c>
      <c r="C366" s="4"/>
      <c r="D366" s="7">
        <v>45504</v>
      </c>
    </row>
    <row r="367" spans="1:4" x14ac:dyDescent="0.25">
      <c r="A367" s="6" t="s">
        <v>49</v>
      </c>
      <c r="B367" s="1">
        <f>+[20]CONSOLIDADO!$T$46</f>
        <v>439919.99999999994</v>
      </c>
      <c r="C367" s="4"/>
      <c r="D367" s="7">
        <v>45504</v>
      </c>
    </row>
    <row r="368" spans="1:4" hidden="1" x14ac:dyDescent="0.25">
      <c r="A368" s="6" t="str">
        <f>+[11]CONSOLIDADO!$T$1</f>
        <v>coches guayados</v>
      </c>
      <c r="B368" s="1">
        <f>+[20]CONSOLIDADO!$V$46</f>
        <v>2530500</v>
      </c>
      <c r="C368" s="4"/>
      <c r="D368" s="7">
        <v>45504</v>
      </c>
    </row>
    <row r="369" spans="1:4" hidden="1" x14ac:dyDescent="0.25">
      <c r="A369" s="6" t="str">
        <f>+[11]CONSOLIDADO!$W$1</f>
        <v>metro despate</v>
      </c>
      <c r="B369" s="1">
        <f>+[20]CONSOLIDADO!$Y$46</f>
        <v>1239200</v>
      </c>
      <c r="C369" s="4"/>
      <c r="D369" s="7">
        <v>45504</v>
      </c>
    </row>
    <row r="370" spans="1:4" hidden="1" x14ac:dyDescent="0.25">
      <c r="A370" s="6" t="str">
        <f>+[11]CONSOLIDADO!$X$1</f>
        <v>ARCO DE ACERO</v>
      </c>
      <c r="B370" s="1">
        <f>+[20]CONSOLIDADO!$Z$46</f>
        <v>1194000</v>
      </c>
      <c r="C370" s="4"/>
      <c r="D370" s="7">
        <v>45504</v>
      </c>
    </row>
    <row r="371" spans="1:4" hidden="1" x14ac:dyDescent="0.25">
      <c r="A371" s="6" t="s">
        <v>21</v>
      </c>
      <c r="B371" s="1">
        <f>+[20]CONSOLIDADO!$AG$23+[20]CONSOLIDADO!$AG$17</f>
        <v>3055926.6666666665</v>
      </c>
      <c r="C371" s="4"/>
      <c r="D371" s="7">
        <v>45504</v>
      </c>
    </row>
    <row r="372" spans="1:4" hidden="1" x14ac:dyDescent="0.25">
      <c r="A372" s="6" t="s">
        <v>22</v>
      </c>
      <c r="B372" s="1">
        <f>+[20]CONSOLIDADO!$AG$33+[20]CONSOLIDADO!$AG$41</f>
        <v>1982639</v>
      </c>
      <c r="C372" s="4"/>
      <c r="D372" s="7">
        <v>45504</v>
      </c>
    </row>
    <row r="373" spans="1:4" hidden="1" x14ac:dyDescent="0.25">
      <c r="A373" s="6" t="s">
        <v>33</v>
      </c>
      <c r="B373" s="1">
        <f>+[20]CONSOLIDADO!$AG$45+[20]CONSOLIDADO!$AG$44</f>
        <v>2734600</v>
      </c>
      <c r="C373" s="4"/>
      <c r="D373" s="7">
        <v>45504</v>
      </c>
    </row>
    <row r="374" spans="1:4" hidden="1" x14ac:dyDescent="0.25">
      <c r="A374" s="6" t="s">
        <v>23</v>
      </c>
      <c r="B374" s="1">
        <f>+[20]CONSOLIDADO!$AG$43</f>
        <v>1543688.5416666667</v>
      </c>
      <c r="C374" s="4"/>
      <c r="D374" s="7">
        <v>45504</v>
      </c>
    </row>
    <row r="375" spans="1:4" hidden="1" x14ac:dyDescent="0.25">
      <c r="A375" s="12" t="s">
        <v>79</v>
      </c>
      <c r="B375" s="5">
        <f>+[20]CONSOLIDADO!$O$46</f>
        <v>80000</v>
      </c>
      <c r="C375" s="13"/>
      <c r="D375" s="7">
        <v>45504</v>
      </c>
    </row>
    <row r="376" spans="1:4" hidden="1" x14ac:dyDescent="0.25">
      <c r="A376" s="6" t="s">
        <v>14</v>
      </c>
      <c r="B376" s="1">
        <f>+[21]CONSOLIDADO!$C$42+[21]CONSOLIDADO!$D$42+[21]CONSOLIDADO!$E$42+[21]CONSOLIDADO!$F$42+[21]CONSOLIDADO!$G$42</f>
        <v>31499508</v>
      </c>
      <c r="C376" s="4"/>
      <c r="D376" s="7">
        <v>45520</v>
      </c>
    </row>
    <row r="377" spans="1:4" hidden="1" x14ac:dyDescent="0.25">
      <c r="A377" s="6" t="s">
        <v>0</v>
      </c>
      <c r="B377" s="1">
        <f>+[21]CONSOLIDADO!$J$42</f>
        <v>1649400</v>
      </c>
      <c r="C377" s="4"/>
      <c r="D377" s="7">
        <v>45520</v>
      </c>
    </row>
    <row r="378" spans="1:4" hidden="1" x14ac:dyDescent="0.25">
      <c r="A378" s="6" t="s">
        <v>1</v>
      </c>
      <c r="B378" s="1">
        <f>+'[21]TOTAL DEFINIT '!$M$45</f>
        <v>7700000</v>
      </c>
      <c r="C378" s="4"/>
      <c r="D378" s="7">
        <v>45520</v>
      </c>
    </row>
    <row r="379" spans="1:4" hidden="1" x14ac:dyDescent="0.25">
      <c r="A379" s="6" t="s">
        <v>2</v>
      </c>
      <c r="B379" s="1">
        <f>+[21]CONSOLIDADO!$K$42</f>
        <v>781500</v>
      </c>
      <c r="C379" s="4"/>
      <c r="D379" s="7">
        <v>45520</v>
      </c>
    </row>
    <row r="380" spans="1:4" hidden="1" x14ac:dyDescent="0.25">
      <c r="A380" s="6" t="s">
        <v>3</v>
      </c>
      <c r="B380" s="1">
        <f>+[21]CONSOLIDADO!$N$42</f>
        <v>80000</v>
      </c>
      <c r="C380" s="4"/>
      <c r="D380" s="7">
        <v>45520</v>
      </c>
    </row>
    <row r="381" spans="1:4" hidden="1" x14ac:dyDescent="0.25">
      <c r="A381" s="6" t="s">
        <v>4</v>
      </c>
      <c r="B381" s="1">
        <f>+[21]CONSOLIDADO!$L$42</f>
        <v>1452400</v>
      </c>
      <c r="C381" s="4"/>
      <c r="D381" s="7">
        <v>45520</v>
      </c>
    </row>
    <row r="382" spans="1:4" hidden="1" x14ac:dyDescent="0.25">
      <c r="A382" s="6" t="str">
        <f>+[11]CONSOLIDADO!$N$1</f>
        <v>TURNO</v>
      </c>
      <c r="B382" s="1">
        <f>+[21]CONSOLIDADO!$M$42</f>
        <v>1718000</v>
      </c>
      <c r="C382" s="4"/>
      <c r="D382" s="7">
        <v>45520</v>
      </c>
    </row>
    <row r="383" spans="1:4" hidden="1" x14ac:dyDescent="0.25">
      <c r="A383" s="6" t="s">
        <v>47</v>
      </c>
      <c r="B383" s="1">
        <f>+[21]CONSOLIDADO!$R$42</f>
        <v>3514000</v>
      </c>
      <c r="C383" s="4"/>
      <c r="D383" s="7">
        <v>45520</v>
      </c>
    </row>
    <row r="384" spans="1:4" hidden="1" x14ac:dyDescent="0.25">
      <c r="A384" s="6" t="s">
        <v>48</v>
      </c>
      <c r="B384" s="1">
        <f>+[21]CONSOLIDADO!$S$42</f>
        <v>2324000</v>
      </c>
      <c r="C384" s="4"/>
      <c r="D384" s="7">
        <v>45520</v>
      </c>
    </row>
    <row r="385" spans="1:4" x14ac:dyDescent="0.25">
      <c r="A385" s="6" t="s">
        <v>49</v>
      </c>
      <c r="B385" s="1">
        <f>+[21]CONSOLIDADO!$T$42</f>
        <v>60000</v>
      </c>
      <c r="C385" s="4"/>
      <c r="D385" s="7">
        <v>45520</v>
      </c>
    </row>
    <row r="386" spans="1:4" hidden="1" x14ac:dyDescent="0.25">
      <c r="A386" s="6" t="str">
        <f>+[11]CONSOLIDADO!$T$1</f>
        <v>coches guayados</v>
      </c>
      <c r="B386" s="1">
        <f>+[21]CONSOLIDADO!$V$42</f>
        <v>2390500</v>
      </c>
      <c r="C386" s="4"/>
      <c r="D386" s="7">
        <v>45520</v>
      </c>
    </row>
    <row r="387" spans="1:4" hidden="1" x14ac:dyDescent="0.25">
      <c r="A387" s="6" t="str">
        <f>+[11]CONSOLIDADO!$W$1</f>
        <v>metro despate</v>
      </c>
      <c r="B387" s="1">
        <f>+[21]CONSOLIDADO!$Y$42</f>
        <v>617500</v>
      </c>
      <c r="C387" s="4"/>
      <c r="D387" s="7">
        <v>45520</v>
      </c>
    </row>
    <row r="388" spans="1:4" hidden="1" x14ac:dyDescent="0.25">
      <c r="A388" s="6" t="str">
        <f>+[11]CONSOLIDADO!$X$1</f>
        <v>ARCO DE ACERO</v>
      </c>
      <c r="B388" s="1">
        <f>+[21]CONSOLIDADO!$Z$42</f>
        <v>0</v>
      </c>
      <c r="C388" s="4"/>
      <c r="D388" s="7">
        <v>45520</v>
      </c>
    </row>
    <row r="389" spans="1:4" hidden="1" x14ac:dyDescent="0.25">
      <c r="A389" s="6" t="s">
        <v>21</v>
      </c>
      <c r="B389" s="1">
        <f>+[21]CONSOLIDADO!$AG$14+[21]CONSOLIDADO!$AG$19</f>
        <v>3022614.333333333</v>
      </c>
      <c r="C389" s="4"/>
      <c r="D389" s="7">
        <v>45520</v>
      </c>
    </row>
    <row r="390" spans="1:4" hidden="1" x14ac:dyDescent="0.25">
      <c r="A390" s="6" t="s">
        <v>22</v>
      </c>
      <c r="B390" s="1">
        <f>+[21]CONSOLIDADO!$AG$29+[21]CONSOLIDADO!$AG$33</f>
        <v>1945710</v>
      </c>
      <c r="C390" s="4"/>
      <c r="D390" s="7">
        <v>45520</v>
      </c>
    </row>
    <row r="391" spans="1:4" hidden="1" x14ac:dyDescent="0.25">
      <c r="A391" s="6" t="s">
        <v>33</v>
      </c>
      <c r="B391" s="1">
        <f>+[21]CONSOLIDADO!$AG$40+[21]CONSOLIDADO!$AG$41</f>
        <v>2734600</v>
      </c>
      <c r="C391" s="4"/>
      <c r="D391" s="7">
        <v>45520</v>
      </c>
    </row>
    <row r="392" spans="1:4" hidden="1" x14ac:dyDescent="0.25">
      <c r="A392" s="6" t="s">
        <v>23</v>
      </c>
      <c r="B392" s="1">
        <f>+[21]CONSOLIDADO!$AG$39</f>
        <v>1335371.8750000002</v>
      </c>
      <c r="C392" s="4"/>
      <c r="D392" s="7">
        <v>45520</v>
      </c>
    </row>
    <row r="393" spans="1:4" hidden="1" x14ac:dyDescent="0.25">
      <c r="A393" s="6" t="s">
        <v>88</v>
      </c>
      <c r="B393" s="1">
        <f>+[21]CONSOLIDADO!$AG$9</f>
        <v>807945</v>
      </c>
      <c r="C393" s="4"/>
      <c r="D393" s="7">
        <v>45520</v>
      </c>
    </row>
    <row r="394" spans="1:4" hidden="1" x14ac:dyDescent="0.25">
      <c r="A394" s="12" t="s">
        <v>79</v>
      </c>
      <c r="B394" s="5">
        <f>+[21]CONSOLIDADO!$AA$42+[21]CONSOLIDADO!$AF$42</f>
        <v>1066967</v>
      </c>
      <c r="C394" s="13"/>
      <c r="D394" s="7">
        <v>45520</v>
      </c>
    </row>
    <row r="395" spans="1:4" hidden="1" x14ac:dyDescent="0.25">
      <c r="A395" s="6" t="s">
        <v>14</v>
      </c>
      <c r="B395" s="1">
        <f>+[22]CONSOLIDADO!$C$46+[22]CONSOLIDADO!$D$46+[22]CONSOLIDADO!$E$46+[22]CONSOLIDADO!$F$46+[22]CONSOLIDADO!$G$46+[22]CONSOLIDADO!$I$46</f>
        <v>29278643</v>
      </c>
      <c r="C395" s="4"/>
      <c r="D395" s="7">
        <v>45534</v>
      </c>
    </row>
    <row r="396" spans="1:4" hidden="1" x14ac:dyDescent="0.25">
      <c r="A396" s="6" t="s">
        <v>14</v>
      </c>
      <c r="B396" s="1">
        <f>+SUM([23]CONSOLIDADO!$C$42:$I$42)</f>
        <v>21407932</v>
      </c>
      <c r="C396" s="4"/>
      <c r="D396" s="7">
        <v>45536</v>
      </c>
    </row>
    <row r="397" spans="1:4" hidden="1" x14ac:dyDescent="0.25">
      <c r="A397" s="6" t="s">
        <v>0</v>
      </c>
      <c r="B397" s="1">
        <f>+[23]CONSOLIDADO!$AB$42+[23]CONSOLIDADO!$J$42</f>
        <v>2572400</v>
      </c>
      <c r="C397" s="4"/>
      <c r="D397" s="7">
        <v>45536</v>
      </c>
    </row>
    <row r="398" spans="1:4" hidden="1" x14ac:dyDescent="0.25">
      <c r="A398" s="6" t="s">
        <v>1</v>
      </c>
      <c r="B398" s="1">
        <f>+'[23]TOTAL DEFINIT '!$M$52</f>
        <v>9593100</v>
      </c>
      <c r="C398" s="4"/>
      <c r="D398" s="7">
        <v>45536</v>
      </c>
    </row>
    <row r="399" spans="1:4" hidden="1" x14ac:dyDescent="0.25">
      <c r="A399" s="6" t="s">
        <v>2</v>
      </c>
      <c r="B399" s="1">
        <f>+[23]CONSOLIDADO!$K$42</f>
        <v>719100</v>
      </c>
      <c r="C399" s="4"/>
      <c r="D399" s="7">
        <v>45536</v>
      </c>
    </row>
    <row r="400" spans="1:4" hidden="1" x14ac:dyDescent="0.25">
      <c r="A400" s="6" t="s">
        <v>3</v>
      </c>
      <c r="B400" s="1">
        <f>+[23]CONSOLIDADO!$N$42</f>
        <v>218400</v>
      </c>
      <c r="C400" s="4"/>
      <c r="D400" s="7">
        <v>45536</v>
      </c>
    </row>
    <row r="401" spans="1:4" hidden="1" x14ac:dyDescent="0.25">
      <c r="A401" s="6" t="s">
        <v>4</v>
      </c>
      <c r="B401" s="1">
        <f>+[23]CONSOLIDADO!$L$42</f>
        <v>825480</v>
      </c>
      <c r="C401" s="4"/>
      <c r="D401" s="7">
        <v>45536</v>
      </c>
    </row>
    <row r="402" spans="1:4" hidden="1" x14ac:dyDescent="0.25">
      <c r="A402" s="6" t="str">
        <f>+[11]CONSOLIDADO!$N$1</f>
        <v>TURNO</v>
      </c>
      <c r="B402" s="1">
        <f>+[23]CONSOLIDADO!$M$42</f>
        <v>2504400</v>
      </c>
      <c r="C402" s="4"/>
      <c r="D402" s="7">
        <v>45536</v>
      </c>
    </row>
    <row r="403" spans="1:4" hidden="1" x14ac:dyDescent="0.25">
      <c r="A403" s="6" t="s">
        <v>47</v>
      </c>
      <c r="B403" s="1">
        <f>+[23]CONSOLIDADO!$R$42</f>
        <v>703700</v>
      </c>
      <c r="C403" s="4"/>
      <c r="D403" s="7">
        <v>45536</v>
      </c>
    </row>
    <row r="404" spans="1:4" hidden="1" x14ac:dyDescent="0.25">
      <c r="A404" s="6" t="s">
        <v>48</v>
      </c>
      <c r="B404" s="1">
        <f>+[23]CONSOLIDADO!$S$42</f>
        <v>500000</v>
      </c>
      <c r="C404" s="4"/>
      <c r="D404" s="7">
        <v>45536</v>
      </c>
    </row>
    <row r="405" spans="1:4" x14ac:dyDescent="0.25">
      <c r="A405" s="6" t="s">
        <v>49</v>
      </c>
      <c r="B405" s="1">
        <f>+[23]CONSOLIDADO!$AF$42+[23]CONSOLIDADO!$P$42+[23]CONSOLIDADO!$Q$42</f>
        <v>957851</v>
      </c>
      <c r="C405" s="4"/>
      <c r="D405" s="7">
        <v>45536</v>
      </c>
    </row>
    <row r="406" spans="1:4" hidden="1" x14ac:dyDescent="0.25">
      <c r="A406" s="6" t="str">
        <f>+[11]CONSOLIDADO!$T$1</f>
        <v>coches guayados</v>
      </c>
      <c r="B406" s="1">
        <f>+[23]CONSOLIDADO!$V$42</f>
        <v>1827000</v>
      </c>
      <c r="C406" s="4"/>
      <c r="D406" s="7">
        <v>45536</v>
      </c>
    </row>
    <row r="407" spans="1:4" hidden="1" x14ac:dyDescent="0.25">
      <c r="A407" s="6" t="str">
        <f>+[11]CONSOLIDADO!$W$1</f>
        <v>metro despate</v>
      </c>
      <c r="B407" s="1">
        <f>+[23]CONSOLIDADO!$Y$42</f>
        <v>628500</v>
      </c>
      <c r="C407" s="4"/>
      <c r="D407" s="7">
        <v>45536</v>
      </c>
    </row>
    <row r="408" spans="1:4" hidden="1" x14ac:dyDescent="0.25">
      <c r="A408" s="6" t="str">
        <f>+[11]CONSOLIDADO!$X$1</f>
        <v>ARCO DE ACERO</v>
      </c>
      <c r="B408" s="1">
        <f>+[23]CONSOLIDADO!$Z$42</f>
        <v>19800</v>
      </c>
      <c r="C408" s="4"/>
      <c r="D408" s="7">
        <v>45536</v>
      </c>
    </row>
    <row r="409" spans="1:4" hidden="1" x14ac:dyDescent="0.25">
      <c r="A409" s="6" t="s">
        <v>21</v>
      </c>
      <c r="B409" s="1">
        <f>+[23]CONSOLIDADO!$AG$14+[23]CONSOLIDADO!$AG$19</f>
        <v>2320908.041666667</v>
      </c>
      <c r="C409" s="4"/>
      <c r="D409" s="7">
        <v>45536</v>
      </c>
    </row>
    <row r="410" spans="1:4" hidden="1" x14ac:dyDescent="0.25">
      <c r="A410" s="6" t="s">
        <v>22</v>
      </c>
      <c r="B410" s="1">
        <f>+[23]CONSOLIDADO!$AG$29+[23]CONSOLIDADO!$AG$33</f>
        <v>1381393</v>
      </c>
      <c r="C410" s="4"/>
      <c r="D410" s="7">
        <v>45536</v>
      </c>
    </row>
    <row r="411" spans="1:4" hidden="1" x14ac:dyDescent="0.25">
      <c r="A411" s="6" t="s">
        <v>33</v>
      </c>
      <c r="B411" s="1">
        <f>+[23]CONSOLIDADO!$AG$41+[23]CONSOLIDADO!$AG$40</f>
        <v>2734600</v>
      </c>
      <c r="C411" s="4"/>
      <c r="D411" s="7">
        <v>45536</v>
      </c>
    </row>
    <row r="412" spans="1:4" hidden="1" x14ac:dyDescent="0.25">
      <c r="A412" s="6" t="s">
        <v>23</v>
      </c>
      <c r="B412" s="1">
        <f>+[23]CONSOLIDADO!$AG$39</f>
        <v>1193274.5833333335</v>
      </c>
      <c r="C412" s="4"/>
      <c r="D412" s="7">
        <v>45536</v>
      </c>
    </row>
    <row r="413" spans="1:4" hidden="1" x14ac:dyDescent="0.25">
      <c r="A413" s="6" t="s">
        <v>88</v>
      </c>
      <c r="B413" s="1">
        <f>+[23]CONSOLIDADO!$AG$9</f>
        <v>0</v>
      </c>
      <c r="C413" s="4"/>
      <c r="D413" s="7">
        <v>45536</v>
      </c>
    </row>
    <row r="414" spans="1:4" hidden="1" x14ac:dyDescent="0.25">
      <c r="A414" s="12" t="s">
        <v>79</v>
      </c>
      <c r="B414" s="1">
        <f>+[23]CONSOLIDADO!$W$42+[23]CONSOLIDADO!$O$42</f>
        <v>115000</v>
      </c>
      <c r="C414" s="13"/>
      <c r="D414" s="7">
        <v>45536</v>
      </c>
    </row>
    <row r="415" spans="1:4" hidden="1" x14ac:dyDescent="0.25">
      <c r="A415" s="6" t="s">
        <v>14</v>
      </c>
      <c r="B415" s="1">
        <f>+SUM([24]CONSOLIDADO!$C$48:$E$48)</f>
        <v>26247015</v>
      </c>
      <c r="C415" s="4"/>
      <c r="D415" s="7">
        <v>45565</v>
      </c>
    </row>
    <row r="416" spans="1:4" hidden="1" x14ac:dyDescent="0.25">
      <c r="A416" s="6" t="s">
        <v>0</v>
      </c>
      <c r="B416" s="1">
        <f>+[24]CONSOLIDADO!$I$48+[24]CONSOLIDADO!$J$48</f>
        <v>1981920</v>
      </c>
      <c r="C416" s="4"/>
      <c r="D416" s="7">
        <v>45565</v>
      </c>
    </row>
    <row r="417" spans="1:4" hidden="1" x14ac:dyDescent="0.25">
      <c r="A417" s="6" t="s">
        <v>1</v>
      </c>
      <c r="B417" s="1">
        <f>+'[24]TOTAL DEFINIT '!$M$52</f>
        <v>7895250</v>
      </c>
      <c r="C417" s="4"/>
      <c r="D417" s="7">
        <v>45565</v>
      </c>
    </row>
    <row r="418" spans="1:4" hidden="1" x14ac:dyDescent="0.25">
      <c r="A418" s="6" t="s">
        <v>2</v>
      </c>
      <c r="B418" s="1">
        <f>+[24]CONSOLIDADO!$K$48</f>
        <v>213960</v>
      </c>
      <c r="C418" s="4"/>
      <c r="D418" s="7">
        <v>45565</v>
      </c>
    </row>
    <row r="419" spans="1:4" hidden="1" x14ac:dyDescent="0.25">
      <c r="A419" s="6" t="s">
        <v>3</v>
      </c>
      <c r="B419" s="1">
        <f>+[24]CONSOLIDADO!$Q$48</f>
        <v>75000</v>
      </c>
      <c r="C419" s="4"/>
      <c r="D419" s="7">
        <v>45565</v>
      </c>
    </row>
    <row r="420" spans="1:4" hidden="1" x14ac:dyDescent="0.25">
      <c r="A420" s="6" t="s">
        <v>4</v>
      </c>
      <c r="B420" s="1">
        <f>+[24]CONSOLIDADO!$L$48+[24]CONSOLIDADO!$P$48</f>
        <v>1215750</v>
      </c>
      <c r="C420" s="4"/>
      <c r="D420" s="7">
        <v>45565</v>
      </c>
    </row>
    <row r="421" spans="1:4" hidden="1" x14ac:dyDescent="0.25">
      <c r="A421" s="6" t="str">
        <f>+[11]CONSOLIDADO!$N$1</f>
        <v>TURNO</v>
      </c>
      <c r="B421" s="1">
        <f>+[24]CONSOLIDADO!$N$48</f>
        <v>2792350</v>
      </c>
      <c r="C421" s="4"/>
      <c r="D421" s="7">
        <v>45565</v>
      </c>
    </row>
    <row r="422" spans="1:4" hidden="1" x14ac:dyDescent="0.25">
      <c r="A422" s="6" t="s">
        <v>47</v>
      </c>
      <c r="B422" s="1">
        <f>+[24]CONSOLIDADO!$U$48</f>
        <v>120000</v>
      </c>
      <c r="C422" s="4"/>
      <c r="D422" s="7">
        <v>45565</v>
      </c>
    </row>
    <row r="423" spans="1:4" hidden="1" x14ac:dyDescent="0.25">
      <c r="A423" s="6" t="s">
        <v>48</v>
      </c>
      <c r="B423" s="1">
        <f>+[24]CONSOLIDADO!$V$48</f>
        <v>0</v>
      </c>
      <c r="C423" s="4"/>
      <c r="D423" s="7">
        <v>45565</v>
      </c>
    </row>
    <row r="424" spans="1:4" x14ac:dyDescent="0.25">
      <c r="A424" s="6" t="s">
        <v>49</v>
      </c>
      <c r="B424" s="1">
        <f>+[24]CONSOLIDADO!$O$48</f>
        <v>230670</v>
      </c>
      <c r="C424" s="4"/>
      <c r="D424" s="7">
        <v>45565</v>
      </c>
    </row>
    <row r="425" spans="1:4" hidden="1" x14ac:dyDescent="0.25">
      <c r="A425" s="6" t="str">
        <f>+[11]CONSOLIDADO!$T$1</f>
        <v>coches guayados</v>
      </c>
      <c r="B425" s="1">
        <f>+[24]CONSOLIDADO!$Y$48</f>
        <v>1760850</v>
      </c>
      <c r="C425" s="4"/>
      <c r="D425" s="7">
        <v>45565</v>
      </c>
    </row>
    <row r="426" spans="1:4" hidden="1" x14ac:dyDescent="0.25">
      <c r="A426" s="6" t="str">
        <f>+[11]CONSOLIDADO!$W$1</f>
        <v>metro despate</v>
      </c>
      <c r="B426" s="1">
        <f>+[24]CONSOLIDADO!$M$48</f>
        <v>980000</v>
      </c>
      <c r="C426" s="4"/>
      <c r="D426" s="7">
        <v>45565</v>
      </c>
    </row>
    <row r="427" spans="1:4" hidden="1" x14ac:dyDescent="0.25">
      <c r="A427" s="6" t="str">
        <f>+[11]CONSOLIDADO!$X$1</f>
        <v>ARCO DE ACERO</v>
      </c>
      <c r="B427" s="1">
        <f>+[24]CONSOLIDADO!$AC$48</f>
        <v>1554400</v>
      </c>
      <c r="C427" s="4"/>
      <c r="D427" s="7">
        <v>45565</v>
      </c>
    </row>
    <row r="428" spans="1:4" hidden="1" x14ac:dyDescent="0.25">
      <c r="A428" s="6" t="s">
        <v>21</v>
      </c>
      <c r="B428" s="1">
        <f>+[24]CONSOLIDADO!$AJ$14+[24]CONSOLIDADO!$AJ$21</f>
        <v>3121462.666666667</v>
      </c>
      <c r="C428" s="4"/>
      <c r="D428" s="7">
        <v>45565</v>
      </c>
    </row>
    <row r="429" spans="1:4" hidden="1" x14ac:dyDescent="0.25">
      <c r="A429" s="6" t="s">
        <v>22</v>
      </c>
      <c r="B429" s="1">
        <f>+[24]CONSOLIDADO!$AJ$34</f>
        <v>918330</v>
      </c>
      <c r="C429" s="4"/>
      <c r="D429" s="7">
        <v>45565</v>
      </c>
    </row>
    <row r="430" spans="1:4" hidden="1" x14ac:dyDescent="0.25">
      <c r="A430" s="6" t="s">
        <v>33</v>
      </c>
      <c r="B430" s="1">
        <f>+[24]CONSOLIDADO!$AJ$47+[24]CONSOLIDADO!$AJ$46</f>
        <v>2734600</v>
      </c>
      <c r="C430" s="4"/>
      <c r="D430" s="7">
        <v>45565</v>
      </c>
    </row>
    <row r="431" spans="1:4" hidden="1" x14ac:dyDescent="0.25">
      <c r="A431" s="6" t="s">
        <v>23</v>
      </c>
      <c r="B431" s="1">
        <f>+[24]CONSOLIDADO!$AJ$45</f>
        <v>1323387.9166666667</v>
      </c>
      <c r="C431" s="4"/>
      <c r="D431" s="7">
        <v>45565</v>
      </c>
    </row>
    <row r="432" spans="1:4" hidden="1" x14ac:dyDescent="0.25">
      <c r="A432" s="6" t="s">
        <v>88</v>
      </c>
      <c r="B432" s="1">
        <f>+[24]CONSOLIDADO!$AJ$9</f>
        <v>0</v>
      </c>
      <c r="C432" s="4"/>
      <c r="D432" s="7">
        <v>45565</v>
      </c>
    </row>
    <row r="433" spans="1:4" hidden="1" x14ac:dyDescent="0.25">
      <c r="A433" s="12" t="s">
        <v>79</v>
      </c>
      <c r="B433" s="5">
        <f>+[24]CONSOLIDADO!$AA$48</f>
        <v>455000</v>
      </c>
      <c r="C433" s="13"/>
      <c r="D433" s="7">
        <v>45565</v>
      </c>
    </row>
    <row r="434" spans="1:4" hidden="1" x14ac:dyDescent="0.25">
      <c r="A434" s="6" t="s">
        <v>14</v>
      </c>
      <c r="B434" s="1">
        <f>+SUM([25]CONSOLIDADO!$C$47:$F$47)</f>
        <v>24940723</v>
      </c>
      <c r="C434" s="4" t="s">
        <v>91</v>
      </c>
      <c r="D434" s="7">
        <v>45566</v>
      </c>
    </row>
    <row r="435" spans="1:4" hidden="1" x14ac:dyDescent="0.25">
      <c r="A435" s="6" t="s">
        <v>0</v>
      </c>
      <c r="B435" s="1">
        <f>+[25]CONSOLIDADO!$I$47</f>
        <v>2362800</v>
      </c>
      <c r="C435" s="4" t="s">
        <v>91</v>
      </c>
      <c r="D435" s="7">
        <v>45566</v>
      </c>
    </row>
    <row r="436" spans="1:4" hidden="1" x14ac:dyDescent="0.25">
      <c r="A436" s="6" t="s">
        <v>1</v>
      </c>
      <c r="B436" s="1">
        <f>+[25]ALIMENT!$G$86</f>
        <v>13760250</v>
      </c>
      <c r="C436" s="4" t="s">
        <v>91</v>
      </c>
      <c r="D436" s="7">
        <v>45566</v>
      </c>
    </row>
    <row r="437" spans="1:4" hidden="1" x14ac:dyDescent="0.25">
      <c r="A437" s="6" t="s">
        <v>2</v>
      </c>
      <c r="B437" s="1">
        <f>+[25]CONSOLIDADO!$K$47</f>
        <v>218430</v>
      </c>
      <c r="C437" s="4" t="s">
        <v>91</v>
      </c>
      <c r="D437" s="7">
        <v>45566</v>
      </c>
    </row>
    <row r="438" spans="1:4" hidden="1" x14ac:dyDescent="0.25">
      <c r="A438" s="6" t="s">
        <v>3</v>
      </c>
      <c r="B438" s="1">
        <f>+[25]CONSOLIDADO!$Q$47</f>
        <v>262500</v>
      </c>
      <c r="C438" s="4" t="s">
        <v>91</v>
      </c>
      <c r="D438" s="7">
        <v>45566</v>
      </c>
    </row>
    <row r="439" spans="1:4" hidden="1" x14ac:dyDescent="0.25">
      <c r="A439" s="6" t="s">
        <v>4</v>
      </c>
      <c r="B439" s="1">
        <f>+[25]CONSOLIDADO!$L$47</f>
        <v>696550</v>
      </c>
      <c r="C439" s="4" t="s">
        <v>91</v>
      </c>
      <c r="D439" s="7">
        <v>45566</v>
      </c>
    </row>
    <row r="440" spans="1:4" hidden="1" x14ac:dyDescent="0.25">
      <c r="A440" s="6" t="str">
        <f>+[11]CONSOLIDADO!$N$1</f>
        <v>TURNO</v>
      </c>
      <c r="B440" s="1">
        <f>+[25]CONSOLIDADO!$N$47</f>
        <v>1230350</v>
      </c>
      <c r="C440" s="4" t="s">
        <v>91</v>
      </c>
      <c r="D440" s="7">
        <v>45566</v>
      </c>
    </row>
    <row r="441" spans="1:4" hidden="1" x14ac:dyDescent="0.25">
      <c r="A441" s="6" t="s">
        <v>47</v>
      </c>
      <c r="B441" s="1">
        <f>+[25]CONSOLIDADO!$U$47</f>
        <v>1417800</v>
      </c>
      <c r="C441" s="4" t="s">
        <v>91</v>
      </c>
      <c r="D441" s="7">
        <v>45566</v>
      </c>
    </row>
    <row r="442" spans="1:4" hidden="1" x14ac:dyDescent="0.25">
      <c r="A442" s="6" t="s">
        <v>48</v>
      </c>
      <c r="B442" s="1">
        <f>+[25]CONSOLIDADO!$V$47</f>
        <v>737800</v>
      </c>
      <c r="C442" s="4" t="s">
        <v>91</v>
      </c>
      <c r="D442" s="7">
        <v>45566</v>
      </c>
    </row>
    <row r="443" spans="1:4" x14ac:dyDescent="0.25">
      <c r="A443" s="6" t="s">
        <v>49</v>
      </c>
      <c r="B443" s="1">
        <f>+[25]CONSOLIDADO!$W$47</f>
        <v>91649.999999999985</v>
      </c>
      <c r="C443" s="4" t="s">
        <v>91</v>
      </c>
      <c r="D443" s="7">
        <v>45566</v>
      </c>
    </row>
    <row r="444" spans="1:4" hidden="1" x14ac:dyDescent="0.25">
      <c r="A444" s="6" t="str">
        <f>+[11]CONSOLIDADO!$T$1</f>
        <v>coches guayados</v>
      </c>
      <c r="B444" s="1">
        <f>+[25]CONSOLIDADO!$Y$47</f>
        <v>2095400</v>
      </c>
      <c r="C444" s="4" t="s">
        <v>91</v>
      </c>
      <c r="D444" s="7">
        <v>45566</v>
      </c>
    </row>
    <row r="445" spans="1:4" hidden="1" x14ac:dyDescent="0.25">
      <c r="A445" s="6" t="str">
        <f>+[11]CONSOLIDADO!$W$1</f>
        <v>metro despate</v>
      </c>
      <c r="B445" s="1">
        <f>+[25]CONSOLIDADO!$M$47</f>
        <v>2145100</v>
      </c>
      <c r="C445" s="4" t="s">
        <v>91</v>
      </c>
      <c r="D445" s="7">
        <v>45566</v>
      </c>
    </row>
    <row r="446" spans="1:4" hidden="1" x14ac:dyDescent="0.25">
      <c r="A446" s="6" t="str">
        <f>+[11]CONSOLIDADO!$X$1</f>
        <v>ARCO DE ACERO</v>
      </c>
      <c r="B446" s="1">
        <f>+[25]CONSOLIDADO!$AC$47</f>
        <v>0</v>
      </c>
      <c r="C446" s="4" t="s">
        <v>91</v>
      </c>
      <c r="D446" s="7">
        <v>45566</v>
      </c>
    </row>
    <row r="447" spans="1:4" hidden="1" x14ac:dyDescent="0.25">
      <c r="A447" s="6" t="s">
        <v>21</v>
      </c>
      <c r="B447" s="1">
        <f>+[25]CONSOLIDADO!$AJ$12+[25]CONSOLIDADO!$AJ$19</f>
        <v>3609707.3333333335</v>
      </c>
      <c r="C447" s="4" t="s">
        <v>91</v>
      </c>
      <c r="D447" s="7">
        <v>45566</v>
      </c>
    </row>
    <row r="448" spans="1:4" hidden="1" x14ac:dyDescent="0.25">
      <c r="A448" s="6" t="s">
        <v>22</v>
      </c>
      <c r="B448" s="1">
        <f>+[25]CONSOLIDADO!$AJ$31+[25]CONSOLIDADO!$AJ$33+[25]CONSOLIDADO!$AJ$17</f>
        <v>2219113</v>
      </c>
      <c r="C448" s="4" t="s">
        <v>91</v>
      </c>
      <c r="D448" s="7">
        <v>45566</v>
      </c>
    </row>
    <row r="449" spans="1:4" hidden="1" x14ac:dyDescent="0.25">
      <c r="A449" s="6" t="s">
        <v>33</v>
      </c>
      <c r="B449" s="1">
        <f>+[25]CONSOLIDADO!$AJ$46+[25]CONSOLIDADO!$AJ$45</f>
        <v>2734600</v>
      </c>
      <c r="C449" s="4" t="s">
        <v>91</v>
      </c>
      <c r="D449" s="7">
        <v>45566</v>
      </c>
    </row>
    <row r="450" spans="1:4" hidden="1" x14ac:dyDescent="0.25">
      <c r="A450" s="6" t="s">
        <v>23</v>
      </c>
      <c r="B450" s="1">
        <f>+[25]CONSOLIDADO!$AJ$44</f>
        <v>1271626.0416666667</v>
      </c>
      <c r="C450" s="4" t="s">
        <v>91</v>
      </c>
      <c r="D450" s="7">
        <v>45566</v>
      </c>
    </row>
    <row r="451" spans="1:4" hidden="1" x14ac:dyDescent="0.25">
      <c r="A451" s="6" t="s">
        <v>88</v>
      </c>
      <c r="B451" s="1"/>
      <c r="C451" s="4" t="s">
        <v>91</v>
      </c>
      <c r="D451" s="7">
        <v>45566</v>
      </c>
    </row>
    <row r="452" spans="1:4" hidden="1" x14ac:dyDescent="0.25">
      <c r="A452" s="12" t="s">
        <v>79</v>
      </c>
      <c r="B452" s="5">
        <f>+[25]CONSOLIDADO!$AI$47</f>
        <v>185000</v>
      </c>
      <c r="C452" s="4" t="s">
        <v>91</v>
      </c>
      <c r="D452" s="7">
        <v>45566</v>
      </c>
    </row>
    <row r="453" spans="1:4" hidden="1" x14ac:dyDescent="0.25">
      <c r="A453" s="6" t="s">
        <v>14</v>
      </c>
      <c r="B453" s="5">
        <f>+SUM([26]CONSOLIDADO!$C$52:$F$52)</f>
        <v>30358330</v>
      </c>
      <c r="C453" s="13"/>
      <c r="D453" s="7">
        <v>45596</v>
      </c>
    </row>
    <row r="454" spans="1:4" hidden="1" x14ac:dyDescent="0.25">
      <c r="A454" s="6" t="s">
        <v>0</v>
      </c>
      <c r="B454" s="1">
        <f>+[26]CONSOLIDADO!$I$52+[26]CONSOLIDADO!$AE$52</f>
        <v>2665470</v>
      </c>
      <c r="C454" s="4"/>
      <c r="D454" s="7">
        <v>45596</v>
      </c>
    </row>
    <row r="455" spans="1:4" hidden="1" x14ac:dyDescent="0.25">
      <c r="A455" s="6" t="s">
        <v>1</v>
      </c>
      <c r="B455" s="1">
        <f>+[26]ALIMENT!$G$90</f>
        <v>14450875</v>
      </c>
      <c r="C455" s="4"/>
      <c r="D455" s="7">
        <v>45596</v>
      </c>
    </row>
    <row r="456" spans="1:4" hidden="1" x14ac:dyDescent="0.25">
      <c r="A456" s="6" t="s">
        <v>2</v>
      </c>
      <c r="B456" s="1">
        <f>+[26]CONSOLIDADO!$K$52</f>
        <v>402300</v>
      </c>
      <c r="C456" s="4"/>
      <c r="D456" s="7">
        <v>45596</v>
      </c>
    </row>
    <row r="457" spans="1:4" hidden="1" x14ac:dyDescent="0.25">
      <c r="A457" s="6" t="s">
        <v>3</v>
      </c>
      <c r="B457" s="1">
        <f>+[26]CONSOLIDADO!$Q$52</f>
        <v>0</v>
      </c>
      <c r="C457" s="4"/>
      <c r="D457" s="7">
        <v>45596</v>
      </c>
    </row>
    <row r="458" spans="1:4" hidden="1" x14ac:dyDescent="0.25">
      <c r="A458" s="6" t="s">
        <v>4</v>
      </c>
      <c r="B458" s="1">
        <f>+[26]CONSOLIDADO!$L$52</f>
        <v>518700</v>
      </c>
      <c r="C458" s="4"/>
      <c r="D458" s="7">
        <v>45596</v>
      </c>
    </row>
    <row r="459" spans="1:4" hidden="1" x14ac:dyDescent="0.25">
      <c r="A459" s="6" t="str">
        <f>+[11]CONSOLIDADO!$N$1</f>
        <v>TURNO</v>
      </c>
      <c r="B459" s="1">
        <f>+[26]CONSOLIDADO!$N$52</f>
        <v>1287880</v>
      </c>
      <c r="C459" s="4"/>
      <c r="D459" s="7">
        <v>45596</v>
      </c>
    </row>
    <row r="460" spans="1:4" hidden="1" x14ac:dyDescent="0.25">
      <c r="A460" s="6" t="s">
        <v>47</v>
      </c>
      <c r="B460" s="1">
        <f>+[26]CONSOLIDADO!$S$52+[26]CONSOLIDADO!$U$52</f>
        <v>460000</v>
      </c>
      <c r="C460" s="4"/>
      <c r="D460" s="7">
        <v>45596</v>
      </c>
    </row>
    <row r="461" spans="1:4" hidden="1" x14ac:dyDescent="0.25">
      <c r="A461" s="6" t="s">
        <v>48</v>
      </c>
      <c r="B461" s="1">
        <f>+[26]CONSOLIDADO!$V$52</f>
        <v>0</v>
      </c>
      <c r="C461" s="4"/>
      <c r="D461" s="7">
        <v>45596</v>
      </c>
    </row>
    <row r="462" spans="1:4" x14ac:dyDescent="0.25">
      <c r="A462" s="6" t="s">
        <v>49</v>
      </c>
      <c r="B462" s="1">
        <f>+[26]CONSOLIDADO!$W$52</f>
        <v>45824.999999999993</v>
      </c>
      <c r="C462" s="4"/>
      <c r="D462" s="7">
        <v>45596</v>
      </c>
    </row>
    <row r="463" spans="1:4" hidden="1" x14ac:dyDescent="0.25">
      <c r="A463" s="6" t="str">
        <f>+[11]CONSOLIDADO!$T$1</f>
        <v>coches guayados</v>
      </c>
      <c r="B463" s="1">
        <f>+[26]CONSOLIDADO!$Y$52</f>
        <v>2483950</v>
      </c>
      <c r="C463" s="4"/>
      <c r="D463" s="7">
        <v>45596</v>
      </c>
    </row>
    <row r="464" spans="1:4" hidden="1" x14ac:dyDescent="0.25">
      <c r="A464" s="6" t="str">
        <f>+[11]CONSOLIDADO!$W$1</f>
        <v>metro despate</v>
      </c>
      <c r="B464" s="1">
        <f>+[26]CONSOLIDADO!$M$52</f>
        <v>2572000</v>
      </c>
      <c r="C464" s="4"/>
      <c r="D464" s="7">
        <v>45596</v>
      </c>
    </row>
    <row r="465" spans="1:4" hidden="1" x14ac:dyDescent="0.25">
      <c r="A465" s="6" t="str">
        <f>+[11]CONSOLIDADO!$X$1</f>
        <v>ARCO DE ACERO</v>
      </c>
      <c r="B465" s="1">
        <f>+[26]CONSOLIDADO!$AC$52</f>
        <v>0</v>
      </c>
      <c r="C465" s="4"/>
      <c r="D465" s="7">
        <v>45596</v>
      </c>
    </row>
    <row r="466" spans="1:4" hidden="1" x14ac:dyDescent="0.25">
      <c r="A466" s="6" t="s">
        <v>21</v>
      </c>
      <c r="B466" s="1">
        <f>+[26]CONSOLIDADO!$AJ$11+[26]CONSOLIDADO!$AJ$18</f>
        <v>3295127</v>
      </c>
      <c r="C466" s="4"/>
      <c r="D466" s="7">
        <v>45596</v>
      </c>
    </row>
    <row r="467" spans="1:4" hidden="1" x14ac:dyDescent="0.25">
      <c r="A467" s="6" t="s">
        <v>22</v>
      </c>
      <c r="B467" s="1">
        <f>+[26]CONSOLIDADO!$AJ$30+[26]CONSOLIDADO!$AJ$16</f>
        <v>1871962.25</v>
      </c>
      <c r="C467" s="4"/>
      <c r="D467" s="7">
        <v>45596</v>
      </c>
    </row>
    <row r="468" spans="1:4" hidden="1" x14ac:dyDescent="0.25">
      <c r="A468" s="6" t="s">
        <v>33</v>
      </c>
      <c r="B468" s="1">
        <f>+[26]CONSOLIDADO!$AJ$51+[26]CONSOLIDADO!$AJ$50</f>
        <v>2734600</v>
      </c>
      <c r="C468" s="4"/>
      <c r="D468" s="7">
        <v>45596</v>
      </c>
    </row>
    <row r="469" spans="1:4" hidden="1" x14ac:dyDescent="0.25">
      <c r="A469" s="6" t="s">
        <v>23</v>
      </c>
      <c r="B469" s="1">
        <f>+[26]CONSOLIDADO!$AJ$49</f>
        <v>1448101.25</v>
      </c>
      <c r="C469" s="4"/>
      <c r="D469" s="7">
        <v>45596</v>
      </c>
    </row>
    <row r="470" spans="1:4" hidden="1" x14ac:dyDescent="0.25">
      <c r="A470" s="6" t="s">
        <v>88</v>
      </c>
      <c r="B470" s="1"/>
      <c r="C470" s="4"/>
      <c r="D470" s="7">
        <v>45596</v>
      </c>
    </row>
    <row r="471" spans="1:4" hidden="1" x14ac:dyDescent="0.25">
      <c r="A471" s="12" t="s">
        <v>79</v>
      </c>
      <c r="B471" s="1">
        <f>+[26]CONSOLIDADO!$AD$52</f>
        <v>40000</v>
      </c>
      <c r="C471" s="4"/>
      <c r="D471" s="7">
        <v>45596</v>
      </c>
    </row>
    <row r="472" spans="1:4" hidden="1" x14ac:dyDescent="0.25">
      <c r="A472" s="6" t="s">
        <v>14</v>
      </c>
      <c r="B472" s="1">
        <f>+SUM([27]CONSOLIDADO!$C$52:$F$52)</f>
        <v>38265310</v>
      </c>
      <c r="C472" s="4"/>
      <c r="D472" s="7">
        <v>45597</v>
      </c>
    </row>
    <row r="473" spans="1:4" hidden="1" x14ac:dyDescent="0.25">
      <c r="A473" s="6" t="s">
        <v>0</v>
      </c>
      <c r="B473" s="1">
        <f>+[27]CONSOLIDADO!$I$52</f>
        <v>331840</v>
      </c>
      <c r="C473" s="4"/>
      <c r="D473" s="7">
        <v>45597</v>
      </c>
    </row>
    <row r="474" spans="1:4" hidden="1" x14ac:dyDescent="0.25">
      <c r="A474" s="6" t="s">
        <v>1</v>
      </c>
      <c r="B474" s="1">
        <f>+[27]ALIMENT!$G$95</f>
        <v>15176750</v>
      </c>
      <c r="C474" s="4"/>
      <c r="D474" s="7">
        <v>45597</v>
      </c>
    </row>
    <row r="475" spans="1:4" hidden="1" x14ac:dyDescent="0.25">
      <c r="A475" s="6" t="s">
        <v>2</v>
      </c>
      <c r="B475" s="1">
        <f>+[27]CONSOLIDADO!$K$52</f>
        <v>1342000</v>
      </c>
      <c r="C475" s="4"/>
      <c r="D475" s="7">
        <v>45597</v>
      </c>
    </row>
    <row r="476" spans="1:4" hidden="1" x14ac:dyDescent="0.25">
      <c r="A476" s="6" t="s">
        <v>3</v>
      </c>
      <c r="B476" s="1">
        <f>+[27]CONSOLIDADO!$Q$52</f>
        <v>972400</v>
      </c>
      <c r="C476" s="4"/>
      <c r="D476" s="7">
        <v>45597</v>
      </c>
    </row>
    <row r="477" spans="1:4" hidden="1" x14ac:dyDescent="0.25">
      <c r="A477" s="6" t="s">
        <v>4</v>
      </c>
      <c r="B477" s="1">
        <f>+[27]CONSOLIDADO!$L$52</f>
        <v>1302750</v>
      </c>
      <c r="C477" s="4"/>
      <c r="D477" s="7">
        <v>45597</v>
      </c>
    </row>
    <row r="478" spans="1:4" hidden="1" x14ac:dyDescent="0.25">
      <c r="A478" s="6" t="str">
        <f>+[11]CONSOLIDADO!$N$1</f>
        <v>TURNO</v>
      </c>
      <c r="B478" s="1">
        <f>+[27]CONSOLIDADO!$N$52</f>
        <v>796320</v>
      </c>
      <c r="C478" s="4"/>
      <c r="D478" s="7">
        <v>45597</v>
      </c>
    </row>
    <row r="479" spans="1:4" hidden="1" x14ac:dyDescent="0.25">
      <c r="A479" s="6" t="s">
        <v>47</v>
      </c>
      <c r="B479" s="1">
        <f>+[27]CONSOLIDADO!$U$52</f>
        <v>239320</v>
      </c>
      <c r="C479" s="4"/>
      <c r="D479" s="7">
        <v>45597</v>
      </c>
    </row>
    <row r="480" spans="1:4" hidden="1" x14ac:dyDescent="0.25">
      <c r="A480" s="6" t="s">
        <v>48</v>
      </c>
      <c r="B480" s="1">
        <f>+[27]CONSOLIDADO!$V$52</f>
        <v>0</v>
      </c>
      <c r="C480" s="4"/>
      <c r="D480" s="7">
        <v>45597</v>
      </c>
    </row>
    <row r="481" spans="1:4" x14ac:dyDescent="0.25">
      <c r="A481" s="6" t="s">
        <v>49</v>
      </c>
      <c r="B481" s="1">
        <f>+[27]CONSOLIDADO!$W$52</f>
        <v>0</v>
      </c>
      <c r="C481" s="4"/>
      <c r="D481" s="7">
        <v>45597</v>
      </c>
    </row>
    <row r="482" spans="1:4" hidden="1" x14ac:dyDescent="0.25">
      <c r="A482" s="6" t="str">
        <f>+[11]CONSOLIDADO!$T$1</f>
        <v>coches guayados</v>
      </c>
      <c r="B482" s="1">
        <f>+[27]CONSOLIDADO!$Y$52</f>
        <v>2577650</v>
      </c>
      <c r="C482" s="4"/>
      <c r="D482" s="7">
        <v>45597</v>
      </c>
    </row>
    <row r="483" spans="1:4" hidden="1" x14ac:dyDescent="0.25">
      <c r="A483" s="6" t="str">
        <f>+[11]CONSOLIDADO!$W$1</f>
        <v>metro despate</v>
      </c>
      <c r="B483" s="1">
        <f>+[27]CONSOLIDADO!$M$52</f>
        <v>1059560</v>
      </c>
      <c r="C483" s="4"/>
      <c r="D483" s="7">
        <v>45597</v>
      </c>
    </row>
    <row r="484" spans="1:4" hidden="1" x14ac:dyDescent="0.25">
      <c r="A484" s="6" t="str">
        <f>+[11]CONSOLIDADO!$X$1</f>
        <v>ARCO DE ACERO</v>
      </c>
      <c r="B484" s="1">
        <f>+[27]CONSOLIDADO!$AC$52</f>
        <v>0</v>
      </c>
      <c r="C484" s="4"/>
      <c r="D484" s="7">
        <v>45597</v>
      </c>
    </row>
    <row r="485" spans="1:4" hidden="1" x14ac:dyDescent="0.25">
      <c r="A485" s="6" t="s">
        <v>21</v>
      </c>
      <c r="B485" s="1">
        <f>+[27]CONSOLIDADO!$AJ$12+[27]CONSOLIDADO!$AJ$18</f>
        <v>3408690.333333333</v>
      </c>
      <c r="C485" s="4"/>
      <c r="D485" s="7">
        <v>45597</v>
      </c>
    </row>
    <row r="486" spans="1:4" hidden="1" x14ac:dyDescent="0.25">
      <c r="A486" s="6" t="s">
        <v>22</v>
      </c>
      <c r="B486" s="1">
        <f>+[27]CONSOLIDADO!$AJ$30+[27]CONSOLIDADO!$AJ$16</f>
        <v>2116826.5</v>
      </c>
      <c r="C486" s="4"/>
      <c r="D486" s="7">
        <v>45597</v>
      </c>
    </row>
    <row r="487" spans="1:4" hidden="1" x14ac:dyDescent="0.25">
      <c r="A487" s="6" t="s">
        <v>33</v>
      </c>
      <c r="B487" s="1">
        <f>+[27]CONSOLIDADO!$AJ$51+[27]CONSOLIDADO!$AJ$50</f>
        <v>2734600</v>
      </c>
      <c r="C487" s="4"/>
      <c r="D487" s="7">
        <v>45597</v>
      </c>
    </row>
    <row r="488" spans="1:4" hidden="1" x14ac:dyDescent="0.25">
      <c r="A488" s="6" t="s">
        <v>23</v>
      </c>
      <c r="B488" s="1">
        <f>+[27]CONSOLIDADO!$AJ$49</f>
        <v>1409061.4583333335</v>
      </c>
      <c r="C488" s="4"/>
      <c r="D488" s="7">
        <v>45597</v>
      </c>
    </row>
    <row r="489" spans="1:4" hidden="1" x14ac:dyDescent="0.25">
      <c r="A489" s="6" t="s">
        <v>88</v>
      </c>
      <c r="B489" s="1"/>
      <c r="C489" s="4"/>
      <c r="D489" s="7">
        <v>45597</v>
      </c>
    </row>
    <row r="490" spans="1:4" hidden="1" x14ac:dyDescent="0.25">
      <c r="A490" s="12" t="s">
        <v>79</v>
      </c>
      <c r="B490" s="5">
        <f>+[27]CONSOLIDADO!$X$52+[27]CONSOLIDADO!$AI$52+[27]CONSOLIDADO!$AD$52</f>
        <v>284000</v>
      </c>
      <c r="C490" s="13"/>
      <c r="D490" s="7">
        <v>45597</v>
      </c>
    </row>
    <row r="491" spans="1:4" hidden="1" x14ac:dyDescent="0.25">
      <c r="A491" s="12" t="s">
        <v>92</v>
      </c>
      <c r="B491" s="5">
        <f>+'[27]TOTAL DEFINIT '!$N$62</f>
        <v>5731700</v>
      </c>
      <c r="C491" s="13"/>
      <c r="D491" s="7">
        <v>45597</v>
      </c>
    </row>
    <row r="492" spans="1:4" hidden="1" x14ac:dyDescent="0.25">
      <c r="A492" s="6" t="s">
        <v>14</v>
      </c>
      <c r="B492" s="1">
        <f>+SUM([28]CONSOLIDADO!$C$57:$F$57)</f>
        <v>31645178</v>
      </c>
      <c r="C492" s="4"/>
      <c r="D492" s="7">
        <v>45626</v>
      </c>
    </row>
    <row r="493" spans="1:4" hidden="1" x14ac:dyDescent="0.25">
      <c r="A493" s="6" t="s">
        <v>0</v>
      </c>
      <c r="B493" s="1">
        <f>+[28]CONSOLIDADO!$I$57</f>
        <v>465850</v>
      </c>
      <c r="C493" s="4"/>
      <c r="D493" s="7">
        <v>45626</v>
      </c>
    </row>
    <row r="494" spans="1:4" hidden="1" x14ac:dyDescent="0.25">
      <c r="A494" s="6" t="s">
        <v>1</v>
      </c>
      <c r="B494" s="1">
        <f>+[28]ALIMENT!$G$96</f>
        <v>16632000</v>
      </c>
      <c r="C494" s="4"/>
      <c r="D494" s="7">
        <v>45626</v>
      </c>
    </row>
    <row r="495" spans="1:4" hidden="1" x14ac:dyDescent="0.25">
      <c r="A495" s="6" t="s">
        <v>2</v>
      </c>
      <c r="B495" s="1">
        <f>+[28]CONSOLIDADO!$J$57</f>
        <v>490050</v>
      </c>
      <c r="C495" s="4"/>
      <c r="D495" s="7">
        <v>45626</v>
      </c>
    </row>
    <row r="496" spans="1:4" hidden="1" x14ac:dyDescent="0.25">
      <c r="A496" s="6" t="s">
        <v>3</v>
      </c>
      <c r="B496" s="1">
        <f>+[28]CONSOLIDADO!$S$57</f>
        <v>130400</v>
      </c>
      <c r="C496" s="4"/>
      <c r="D496" s="7">
        <v>45626</v>
      </c>
    </row>
    <row r="497" spans="1:4" hidden="1" x14ac:dyDescent="0.25">
      <c r="A497" s="6" t="s">
        <v>4</v>
      </c>
      <c r="B497" s="1">
        <f>+[28]CONSOLIDADO!$L$57</f>
        <v>511950</v>
      </c>
      <c r="C497" s="4"/>
      <c r="D497" s="7">
        <v>45626</v>
      </c>
    </row>
    <row r="498" spans="1:4" hidden="1" x14ac:dyDescent="0.25">
      <c r="A498" s="6" t="str">
        <f>+[11]CONSOLIDADO!$N$1</f>
        <v>TURNO</v>
      </c>
      <c r="B498" s="1">
        <f>+[28]CONSOLIDADO!$N$57</f>
        <v>2872100</v>
      </c>
      <c r="C498" s="4"/>
      <c r="D498" s="7">
        <v>45626</v>
      </c>
    </row>
    <row r="499" spans="1:4" hidden="1" x14ac:dyDescent="0.25">
      <c r="A499" s="6" t="s">
        <v>47</v>
      </c>
      <c r="B499" s="1">
        <f>+[28]CONSOLIDADO!$U$57+[28]CONSOLIDADO!$W$57</f>
        <v>1689280</v>
      </c>
      <c r="C499" s="4"/>
      <c r="D499" s="7">
        <v>45626</v>
      </c>
    </row>
    <row r="500" spans="1:4" hidden="1" x14ac:dyDescent="0.25">
      <c r="A500" s="6" t="s">
        <v>48</v>
      </c>
      <c r="B500" s="1">
        <f>+[28]CONSOLIDADO!$X$57</f>
        <v>0</v>
      </c>
      <c r="C500" s="4"/>
      <c r="D500" s="7">
        <v>45626</v>
      </c>
    </row>
    <row r="501" spans="1:4" x14ac:dyDescent="0.25">
      <c r="A501" s="6" t="s">
        <v>49</v>
      </c>
      <c r="B501" s="1">
        <f>+[28]CONSOLIDADO!$Y$57</f>
        <v>0</v>
      </c>
      <c r="C501" s="4"/>
      <c r="D501" s="7">
        <v>45626</v>
      </c>
    </row>
    <row r="502" spans="1:4" hidden="1" x14ac:dyDescent="0.25">
      <c r="A502" s="6" t="str">
        <f>+[11]CONSOLIDADO!$T$1</f>
        <v>coches guayados</v>
      </c>
      <c r="B502" s="1">
        <f>+[28]CONSOLIDADO!$AA$57</f>
        <v>2681000</v>
      </c>
      <c r="C502" s="4"/>
      <c r="D502" s="7">
        <v>45626</v>
      </c>
    </row>
    <row r="503" spans="1:4" hidden="1" x14ac:dyDescent="0.25">
      <c r="A503" s="6" t="str">
        <f>+[11]CONSOLIDADO!$W$1</f>
        <v>metro despate</v>
      </c>
      <c r="B503" s="1">
        <f>+[28]CONSOLIDADO!$M$57</f>
        <v>2210400</v>
      </c>
      <c r="C503" s="4"/>
      <c r="D503" s="7">
        <v>45626</v>
      </c>
    </row>
    <row r="504" spans="1:4" hidden="1" x14ac:dyDescent="0.25">
      <c r="A504" s="6" t="str">
        <f>+[11]CONSOLIDADO!$X$1</f>
        <v>ARCO DE ACERO</v>
      </c>
      <c r="B504" s="1">
        <f>+[28]CONSOLIDADO!$AE$57</f>
        <v>0</v>
      </c>
      <c r="C504" s="4"/>
      <c r="D504" s="7">
        <v>45626</v>
      </c>
    </row>
    <row r="505" spans="1:4" hidden="1" x14ac:dyDescent="0.25">
      <c r="A505" s="6" t="s">
        <v>21</v>
      </c>
      <c r="B505" s="1">
        <f>+[28]CONSOLIDADO!$AL$15+[28]CONSOLIDADO!$AL$10</f>
        <v>3339667.666666667</v>
      </c>
      <c r="C505" s="4"/>
      <c r="D505" s="7">
        <v>45626</v>
      </c>
    </row>
    <row r="506" spans="1:4" hidden="1" x14ac:dyDescent="0.25">
      <c r="A506" s="6" t="s">
        <v>22</v>
      </c>
      <c r="B506" s="1">
        <f>+[28]CONSOLIDADO!$AL$48+[28]CONSOLIDADO!$AL$26+[28]CONSOLIDADO!$AL$13+[28]CONSOLIDADO!$AL$50</f>
        <v>2642958.5833333335</v>
      </c>
      <c r="C506" s="4"/>
      <c r="D506" s="7">
        <v>45626</v>
      </c>
    </row>
    <row r="507" spans="1:4" hidden="1" x14ac:dyDescent="0.25">
      <c r="A507" s="6" t="s">
        <v>33</v>
      </c>
      <c r="B507" s="1">
        <f>+[28]CONSOLIDADO!$AL$55+[28]CONSOLIDADO!$AL$55</f>
        <v>2734600</v>
      </c>
      <c r="C507" s="4"/>
      <c r="D507" s="7">
        <v>45626</v>
      </c>
    </row>
    <row r="508" spans="1:4" hidden="1" x14ac:dyDescent="0.25">
      <c r="A508" s="6" t="s">
        <v>23</v>
      </c>
      <c r="B508" s="1">
        <f>+[28]CONSOLIDADO!$AL$54</f>
        <v>1846798.125</v>
      </c>
      <c r="C508" s="4"/>
      <c r="D508" s="7">
        <v>45626</v>
      </c>
    </row>
    <row r="509" spans="1:4" hidden="1" x14ac:dyDescent="0.25">
      <c r="A509" s="6" t="s">
        <v>88</v>
      </c>
      <c r="B509" s="1"/>
      <c r="C509" s="4"/>
      <c r="D509" s="7">
        <v>45626</v>
      </c>
    </row>
    <row r="510" spans="1:4" hidden="1" x14ac:dyDescent="0.25">
      <c r="A510" s="6" t="s">
        <v>79</v>
      </c>
      <c r="B510" s="1">
        <f>+[28]CONSOLIDADO!$AF$57+[28]CONSOLIDADO!$AJ$57</f>
        <v>200000</v>
      </c>
      <c r="C510" s="4"/>
      <c r="D510" s="7">
        <v>45626</v>
      </c>
    </row>
    <row r="511" spans="1:4" hidden="1" x14ac:dyDescent="0.25">
      <c r="A511" s="12" t="s">
        <v>92</v>
      </c>
      <c r="B511" s="5">
        <f>+[28]CONSOLIDADO!$O$57+[28]CONSOLIDADO!$P$57+[28]CONSOLIDADO!$Q$57</f>
        <v>1857640</v>
      </c>
      <c r="C511" s="13"/>
      <c r="D511" s="7">
        <v>45626</v>
      </c>
    </row>
    <row r="512" spans="1:4" hidden="1" x14ac:dyDescent="0.25">
      <c r="A512" s="6" t="s">
        <v>14</v>
      </c>
      <c r="B512" s="1">
        <f>+[29]CONSOLIDADO!$C$52+[29]CONSOLIDADO!$D$52+[29]CONSOLIDADO!$E$52+[29]CONSOLIDADO!$F$52</f>
        <v>39917942</v>
      </c>
      <c r="C512" s="4"/>
      <c r="D512" s="7">
        <v>45627</v>
      </c>
    </row>
    <row r="513" spans="1:4" hidden="1" x14ac:dyDescent="0.25">
      <c r="A513" s="6" t="s">
        <v>0</v>
      </c>
      <c r="B513" s="1">
        <f>+[29]CONSOLIDADO!$J$52+[29]CONSOLIDADO!$AG$52</f>
        <v>1112805</v>
      </c>
      <c r="C513" s="4"/>
      <c r="D513" s="7">
        <v>45627</v>
      </c>
    </row>
    <row r="514" spans="1:4" hidden="1" x14ac:dyDescent="0.25">
      <c r="A514" s="6" t="s">
        <v>1</v>
      </c>
      <c r="B514" s="1">
        <f>+[29]ALIMENT!$G$92</f>
        <v>19103622.5</v>
      </c>
      <c r="C514" s="4"/>
      <c r="D514" s="7">
        <v>45627</v>
      </c>
    </row>
    <row r="515" spans="1:4" hidden="1" x14ac:dyDescent="0.25">
      <c r="A515" s="6" t="s">
        <v>2</v>
      </c>
      <c r="B515" s="1">
        <f>+[29]CONSOLIDADO!$K$52</f>
        <v>375550</v>
      </c>
      <c r="C515" s="4"/>
      <c r="D515" s="7">
        <v>45627</v>
      </c>
    </row>
    <row r="516" spans="1:4" hidden="1" x14ac:dyDescent="0.25">
      <c r="A516" s="6" t="s">
        <v>3</v>
      </c>
      <c r="B516" s="1">
        <f>+[29]CONSOLIDADO!$S$52</f>
        <v>173450</v>
      </c>
      <c r="C516" s="4"/>
      <c r="D516" s="7">
        <v>45627</v>
      </c>
    </row>
    <row r="517" spans="1:4" hidden="1" x14ac:dyDescent="0.25">
      <c r="A517" s="6" t="s">
        <v>4</v>
      </c>
      <c r="B517" s="1">
        <f>+[29]CONSOLIDADO!$L$52</f>
        <v>446550</v>
      </c>
      <c r="C517" s="4"/>
      <c r="D517" s="7">
        <v>45627</v>
      </c>
    </row>
    <row r="518" spans="1:4" hidden="1" x14ac:dyDescent="0.25">
      <c r="A518" s="6" t="str">
        <f>+[11]CONSOLIDADO!$N$1</f>
        <v>TURNO</v>
      </c>
      <c r="B518" s="1">
        <f>+[29]CONSOLIDADO!$N$52</f>
        <v>2757550</v>
      </c>
      <c r="C518" s="4"/>
      <c r="D518" s="7">
        <v>45627</v>
      </c>
    </row>
    <row r="519" spans="1:4" hidden="1" x14ac:dyDescent="0.25">
      <c r="A519" s="6" t="s">
        <v>47</v>
      </c>
      <c r="B519" s="1">
        <f>+[29]CONSOLIDADO!$W$52</f>
        <v>3277176</v>
      </c>
      <c r="C519" s="4"/>
      <c r="D519" s="7">
        <v>45627</v>
      </c>
    </row>
    <row r="520" spans="1:4" hidden="1" x14ac:dyDescent="0.25">
      <c r="A520" s="6" t="s">
        <v>48</v>
      </c>
      <c r="B520" s="1">
        <f>+[29]CONSOLIDADO!$X$52</f>
        <v>703200</v>
      </c>
      <c r="C520" s="4"/>
      <c r="D520" s="7">
        <v>45627</v>
      </c>
    </row>
    <row r="521" spans="1:4" x14ac:dyDescent="0.25">
      <c r="A521" s="6" t="s">
        <v>49</v>
      </c>
      <c r="B521" s="1">
        <f>+[29]CONSOLIDADO!$Y$52</f>
        <v>330000</v>
      </c>
      <c r="C521" s="4"/>
      <c r="D521" s="7">
        <v>45627</v>
      </c>
    </row>
    <row r="522" spans="1:4" hidden="1" x14ac:dyDescent="0.25">
      <c r="A522" s="6" t="str">
        <f>+[11]CONSOLIDADO!$T$1</f>
        <v>coches guayados</v>
      </c>
      <c r="B522" s="1">
        <f>+[29]CONSOLIDADO!$AA$52</f>
        <v>3213000</v>
      </c>
      <c r="C522" s="4"/>
      <c r="D522" s="7">
        <v>45627</v>
      </c>
    </row>
    <row r="523" spans="1:4" hidden="1" x14ac:dyDescent="0.25">
      <c r="A523" s="6" t="str">
        <f>+[11]CONSOLIDADO!$W$1</f>
        <v>metro despate</v>
      </c>
      <c r="B523" s="1">
        <f>+[29]CONSOLIDADO!$M$52</f>
        <v>1500000</v>
      </c>
      <c r="C523" s="4"/>
      <c r="D523" s="7">
        <v>45627</v>
      </c>
    </row>
    <row r="524" spans="1:4" hidden="1" x14ac:dyDescent="0.25">
      <c r="A524" s="6" t="str">
        <f>+[11]CONSOLIDADO!$X$1</f>
        <v>ARCO DE ACERO</v>
      </c>
      <c r="B524" s="1">
        <f>+[27]CONSOLIDADO!$AC$52</f>
        <v>0</v>
      </c>
      <c r="C524" s="4"/>
      <c r="D524" s="7">
        <v>45627</v>
      </c>
    </row>
    <row r="525" spans="1:4" hidden="1" x14ac:dyDescent="0.25">
      <c r="A525" s="6" t="s">
        <v>21</v>
      </c>
      <c r="B525" s="1">
        <f>+[29]CONSOLIDADO!$AL$14+[29]CONSOLIDADO!$AL$44</f>
        <v>2939364.666666667</v>
      </c>
      <c r="C525" s="4"/>
      <c r="D525" s="7">
        <v>45627</v>
      </c>
    </row>
    <row r="526" spans="1:4" hidden="1" x14ac:dyDescent="0.25">
      <c r="A526" s="6" t="s">
        <v>22</v>
      </c>
      <c r="B526" s="1">
        <f>+[29]CONSOLIDADO!$AL$43+[29]CONSOLIDADO!$AL$48</f>
        <v>1916754.3333333335</v>
      </c>
      <c r="C526" s="4"/>
      <c r="D526" s="7">
        <v>45627</v>
      </c>
    </row>
    <row r="527" spans="1:4" hidden="1" x14ac:dyDescent="0.25">
      <c r="A527" s="6" t="s">
        <v>33</v>
      </c>
      <c r="B527" s="1">
        <f>+[29]CONSOLIDADO!$AL$50+[29]CONSOLIDADO!$AL$51</f>
        <v>2734600</v>
      </c>
      <c r="C527" s="4"/>
      <c r="D527" s="7">
        <v>45627</v>
      </c>
    </row>
    <row r="528" spans="1:4" hidden="1" x14ac:dyDescent="0.25">
      <c r="A528" s="6" t="s">
        <v>23</v>
      </c>
      <c r="B528" s="1">
        <f>+[27]CONSOLIDADO!$AJ$49</f>
        <v>1409061.4583333335</v>
      </c>
      <c r="C528" s="4"/>
      <c r="D528" s="7">
        <v>45627</v>
      </c>
    </row>
    <row r="529" spans="1:4" hidden="1" x14ac:dyDescent="0.25">
      <c r="A529" s="6" t="s">
        <v>88</v>
      </c>
      <c r="B529" s="1"/>
      <c r="C529" s="4"/>
      <c r="D529" s="7">
        <v>45627</v>
      </c>
    </row>
    <row r="530" spans="1:4" hidden="1" x14ac:dyDescent="0.25">
      <c r="A530" s="6" t="s">
        <v>79</v>
      </c>
      <c r="B530" s="1">
        <v>0</v>
      </c>
      <c r="C530" s="4"/>
      <c r="D530" s="7">
        <v>45627</v>
      </c>
    </row>
    <row r="531" spans="1:4" hidden="1" x14ac:dyDescent="0.25">
      <c r="A531" s="12" t="s">
        <v>92</v>
      </c>
      <c r="B531" s="5">
        <v>3308000</v>
      </c>
      <c r="C531" s="13"/>
      <c r="D531" s="7">
        <v>45627</v>
      </c>
    </row>
    <row r="532" spans="1:4" hidden="1" x14ac:dyDescent="0.25">
      <c r="A532" s="6" t="s">
        <v>14</v>
      </c>
      <c r="B532" s="1">
        <f>+[30]CONSOLIDADO!$C$52+[30]CONSOLIDADO!$D$52+[30]CONSOLIDADO!$E$52+[30]CONSOLIDADO!$F$52</f>
        <v>15914576</v>
      </c>
      <c r="C532" s="4"/>
      <c r="D532" s="7">
        <v>45657</v>
      </c>
    </row>
    <row r="533" spans="1:4" hidden="1" x14ac:dyDescent="0.25">
      <c r="A533" s="6" t="s">
        <v>0</v>
      </c>
      <c r="B533" s="1">
        <f>+[30]CONSOLIDADO!$I$52</f>
        <v>1315050</v>
      </c>
      <c r="C533" s="4"/>
      <c r="D533" s="7">
        <v>45657</v>
      </c>
    </row>
    <row r="534" spans="1:4" hidden="1" x14ac:dyDescent="0.25">
      <c r="A534" s="6" t="s">
        <v>1</v>
      </c>
      <c r="B534" s="1">
        <f>+[30]ALIMENT!$G$89</f>
        <v>7888633.75</v>
      </c>
      <c r="C534" s="4"/>
      <c r="D534" s="7">
        <v>45657</v>
      </c>
    </row>
    <row r="535" spans="1:4" hidden="1" x14ac:dyDescent="0.25">
      <c r="A535" s="6" t="s">
        <v>2</v>
      </c>
      <c r="B535" s="1">
        <f>+[30]CONSOLIDADO!$K$52</f>
        <v>367632</v>
      </c>
      <c r="C535" s="4"/>
      <c r="D535" s="7">
        <v>45657</v>
      </c>
    </row>
    <row r="536" spans="1:4" hidden="1" x14ac:dyDescent="0.25">
      <c r="A536" s="6" t="s">
        <v>3</v>
      </c>
      <c r="B536" s="1">
        <f>+[30]CONSOLIDADO!$S$52</f>
        <v>0</v>
      </c>
      <c r="C536" s="4"/>
      <c r="D536" s="7">
        <v>45657</v>
      </c>
    </row>
    <row r="537" spans="1:4" hidden="1" x14ac:dyDescent="0.25">
      <c r="A537" s="6" t="s">
        <v>4</v>
      </c>
      <c r="B537" s="1">
        <f>+[30]CONSOLIDADO!$L$52</f>
        <v>193700</v>
      </c>
      <c r="C537" s="4"/>
      <c r="D537" s="7">
        <v>45657</v>
      </c>
    </row>
    <row r="538" spans="1:4" hidden="1" x14ac:dyDescent="0.25">
      <c r="A538" s="6" t="str">
        <f>+[11]CONSOLIDADO!$N$1</f>
        <v>TURNO</v>
      </c>
      <c r="B538" s="1">
        <f>+[30]CONSOLIDADO!$N$52</f>
        <v>1518000</v>
      </c>
      <c r="C538" s="4"/>
      <c r="D538" s="7">
        <v>45657</v>
      </c>
    </row>
    <row r="539" spans="1:4" hidden="1" x14ac:dyDescent="0.25">
      <c r="A539" s="6" t="s">
        <v>47</v>
      </c>
      <c r="B539" s="1">
        <f>+[30]CONSOLIDADO!$W$52</f>
        <v>2280000</v>
      </c>
      <c r="C539" s="4"/>
      <c r="D539" s="7">
        <v>45657</v>
      </c>
    </row>
    <row r="540" spans="1:4" hidden="1" x14ac:dyDescent="0.25">
      <c r="A540" s="6" t="s">
        <v>48</v>
      </c>
      <c r="B540" s="1">
        <f>+[30]CONSOLIDADO!$X$52</f>
        <v>0</v>
      </c>
      <c r="C540" s="4"/>
      <c r="D540" s="7">
        <v>45657</v>
      </c>
    </row>
    <row r="541" spans="1:4" x14ac:dyDescent="0.25">
      <c r="A541" s="6" t="s">
        <v>49</v>
      </c>
      <c r="B541" s="1">
        <f>+[30]CONSOLIDADO!$Y$52</f>
        <v>110000</v>
      </c>
      <c r="C541" s="4"/>
      <c r="D541" s="7">
        <v>45657</v>
      </c>
    </row>
    <row r="542" spans="1:4" hidden="1" x14ac:dyDescent="0.25">
      <c r="A542" s="6" t="str">
        <f>+[11]CONSOLIDADO!$T$1</f>
        <v>coches guayados</v>
      </c>
      <c r="B542" s="1">
        <f>+[30]CONSOLIDADO!$AA$52</f>
        <v>1277500</v>
      </c>
      <c r="C542" s="4"/>
      <c r="D542" s="7">
        <v>45657</v>
      </c>
    </row>
    <row r="543" spans="1:4" hidden="1" x14ac:dyDescent="0.25">
      <c r="A543" s="6" t="str">
        <f>+[11]CONSOLIDADO!$W$1</f>
        <v>metro despate</v>
      </c>
      <c r="B543" s="1">
        <f>+[30]CONSOLIDADO!$M$52</f>
        <v>142200</v>
      </c>
      <c r="C543" s="4"/>
      <c r="D543" s="7">
        <v>45657</v>
      </c>
    </row>
    <row r="544" spans="1:4" hidden="1" x14ac:dyDescent="0.25">
      <c r="A544" s="6" t="str">
        <f>+[11]CONSOLIDADO!$X$1</f>
        <v>ARCO DE ACERO</v>
      </c>
      <c r="B544" s="1">
        <f>+[27]CONSOLIDADO!$AC$52</f>
        <v>0</v>
      </c>
      <c r="C544" s="4"/>
      <c r="D544" s="7">
        <v>45657</v>
      </c>
    </row>
    <row r="545" spans="1:4" hidden="1" x14ac:dyDescent="0.25">
      <c r="A545" s="6" t="s">
        <v>21</v>
      </c>
      <c r="B545" s="1">
        <f>+[30]CONSOLIDADO!$AL$45+[30]CONSOLIDADO!$AL$14</f>
        <v>1825657</v>
      </c>
      <c r="C545" s="4"/>
      <c r="D545" s="7">
        <v>45657</v>
      </c>
    </row>
    <row r="546" spans="1:4" hidden="1" x14ac:dyDescent="0.25">
      <c r="A546" s="6" t="s">
        <v>22</v>
      </c>
      <c r="B546" s="1">
        <f>+[30]CONSOLIDADO!$AL$43+[30]CONSOLIDADO!$AL$44+[30]CONSOLIDADO!$AL$48+[30]CONSOLIDADO!$AL$12</f>
        <v>3311444</v>
      </c>
      <c r="C546" s="4"/>
      <c r="D546" s="7">
        <v>45657</v>
      </c>
    </row>
    <row r="547" spans="1:4" hidden="1" x14ac:dyDescent="0.25">
      <c r="A547" s="6" t="s">
        <v>33</v>
      </c>
      <c r="B547" s="1">
        <f>+[30]CONSOLIDADO!$AL$50+[30]CONSOLIDADO!$AL$51</f>
        <v>2734600</v>
      </c>
      <c r="C547" s="4"/>
      <c r="D547" s="7">
        <v>45657</v>
      </c>
    </row>
    <row r="548" spans="1:4" hidden="1" x14ac:dyDescent="0.25">
      <c r="A548" s="6" t="s">
        <v>23</v>
      </c>
      <c r="B548" s="1">
        <f>+[30]CONSOLIDADO!$AL$49</f>
        <v>1220334.3750000002</v>
      </c>
      <c r="C548" s="4"/>
      <c r="D548" s="7">
        <v>45657</v>
      </c>
    </row>
    <row r="549" spans="1:4" hidden="1" x14ac:dyDescent="0.25">
      <c r="A549" s="6" t="s">
        <v>88</v>
      </c>
      <c r="B549" s="1"/>
      <c r="C549" s="4"/>
      <c r="D549" s="7">
        <v>45657</v>
      </c>
    </row>
    <row r="550" spans="1:4" hidden="1" x14ac:dyDescent="0.25">
      <c r="A550" s="6" t="s">
        <v>79</v>
      </c>
      <c r="B550" s="1">
        <v>0</v>
      </c>
      <c r="C550" s="4"/>
      <c r="D550" s="7">
        <v>45657</v>
      </c>
    </row>
    <row r="551" spans="1:4" hidden="1" x14ac:dyDescent="0.25">
      <c r="A551" s="12" t="s">
        <v>92</v>
      </c>
      <c r="B551" s="5">
        <v>1028000</v>
      </c>
      <c r="C551" s="13"/>
      <c r="D551" s="7">
        <v>45657</v>
      </c>
    </row>
    <row r="552" spans="1:4" hidden="1" x14ac:dyDescent="0.25">
      <c r="A552" s="6" t="s">
        <v>14</v>
      </c>
      <c r="B552" s="1">
        <v>18401246</v>
      </c>
      <c r="C552" s="4"/>
      <c r="D552" s="7">
        <v>45658</v>
      </c>
    </row>
    <row r="553" spans="1:4" hidden="1" x14ac:dyDescent="0.25">
      <c r="A553" s="6" t="s">
        <v>0</v>
      </c>
      <c r="B553" s="46">
        <f>856350+208950</f>
        <v>1065300</v>
      </c>
      <c r="C553" s="4"/>
      <c r="D553" s="7">
        <v>45658</v>
      </c>
    </row>
    <row r="554" spans="1:4" hidden="1" x14ac:dyDescent="0.25">
      <c r="A554" s="6" t="s">
        <v>1</v>
      </c>
      <c r="B554" s="1">
        <v>15232750</v>
      </c>
      <c r="C554" s="4"/>
      <c r="D554" s="7">
        <v>45658</v>
      </c>
    </row>
    <row r="555" spans="1:4" hidden="1" x14ac:dyDescent="0.25">
      <c r="A555" s="6" t="s">
        <v>2</v>
      </c>
      <c r="B555" s="1">
        <v>291330</v>
      </c>
      <c r="C555" s="4"/>
      <c r="D555" s="7">
        <v>45658</v>
      </c>
    </row>
    <row r="556" spans="1:4" hidden="1" x14ac:dyDescent="0.25">
      <c r="A556" s="6" t="s">
        <v>3</v>
      </c>
      <c r="B556" s="1">
        <v>220000</v>
      </c>
      <c r="C556" s="4"/>
      <c r="D556" s="7">
        <v>45658</v>
      </c>
    </row>
    <row r="557" spans="1:4" hidden="1" x14ac:dyDescent="0.25">
      <c r="A557" s="6" t="s">
        <v>4</v>
      </c>
      <c r="B557" s="1">
        <v>195000</v>
      </c>
      <c r="C557" s="4"/>
      <c r="D557" s="7">
        <v>45658</v>
      </c>
    </row>
    <row r="558" spans="1:4" hidden="1" x14ac:dyDescent="0.25">
      <c r="A558" s="6" t="str">
        <f>+[11]CONSOLIDADO!$N$1</f>
        <v>TURNO</v>
      </c>
      <c r="B558" s="1">
        <v>1317580</v>
      </c>
      <c r="C558" s="4"/>
      <c r="D558" s="7">
        <v>45658</v>
      </c>
    </row>
    <row r="559" spans="1:4" hidden="1" x14ac:dyDescent="0.25">
      <c r="A559" s="6" t="s">
        <v>47</v>
      </c>
      <c r="B559" s="1">
        <v>1085580</v>
      </c>
      <c r="C559" s="4"/>
      <c r="D559" s="7">
        <v>45658</v>
      </c>
    </row>
    <row r="560" spans="1:4" hidden="1" x14ac:dyDescent="0.25">
      <c r="A560" s="6" t="s">
        <v>48</v>
      </c>
      <c r="B560" s="1">
        <v>0</v>
      </c>
      <c r="C560" s="4"/>
      <c r="D560" s="7">
        <v>45658</v>
      </c>
    </row>
    <row r="561" spans="1:4" x14ac:dyDescent="0.25">
      <c r="A561" s="6" t="s">
        <v>49</v>
      </c>
      <c r="B561" s="1">
        <v>117331</v>
      </c>
      <c r="C561" s="4"/>
      <c r="D561" s="7">
        <v>45658</v>
      </c>
    </row>
    <row r="562" spans="1:4" hidden="1" x14ac:dyDescent="0.25">
      <c r="A562" s="6" t="str">
        <f>+[11]CONSOLIDADO!$T$1</f>
        <v>coches guayados</v>
      </c>
      <c r="B562" s="1">
        <v>1407000</v>
      </c>
      <c r="C562" s="4"/>
      <c r="D562" s="7">
        <v>45658</v>
      </c>
    </row>
    <row r="563" spans="1:4" hidden="1" x14ac:dyDescent="0.25">
      <c r="A563" s="6" t="str">
        <f>+[11]CONSOLIDADO!$W$1</f>
        <v>metro despate</v>
      </c>
      <c r="B563" s="1">
        <v>1492400</v>
      </c>
      <c r="C563" s="4"/>
      <c r="D563" s="7">
        <v>45658</v>
      </c>
    </row>
    <row r="564" spans="1:4" hidden="1" x14ac:dyDescent="0.25">
      <c r="A564" s="6" t="str">
        <f>+[11]CONSOLIDADO!$X$1</f>
        <v>ARCO DE ACERO</v>
      </c>
      <c r="B564" s="1">
        <v>0</v>
      </c>
      <c r="C564" s="4"/>
      <c r="D564" s="7">
        <v>45658</v>
      </c>
    </row>
    <row r="565" spans="1:4" hidden="1" x14ac:dyDescent="0.25">
      <c r="A565" s="6" t="s">
        <v>21</v>
      </c>
      <c r="B565" s="1">
        <f>751580+1130522</f>
        <v>1882102</v>
      </c>
      <c r="C565" s="4"/>
      <c r="D565" s="7">
        <v>45658</v>
      </c>
    </row>
    <row r="566" spans="1:4" hidden="1" x14ac:dyDescent="0.25">
      <c r="A566" s="6" t="s">
        <v>22</v>
      </c>
      <c r="B566" s="1">
        <f>130000+335833</f>
        <v>465833</v>
      </c>
      <c r="C566" s="4"/>
      <c r="D566" s="7">
        <v>45658</v>
      </c>
    </row>
    <row r="567" spans="1:4" hidden="1" x14ac:dyDescent="0.25">
      <c r="A567" s="6" t="s">
        <v>33</v>
      </c>
      <c r="B567" s="1">
        <f>1367300*2</f>
        <v>2734600</v>
      </c>
      <c r="C567" s="4"/>
      <c r="D567" s="7">
        <v>45658</v>
      </c>
    </row>
    <row r="568" spans="1:4" hidden="1" x14ac:dyDescent="0.25">
      <c r="A568" s="6" t="s">
        <v>23</v>
      </c>
      <c r="B568" s="1">
        <v>1034027</v>
      </c>
      <c r="C568" s="4"/>
      <c r="D568" s="7">
        <v>45658</v>
      </c>
    </row>
    <row r="569" spans="1:4" hidden="1" x14ac:dyDescent="0.25">
      <c r="A569" s="6" t="s">
        <v>88</v>
      </c>
      <c r="B569" s="1">
        <v>0</v>
      </c>
      <c r="C569" s="4"/>
      <c r="D569" s="7">
        <v>45658</v>
      </c>
    </row>
    <row r="570" spans="1:4" hidden="1" x14ac:dyDescent="0.25">
      <c r="A570" s="6" t="s">
        <v>79</v>
      </c>
      <c r="B570" s="1">
        <v>150000</v>
      </c>
      <c r="C570" s="4"/>
      <c r="D570" s="7">
        <v>45658</v>
      </c>
    </row>
    <row r="571" spans="1:4" hidden="1" x14ac:dyDescent="0.25">
      <c r="A571" s="12" t="s">
        <v>92</v>
      </c>
      <c r="B571" s="5">
        <v>605350</v>
      </c>
      <c r="C571" s="13"/>
      <c r="D571" s="7">
        <v>45658</v>
      </c>
    </row>
    <row r="572" spans="1:4" hidden="1" x14ac:dyDescent="0.25">
      <c r="A572" s="6" t="s">
        <v>14</v>
      </c>
      <c r="B572" s="1">
        <f>10885455+32442118+93260+999000</f>
        <v>44419833</v>
      </c>
      <c r="C572" s="4"/>
      <c r="D572" s="7">
        <v>45688</v>
      </c>
    </row>
    <row r="573" spans="1:4" hidden="1" x14ac:dyDescent="0.25">
      <c r="A573" s="6" t="s">
        <v>0</v>
      </c>
      <c r="B573" s="1">
        <f>1884300+679860</f>
        <v>2564160</v>
      </c>
      <c r="C573" s="4"/>
      <c r="D573" s="7">
        <v>45688</v>
      </c>
    </row>
    <row r="574" spans="1:4" hidden="1" x14ac:dyDescent="0.25">
      <c r="A574" s="6" t="s">
        <v>1</v>
      </c>
      <c r="B574" s="1">
        <v>18868000</v>
      </c>
      <c r="C574" s="4"/>
      <c r="D574" s="7">
        <v>45688</v>
      </c>
    </row>
    <row r="575" spans="1:4" hidden="1" x14ac:dyDescent="0.25">
      <c r="A575" s="6" t="s">
        <v>2</v>
      </c>
      <c r="B575" s="1">
        <v>679860</v>
      </c>
      <c r="C575" s="4"/>
      <c r="D575" s="7">
        <v>45688</v>
      </c>
    </row>
    <row r="576" spans="1:4" hidden="1" x14ac:dyDescent="0.25">
      <c r="A576" s="6" t="s">
        <v>3</v>
      </c>
      <c r="B576" s="1">
        <v>224800</v>
      </c>
      <c r="C576" s="4"/>
      <c r="D576" s="7">
        <v>45688</v>
      </c>
    </row>
    <row r="577" spans="1:4" hidden="1" x14ac:dyDescent="0.25">
      <c r="A577" s="6" t="s">
        <v>4</v>
      </c>
      <c r="B577" s="1">
        <v>258700</v>
      </c>
      <c r="C577" s="4"/>
      <c r="D577" s="7">
        <v>45688</v>
      </c>
    </row>
    <row r="578" spans="1:4" hidden="1" x14ac:dyDescent="0.25">
      <c r="A578" s="6" t="str">
        <f>+[11]CONSOLIDADO!$N$1</f>
        <v>TURNO</v>
      </c>
      <c r="B578" s="1">
        <v>2514050</v>
      </c>
      <c r="C578" s="4"/>
      <c r="D578" s="7">
        <v>45688</v>
      </c>
    </row>
    <row r="579" spans="1:4" hidden="1" x14ac:dyDescent="0.25">
      <c r="A579" s="6" t="s">
        <v>47</v>
      </c>
      <c r="B579" s="1">
        <v>4000419</v>
      </c>
      <c r="C579" s="4"/>
      <c r="D579" s="7">
        <v>45688</v>
      </c>
    </row>
    <row r="580" spans="1:4" hidden="1" x14ac:dyDescent="0.25">
      <c r="A580" s="6" t="s">
        <v>48</v>
      </c>
      <c r="B580" s="1">
        <v>32000</v>
      </c>
      <c r="C580" s="4"/>
      <c r="D580" s="7">
        <v>45688</v>
      </c>
    </row>
    <row r="581" spans="1:4" x14ac:dyDescent="0.25">
      <c r="A581" s="6" t="s">
        <v>49</v>
      </c>
      <c r="B581" s="1"/>
      <c r="C581" s="4"/>
      <c r="D581" s="7">
        <v>45688</v>
      </c>
    </row>
    <row r="582" spans="1:4" hidden="1" x14ac:dyDescent="0.25">
      <c r="A582" s="6" t="str">
        <f>+[11]CONSOLIDADO!$T$1</f>
        <v>coches guayados</v>
      </c>
      <c r="B582" s="1">
        <v>3682000</v>
      </c>
      <c r="C582" s="4"/>
      <c r="D582" s="7">
        <v>45688</v>
      </c>
    </row>
    <row r="583" spans="1:4" hidden="1" x14ac:dyDescent="0.25">
      <c r="A583" s="6" t="str">
        <f>+[11]CONSOLIDADO!$W$1</f>
        <v>metro despate</v>
      </c>
      <c r="B583" s="1">
        <v>0</v>
      </c>
      <c r="C583" s="4"/>
      <c r="D583" s="7">
        <v>45688</v>
      </c>
    </row>
    <row r="584" spans="1:4" hidden="1" x14ac:dyDescent="0.25">
      <c r="A584" s="6" t="str">
        <f>+[11]CONSOLIDADO!$X$1</f>
        <v>ARCO DE ACERO</v>
      </c>
      <c r="B584" s="1">
        <v>0</v>
      </c>
      <c r="C584" s="4"/>
      <c r="D584" s="7">
        <v>45688</v>
      </c>
    </row>
    <row r="585" spans="1:4" hidden="1" x14ac:dyDescent="0.25">
      <c r="A585" s="6" t="s">
        <v>21</v>
      </c>
      <c r="B585" s="1">
        <f>1735325+1815529</f>
        <v>3550854</v>
      </c>
      <c r="C585" s="4"/>
      <c r="D585" s="7">
        <v>45688</v>
      </c>
    </row>
    <row r="586" spans="1:4" hidden="1" x14ac:dyDescent="0.25">
      <c r="A586" s="6" t="s">
        <v>22</v>
      </c>
      <c r="B586" s="1">
        <f>993413+983413</f>
        <v>1976826</v>
      </c>
      <c r="C586" s="4"/>
      <c r="D586" s="7">
        <v>45688</v>
      </c>
    </row>
    <row r="587" spans="1:4" hidden="1" x14ac:dyDescent="0.25">
      <c r="A587" s="6" t="s">
        <v>33</v>
      </c>
      <c r="B587" s="1">
        <f>1367000*2</f>
        <v>2734000</v>
      </c>
      <c r="C587" s="4"/>
      <c r="D587" s="7">
        <v>45688</v>
      </c>
    </row>
    <row r="588" spans="1:4" hidden="1" x14ac:dyDescent="0.25">
      <c r="A588" s="6" t="s">
        <v>23</v>
      </c>
      <c r="B588" s="1">
        <v>1343344</v>
      </c>
      <c r="C588" s="4"/>
      <c r="D588" s="7">
        <v>45688</v>
      </c>
    </row>
    <row r="589" spans="1:4" hidden="1" x14ac:dyDescent="0.25">
      <c r="A589" s="6" t="s">
        <v>88</v>
      </c>
      <c r="B589" s="1">
        <v>0</v>
      </c>
      <c r="C589" s="4"/>
      <c r="D589" s="7">
        <v>45688</v>
      </c>
    </row>
    <row r="590" spans="1:4" hidden="1" x14ac:dyDescent="0.25">
      <c r="A590" s="6" t="s">
        <v>79</v>
      </c>
      <c r="B590" s="1">
        <v>60000</v>
      </c>
      <c r="C590" s="4"/>
      <c r="D590" s="7">
        <v>45688</v>
      </c>
    </row>
    <row r="591" spans="1:4" hidden="1" x14ac:dyDescent="0.25">
      <c r="A591" s="12" t="s">
        <v>92</v>
      </c>
      <c r="B591" s="5">
        <v>3117920</v>
      </c>
      <c r="C591" s="13"/>
      <c r="D591" s="7">
        <v>45688</v>
      </c>
    </row>
    <row r="592" spans="1:4" hidden="1" x14ac:dyDescent="0.25">
      <c r="A592" s="6" t="s">
        <v>14</v>
      </c>
      <c r="B592" s="1">
        <v>39182776</v>
      </c>
      <c r="C592" s="4"/>
      <c r="D592" s="7">
        <v>45689</v>
      </c>
    </row>
    <row r="593" spans="1:4" hidden="1" x14ac:dyDescent="0.25">
      <c r="A593" s="6" t="s">
        <v>0</v>
      </c>
      <c r="B593" s="1">
        <f>1371700+348600</f>
        <v>1720300</v>
      </c>
      <c r="C593" s="4"/>
      <c r="D593" s="7">
        <v>45689</v>
      </c>
    </row>
    <row r="594" spans="1:4" hidden="1" x14ac:dyDescent="0.25">
      <c r="A594" s="6" t="s">
        <v>1</v>
      </c>
      <c r="B594" s="1"/>
      <c r="C594" s="4"/>
      <c r="D594" s="7">
        <v>45689</v>
      </c>
    </row>
    <row r="595" spans="1:4" hidden="1" x14ac:dyDescent="0.25">
      <c r="A595" s="6" t="s">
        <v>2</v>
      </c>
      <c r="B595" s="1">
        <v>259740</v>
      </c>
      <c r="C595" s="4"/>
      <c r="D595" s="7">
        <v>45689</v>
      </c>
    </row>
    <row r="596" spans="1:4" hidden="1" x14ac:dyDescent="0.25">
      <c r="A596" s="6" t="s">
        <v>3</v>
      </c>
      <c r="B596" s="1">
        <v>0</v>
      </c>
      <c r="C596" s="4"/>
      <c r="D596" s="7">
        <v>45689</v>
      </c>
    </row>
    <row r="597" spans="1:4" hidden="1" x14ac:dyDescent="0.25">
      <c r="A597" s="6" t="s">
        <v>4</v>
      </c>
      <c r="B597" s="1">
        <v>712400</v>
      </c>
      <c r="C597" s="4"/>
      <c r="D597" s="7">
        <v>45689</v>
      </c>
    </row>
    <row r="598" spans="1:4" hidden="1" x14ac:dyDescent="0.25">
      <c r="A598" s="6" t="str">
        <f>+[11]CONSOLIDADO!$N$1</f>
        <v>TURNO</v>
      </c>
      <c r="B598" s="1">
        <v>1777600</v>
      </c>
      <c r="C598" s="4"/>
      <c r="D598" s="7">
        <v>45689</v>
      </c>
    </row>
    <row r="599" spans="1:4" hidden="1" x14ac:dyDescent="0.25">
      <c r="A599" s="6" t="s">
        <v>47</v>
      </c>
      <c r="B599" s="1">
        <v>1336500</v>
      </c>
      <c r="C599" s="4"/>
      <c r="D599" s="7">
        <v>45689</v>
      </c>
    </row>
    <row r="600" spans="1:4" hidden="1" x14ac:dyDescent="0.25">
      <c r="A600" s="6" t="s">
        <v>48</v>
      </c>
      <c r="B600" s="1">
        <v>0</v>
      </c>
      <c r="C600" s="4"/>
      <c r="D600" s="7">
        <v>45689</v>
      </c>
    </row>
    <row r="601" spans="1:4" x14ac:dyDescent="0.25">
      <c r="A601" s="6" t="s">
        <v>49</v>
      </c>
      <c r="B601" s="1"/>
      <c r="C601" s="4"/>
      <c r="D601" s="7">
        <v>45689</v>
      </c>
    </row>
    <row r="602" spans="1:4" hidden="1" x14ac:dyDescent="0.25">
      <c r="A602" s="6" t="str">
        <f>+[11]CONSOLIDADO!$T$1</f>
        <v>coches guayados</v>
      </c>
      <c r="B602" s="1">
        <v>3682000</v>
      </c>
      <c r="C602" s="4"/>
      <c r="D602" s="7">
        <v>45689</v>
      </c>
    </row>
    <row r="603" spans="1:4" hidden="1" x14ac:dyDescent="0.25">
      <c r="A603" s="6" t="str">
        <f>+[11]CONSOLIDADO!$W$1</f>
        <v>metro despate</v>
      </c>
      <c r="B603" s="1">
        <v>1130500</v>
      </c>
      <c r="C603" s="4"/>
      <c r="D603" s="7">
        <v>45689</v>
      </c>
    </row>
    <row r="604" spans="1:4" hidden="1" x14ac:dyDescent="0.25">
      <c r="A604" s="6" t="str">
        <f>+[11]CONSOLIDADO!$X$1</f>
        <v>ARCO DE ACERO</v>
      </c>
      <c r="B604" s="1">
        <v>0</v>
      </c>
      <c r="C604" s="4"/>
      <c r="D604" s="7">
        <v>45689</v>
      </c>
    </row>
    <row r="605" spans="1:4" hidden="1" x14ac:dyDescent="0.25">
      <c r="A605" s="6" t="s">
        <v>21</v>
      </c>
      <c r="B605" s="1">
        <f>1460658+1720697</f>
        <v>3181355</v>
      </c>
      <c r="C605" s="4"/>
      <c r="D605" s="7">
        <v>45689</v>
      </c>
    </row>
    <row r="606" spans="1:4" hidden="1" x14ac:dyDescent="0.25">
      <c r="A606" s="6" t="s">
        <v>22</v>
      </c>
      <c r="B606" s="1">
        <f>875000*3</f>
        <v>2625000</v>
      </c>
      <c r="C606" s="4"/>
      <c r="D606" s="7">
        <v>45689</v>
      </c>
    </row>
    <row r="607" spans="1:4" hidden="1" x14ac:dyDescent="0.25">
      <c r="A607" s="6" t="s">
        <v>33</v>
      </c>
      <c r="B607" s="1">
        <f>1367000*2</f>
        <v>2734000</v>
      </c>
      <c r="C607" s="4"/>
      <c r="D607" s="7">
        <v>45689</v>
      </c>
    </row>
    <row r="608" spans="1:4" hidden="1" x14ac:dyDescent="0.25">
      <c r="A608" s="6" t="s">
        <v>23</v>
      </c>
      <c r="B608" s="1">
        <v>1306000</v>
      </c>
      <c r="C608" s="4"/>
      <c r="D608" s="7">
        <v>45689</v>
      </c>
    </row>
    <row r="609" spans="1:4" hidden="1" x14ac:dyDescent="0.25">
      <c r="A609" s="6" t="s">
        <v>88</v>
      </c>
      <c r="B609" s="1">
        <v>0</v>
      </c>
      <c r="C609" s="4"/>
      <c r="D609" s="7">
        <v>45689</v>
      </c>
    </row>
    <row r="610" spans="1:4" hidden="1" x14ac:dyDescent="0.25">
      <c r="A610" s="6" t="s">
        <v>79</v>
      </c>
      <c r="B610" s="1">
        <v>60000</v>
      </c>
      <c r="C610" s="4"/>
      <c r="D610" s="7">
        <v>45689</v>
      </c>
    </row>
    <row r="611" spans="1:4" hidden="1" x14ac:dyDescent="0.25">
      <c r="A611" s="12" t="s">
        <v>92</v>
      </c>
      <c r="B611" s="5">
        <v>3919000</v>
      </c>
      <c r="C611" s="13"/>
      <c r="D611" s="7">
        <v>45689</v>
      </c>
    </row>
    <row r="612" spans="1:4" hidden="1" x14ac:dyDescent="0.25">
      <c r="A612" s="6" t="s">
        <v>14</v>
      </c>
      <c r="B612" s="1">
        <f>+[31]CONSOLIDADO1!$C$52+[31]CONSOLIDADO1!$D$52+[31]CONSOLIDADO1!$E$52+[31]CONSOLIDADO1!$F$52</f>
        <v>26618670</v>
      </c>
      <c r="C612" s="4"/>
      <c r="D612" s="7">
        <v>45716</v>
      </c>
    </row>
    <row r="613" spans="1:4" hidden="1" x14ac:dyDescent="0.25">
      <c r="A613" s="6" t="s">
        <v>0</v>
      </c>
      <c r="B613" s="1">
        <f>+[31]CONSOLIDADO1!$I$52+[31]CONSOLIDADO1!$J$52</f>
        <v>1083450</v>
      </c>
      <c r="C613" s="4"/>
      <c r="D613" s="7">
        <v>45716</v>
      </c>
    </row>
    <row r="614" spans="1:4" hidden="1" x14ac:dyDescent="0.25">
      <c r="A614" s="6" t="s">
        <v>1</v>
      </c>
      <c r="B614" s="1">
        <v>0</v>
      </c>
      <c r="C614" s="4"/>
      <c r="D614" s="7">
        <v>45716</v>
      </c>
    </row>
    <row r="615" spans="1:4" hidden="1" x14ac:dyDescent="0.25">
      <c r="A615" s="6" t="s">
        <v>2</v>
      </c>
      <c r="B615" s="1">
        <f>+[31]CONSOLIDADO1!$K$52</f>
        <v>106920</v>
      </c>
      <c r="C615" s="4"/>
      <c r="D615" s="7">
        <v>45716</v>
      </c>
    </row>
    <row r="616" spans="1:4" hidden="1" x14ac:dyDescent="0.25">
      <c r="A616" s="6" t="s">
        <v>3</v>
      </c>
      <c r="B616" s="1">
        <v>0</v>
      </c>
      <c r="C616" s="4"/>
      <c r="D616" s="7">
        <v>45716</v>
      </c>
    </row>
    <row r="617" spans="1:4" hidden="1" x14ac:dyDescent="0.25">
      <c r="A617" s="6" t="s">
        <v>4</v>
      </c>
      <c r="B617" s="1">
        <f>+[31]CONSOLIDADO1!$L$52</f>
        <v>551450</v>
      </c>
      <c r="C617" s="4"/>
      <c r="D617" s="7">
        <v>45716</v>
      </c>
    </row>
    <row r="618" spans="1:4" hidden="1" x14ac:dyDescent="0.25">
      <c r="A618" s="6" t="str">
        <f>+[11]CONSOLIDADO!$N$1</f>
        <v>TURNO</v>
      </c>
      <c r="B618" s="1">
        <f>+[31]CONSOLIDADO1!$N$52</f>
        <v>1434400</v>
      </c>
      <c r="C618" s="4"/>
      <c r="D618" s="7">
        <v>45716</v>
      </c>
    </row>
    <row r="619" spans="1:4" hidden="1" x14ac:dyDescent="0.25">
      <c r="A619" s="6" t="s">
        <v>47</v>
      </c>
      <c r="B619" s="1">
        <f>+[31]CONSOLIDADO1!$W$52</f>
        <v>588000</v>
      </c>
      <c r="C619" s="4"/>
      <c r="D619" s="7">
        <v>45716</v>
      </c>
    </row>
    <row r="620" spans="1:4" hidden="1" x14ac:dyDescent="0.25">
      <c r="A620" s="6" t="s">
        <v>48</v>
      </c>
      <c r="B620" s="1">
        <f>+[31]CONSOLIDADO1!$X$52</f>
        <v>0</v>
      </c>
      <c r="C620" s="4"/>
      <c r="D620" s="7">
        <v>45716</v>
      </c>
    </row>
    <row r="621" spans="1:4" x14ac:dyDescent="0.25">
      <c r="A621" s="6" t="s">
        <v>49</v>
      </c>
      <c r="B621" s="1">
        <f>+[31]CONSOLIDADO1!$Y$52</f>
        <v>219977.99999999997</v>
      </c>
      <c r="C621" s="4"/>
      <c r="D621" s="7">
        <v>45716</v>
      </c>
    </row>
    <row r="622" spans="1:4" hidden="1" x14ac:dyDescent="0.25">
      <c r="A622" s="6" t="str">
        <f>+[11]CONSOLIDADO!$T$1</f>
        <v>coches guayados</v>
      </c>
      <c r="B622" s="1">
        <f>+[31]CONSOLIDADO1!$AA$52</f>
        <v>2257500</v>
      </c>
      <c r="C622" s="4"/>
      <c r="D622" s="7">
        <v>45716</v>
      </c>
    </row>
    <row r="623" spans="1:4" hidden="1" x14ac:dyDescent="0.25">
      <c r="A623" s="6" t="str">
        <f>+[11]CONSOLIDADO!$W$1</f>
        <v>metro despate</v>
      </c>
      <c r="B623" s="1">
        <f>+[31]CONSOLIDADO1!$M$52</f>
        <v>1076000</v>
      </c>
      <c r="C623" s="4"/>
      <c r="D623" s="7">
        <v>45716</v>
      </c>
    </row>
    <row r="624" spans="1:4" hidden="1" x14ac:dyDescent="0.25">
      <c r="A624" s="6" t="str">
        <f>+[11]CONSOLIDADO!$X$1</f>
        <v>ARCO DE ACERO</v>
      </c>
      <c r="B624" s="1">
        <v>0</v>
      </c>
      <c r="C624" s="4"/>
      <c r="D624" s="7">
        <v>45716</v>
      </c>
    </row>
    <row r="625" spans="1:4" hidden="1" x14ac:dyDescent="0.25">
      <c r="A625" s="6" t="s">
        <v>21</v>
      </c>
      <c r="B625" s="1">
        <f>+[31]CONSOLIDADO1!$AL$9+[31]CONSOLIDADO1!$AL$27</f>
        <v>3211393.3333333335</v>
      </c>
      <c r="C625" s="4"/>
      <c r="D625" s="7">
        <v>45716</v>
      </c>
    </row>
    <row r="626" spans="1:4" hidden="1" x14ac:dyDescent="0.25">
      <c r="A626" s="6" t="s">
        <v>22</v>
      </c>
      <c r="B626" s="1">
        <f>+[31]CONSOLIDADO1!$AL$26+[31]CONSOLIDADO1!$AL$34+[31]CONSOLIDADO1!$AL$36</f>
        <v>2619452</v>
      </c>
      <c r="C626" s="4"/>
      <c r="D626" s="7">
        <v>45716</v>
      </c>
    </row>
    <row r="627" spans="1:4" hidden="1" x14ac:dyDescent="0.25">
      <c r="A627" s="6" t="s">
        <v>33</v>
      </c>
      <c r="B627" s="1">
        <f>+[31]CONSOLIDADO1!$AL$49+[31]CONSOLIDADO1!$AL$50</f>
        <v>2830800</v>
      </c>
      <c r="C627" s="4"/>
      <c r="D627" s="7">
        <v>45716</v>
      </c>
    </row>
    <row r="628" spans="1:4" hidden="1" x14ac:dyDescent="0.25">
      <c r="A628" s="6" t="s">
        <v>23</v>
      </c>
      <c r="B628" s="1">
        <f>+[31]PAJARITA!$G$28</f>
        <v>1269632.8125</v>
      </c>
      <c r="C628" s="4"/>
      <c r="D628" s="7">
        <v>45716</v>
      </c>
    </row>
    <row r="629" spans="1:4" hidden="1" x14ac:dyDescent="0.25">
      <c r="A629" s="6" t="s">
        <v>88</v>
      </c>
      <c r="B629" s="1">
        <v>0</v>
      </c>
      <c r="C629" s="4"/>
      <c r="D629" s="7">
        <v>45716</v>
      </c>
    </row>
    <row r="630" spans="1:4" hidden="1" x14ac:dyDescent="0.25">
      <c r="A630" s="6" t="s">
        <v>79</v>
      </c>
      <c r="B630" s="1">
        <f>+[31]CONSOLIDADO1!$AF$52</f>
        <v>110000</v>
      </c>
      <c r="C630" s="4"/>
      <c r="D630" s="7">
        <v>45716</v>
      </c>
    </row>
    <row r="631" spans="1:4" hidden="1" x14ac:dyDescent="0.25">
      <c r="A631" s="12" t="s">
        <v>92</v>
      </c>
      <c r="B631" s="5">
        <v>895140</v>
      </c>
      <c r="C631" s="13"/>
      <c r="D631" s="7">
        <v>45716</v>
      </c>
    </row>
    <row r="632" spans="1:4" hidden="1" x14ac:dyDescent="0.25">
      <c r="A632" s="6" t="s">
        <v>14</v>
      </c>
      <c r="B632" s="1">
        <f>+[32]CONSOLIDADO1!$C$46+[32]CONSOLIDADO1!$D$46+[32]CONSOLIDADO1!$E$46+[32]CONSOLIDADO1!$F$46</f>
        <v>26338222</v>
      </c>
      <c r="C632" s="4"/>
      <c r="D632" s="7">
        <v>45717</v>
      </c>
    </row>
    <row r="633" spans="1:4" hidden="1" x14ac:dyDescent="0.25">
      <c r="A633" s="6" t="s">
        <v>0</v>
      </c>
      <c r="B633" s="1">
        <f>+[32]CONSOLIDADO1!$I$46+[32]CONSOLIDADO1!$J$46</f>
        <v>1927800</v>
      </c>
      <c r="C633" s="4"/>
      <c r="D633" s="7">
        <v>45717</v>
      </c>
    </row>
    <row r="634" spans="1:4" hidden="1" x14ac:dyDescent="0.25">
      <c r="A634" s="6" t="s">
        <v>1</v>
      </c>
      <c r="B634" s="1">
        <v>14647000</v>
      </c>
      <c r="C634" s="4"/>
      <c r="D634" s="7">
        <v>45717</v>
      </c>
    </row>
    <row r="635" spans="1:4" hidden="1" x14ac:dyDescent="0.25">
      <c r="A635" s="6" t="s">
        <v>2</v>
      </c>
      <c r="B635" s="1">
        <f>+[32]CONSOLIDADO1!$K$46</f>
        <v>188190</v>
      </c>
      <c r="C635" s="4"/>
      <c r="D635" s="7">
        <v>45717</v>
      </c>
    </row>
    <row r="636" spans="1:4" hidden="1" x14ac:dyDescent="0.25">
      <c r="A636" s="6" t="s">
        <v>3</v>
      </c>
      <c r="B636" s="1">
        <v>0</v>
      </c>
      <c r="C636" s="4"/>
      <c r="D636" s="7">
        <v>45717</v>
      </c>
    </row>
    <row r="637" spans="1:4" hidden="1" x14ac:dyDescent="0.25">
      <c r="A637" s="6" t="s">
        <v>4</v>
      </c>
      <c r="B637" s="1">
        <f>+[32]CONSOLIDADO1!$L$46</f>
        <v>468700</v>
      </c>
      <c r="C637" s="4"/>
      <c r="D637" s="7">
        <v>45717</v>
      </c>
    </row>
    <row r="638" spans="1:4" hidden="1" x14ac:dyDescent="0.25">
      <c r="A638" s="6" t="str">
        <f>+[11]CONSOLIDADO!$N$1</f>
        <v>TURNO</v>
      </c>
      <c r="B638" s="1">
        <f>+[32]CONSOLIDADO1!$N$46</f>
        <v>2860000</v>
      </c>
      <c r="C638" s="4"/>
      <c r="D638" s="7">
        <v>45717</v>
      </c>
    </row>
    <row r="639" spans="1:4" hidden="1" x14ac:dyDescent="0.25">
      <c r="A639" s="6" t="s">
        <v>47</v>
      </c>
      <c r="B639" s="1">
        <f>+[32]CONSOLIDADO1!$W$46</f>
        <v>1576000</v>
      </c>
      <c r="C639" s="4"/>
      <c r="D639" s="7">
        <v>45717</v>
      </c>
    </row>
    <row r="640" spans="1:4" hidden="1" x14ac:dyDescent="0.25">
      <c r="A640" s="6" t="s">
        <v>48</v>
      </c>
      <c r="B640" s="1">
        <f>+[32]CONSOLIDADO1!$X$46</f>
        <v>0</v>
      </c>
      <c r="C640" s="4"/>
      <c r="D640" s="7">
        <v>45717</v>
      </c>
    </row>
    <row r="641" spans="1:4" x14ac:dyDescent="0.25">
      <c r="A641" s="6" t="s">
        <v>49</v>
      </c>
      <c r="B641" s="1">
        <f>+[32]CONSOLIDADO1!$Y$46</f>
        <v>116250</v>
      </c>
      <c r="C641" s="4"/>
      <c r="D641" s="7">
        <v>45717</v>
      </c>
    </row>
    <row r="642" spans="1:4" hidden="1" x14ac:dyDescent="0.25">
      <c r="A642" s="6" t="str">
        <f>+[11]CONSOLIDADO!$T$1</f>
        <v>coches guayados</v>
      </c>
      <c r="B642" s="1">
        <f>+[32]CONSOLIDADO1!$AA$46</f>
        <v>2593500</v>
      </c>
      <c r="C642" s="4"/>
      <c r="D642" s="7">
        <v>45717</v>
      </c>
    </row>
    <row r="643" spans="1:4" hidden="1" x14ac:dyDescent="0.25">
      <c r="A643" s="6" t="str">
        <f>+[11]CONSOLIDADO!$W$1</f>
        <v>metro despate</v>
      </c>
      <c r="B643" s="1">
        <f>+[32]CONSOLIDADO1!$T$46+[32]CONSOLIDADO1!$M$46</f>
        <v>684000</v>
      </c>
      <c r="C643" s="4"/>
      <c r="D643" s="7">
        <v>45717</v>
      </c>
    </row>
    <row r="644" spans="1:4" hidden="1" x14ac:dyDescent="0.25">
      <c r="A644" s="6" t="str">
        <f>+[11]CONSOLIDADO!$X$1</f>
        <v>ARCO DE ACERO</v>
      </c>
      <c r="B644" s="1">
        <v>0</v>
      </c>
      <c r="C644" s="4"/>
      <c r="D644" s="7">
        <v>45717</v>
      </c>
    </row>
    <row r="645" spans="1:4" hidden="1" x14ac:dyDescent="0.25">
      <c r="A645" s="6" t="s">
        <v>21</v>
      </c>
      <c r="B645" s="1">
        <f>+[32]CONSOLIDADO1!$AL$8+[32]CONSOLIDADO1!$AL$23</f>
        <v>3220357.3333333335</v>
      </c>
      <c r="C645" s="4"/>
      <c r="D645" s="7">
        <v>45717</v>
      </c>
    </row>
    <row r="646" spans="1:4" hidden="1" x14ac:dyDescent="0.25">
      <c r="A646" s="6" t="s">
        <v>22</v>
      </c>
      <c r="B646" s="1">
        <f>+[32]CONSOLIDADO1!$AL$22+[32]CONSOLIDADO1!$AL$27+[32]CONSOLIDADO1!$AL$29</f>
        <v>2786051.5</v>
      </c>
      <c r="C646" s="4"/>
      <c r="D646" s="7">
        <v>45717</v>
      </c>
    </row>
    <row r="647" spans="1:4" hidden="1" x14ac:dyDescent="0.25">
      <c r="A647" s="6" t="s">
        <v>33</v>
      </c>
      <c r="B647" s="1">
        <f>+[32]CONSOLIDADO1!$AL$45</f>
        <v>1438400</v>
      </c>
      <c r="C647" s="4"/>
      <c r="D647" s="7">
        <v>45717</v>
      </c>
    </row>
    <row r="648" spans="1:4" hidden="1" x14ac:dyDescent="0.25">
      <c r="A648" s="6" t="s">
        <v>23</v>
      </c>
      <c r="B648" s="1">
        <f>+[32]CONSOLIDADO1!$AL$28</f>
        <v>1299997.96875</v>
      </c>
      <c r="C648" s="4"/>
      <c r="D648" s="7">
        <v>45717</v>
      </c>
    </row>
    <row r="649" spans="1:4" hidden="1" x14ac:dyDescent="0.25">
      <c r="A649" s="6" t="s">
        <v>79</v>
      </c>
      <c r="B649" s="1">
        <f>+[32]CONSOLIDADO1!$AF$46</f>
        <v>300000</v>
      </c>
      <c r="C649" s="4"/>
      <c r="D649" s="7">
        <v>45717</v>
      </c>
    </row>
    <row r="650" spans="1:4" hidden="1" x14ac:dyDescent="0.25">
      <c r="A650" s="12" t="s">
        <v>92</v>
      </c>
      <c r="B650" s="5">
        <v>1153952</v>
      </c>
      <c r="C650" s="13"/>
      <c r="D650" s="7">
        <v>45717</v>
      </c>
    </row>
    <row r="651" spans="1:4" hidden="1" x14ac:dyDescent="0.25">
      <c r="A651" s="6" t="s">
        <v>14</v>
      </c>
      <c r="B651" s="1">
        <f>+[33]CONSOLIDADO1!$C$47+[33]CONSOLIDADO1!$D$47+[33]CONSOLIDADO1!$E$47+[33]CONSOLIDADO1!$F$47</f>
        <v>38109665.5</v>
      </c>
      <c r="C651" s="4"/>
      <c r="D651" s="7">
        <v>45747</v>
      </c>
    </row>
    <row r="652" spans="1:4" hidden="1" x14ac:dyDescent="0.25">
      <c r="A652" s="6" t="s">
        <v>0</v>
      </c>
      <c r="B652" s="1">
        <f>+[33]CONSOLIDADO1!$I$47+[33]CONSOLIDADO1!$J$47</f>
        <v>990300</v>
      </c>
      <c r="C652" s="4"/>
      <c r="D652" s="7">
        <v>45747</v>
      </c>
    </row>
    <row r="653" spans="1:4" hidden="1" x14ac:dyDescent="0.25">
      <c r="A653" s="6" t="s">
        <v>1</v>
      </c>
      <c r="B653" s="1">
        <v>16068000</v>
      </c>
      <c r="C653" s="4"/>
      <c r="D653" s="7">
        <v>45747</v>
      </c>
    </row>
    <row r="654" spans="1:4" hidden="1" x14ac:dyDescent="0.25">
      <c r="A654" s="6" t="s">
        <v>2</v>
      </c>
      <c r="B654" s="1">
        <f>+[33]CONSOLIDADO1!$K$47</f>
        <v>188730</v>
      </c>
      <c r="C654" s="4"/>
      <c r="D654" s="7">
        <v>45747</v>
      </c>
    </row>
    <row r="655" spans="1:4" hidden="1" x14ac:dyDescent="0.25">
      <c r="A655" s="6" t="s">
        <v>3</v>
      </c>
      <c r="B655" s="1">
        <v>0</v>
      </c>
      <c r="C655" s="4"/>
      <c r="D655" s="7">
        <v>45747</v>
      </c>
    </row>
    <row r="656" spans="1:4" hidden="1" x14ac:dyDescent="0.25">
      <c r="A656" s="6" t="s">
        <v>4</v>
      </c>
      <c r="B656" s="1">
        <f>+[33]CONSOLIDADO1!$L$47</f>
        <v>291850</v>
      </c>
      <c r="C656" s="4"/>
      <c r="D656" s="7">
        <v>45747</v>
      </c>
    </row>
    <row r="657" spans="1:4" hidden="1" x14ac:dyDescent="0.25">
      <c r="A657" s="6" t="str">
        <f>+[11]CONSOLIDADO!$N$1</f>
        <v>TURNO</v>
      </c>
      <c r="B657" s="1">
        <f>+[33]CONSOLIDADO1!$N$47</f>
        <v>3496350</v>
      </c>
      <c r="C657" s="4"/>
      <c r="D657" s="7">
        <v>45747</v>
      </c>
    </row>
    <row r="658" spans="1:4" hidden="1" x14ac:dyDescent="0.25">
      <c r="A658" s="6" t="s">
        <v>47</v>
      </c>
      <c r="B658" s="1">
        <f>+[33]CONSOLIDADO1!$W$47</f>
        <v>825000</v>
      </c>
      <c r="C658" s="4"/>
      <c r="D658" s="7">
        <v>45747</v>
      </c>
    </row>
    <row r="659" spans="1:4" hidden="1" x14ac:dyDescent="0.25">
      <c r="A659" s="6" t="s">
        <v>48</v>
      </c>
      <c r="B659" s="1">
        <f>+[33]CONSOLIDADO1!$X$47</f>
        <v>260000</v>
      </c>
      <c r="C659" s="4"/>
      <c r="D659" s="7">
        <v>45747</v>
      </c>
    </row>
    <row r="660" spans="1:4" x14ac:dyDescent="0.25">
      <c r="A660" s="6" t="s">
        <v>49</v>
      </c>
      <c r="B660" s="1">
        <v>0</v>
      </c>
      <c r="C660" s="4"/>
      <c r="D660" s="7">
        <v>45747</v>
      </c>
    </row>
    <row r="661" spans="1:4" hidden="1" x14ac:dyDescent="0.25">
      <c r="A661" s="6" t="str">
        <f>+[11]CONSOLIDADO!$T$1</f>
        <v>coches guayados</v>
      </c>
      <c r="B661" s="1">
        <f>+[33]CONSOLIDADO1!$AA$47</f>
        <v>2831500</v>
      </c>
      <c r="C661" s="4"/>
      <c r="D661" s="7">
        <v>45747</v>
      </c>
    </row>
    <row r="662" spans="1:4" hidden="1" x14ac:dyDescent="0.25">
      <c r="A662" s="6" t="str">
        <f>+[11]CONSOLIDADO!$W$1</f>
        <v>metro despate</v>
      </c>
      <c r="B662" s="1">
        <f>+[33]CONSOLIDADO1!$M$47</f>
        <v>30000</v>
      </c>
      <c r="C662" s="4"/>
      <c r="D662" s="7">
        <v>45747</v>
      </c>
    </row>
    <row r="663" spans="1:4" hidden="1" x14ac:dyDescent="0.25">
      <c r="A663" s="6" t="str">
        <f>+[11]CONSOLIDADO!$X$1</f>
        <v>ARCO DE ACERO</v>
      </c>
      <c r="B663" s="1">
        <v>0</v>
      </c>
      <c r="C663" s="4"/>
      <c r="D663" s="7">
        <v>45747</v>
      </c>
    </row>
    <row r="664" spans="1:4" hidden="1" x14ac:dyDescent="0.25">
      <c r="A664" s="6" t="s">
        <v>21</v>
      </c>
      <c r="B664" s="1">
        <f>+'[33]TOTAL DEFINIT '!$D$24+'[33]TOTAL DEFINIT '!$D$26</f>
        <v>3195399.7916666665</v>
      </c>
      <c r="C664" s="4"/>
      <c r="D664" s="7">
        <v>45747</v>
      </c>
    </row>
    <row r="665" spans="1:4" hidden="1" x14ac:dyDescent="0.25">
      <c r="A665" s="6" t="s">
        <v>22</v>
      </c>
      <c r="B665" s="1">
        <f>+'[33]TOTAL DEFINIT '!$D$42+'[33]TOTAL DEFINIT '!$D$43</f>
        <v>1865618.5</v>
      </c>
      <c r="C665" s="4"/>
      <c r="D665" s="7">
        <v>45747</v>
      </c>
    </row>
    <row r="666" spans="1:4" hidden="1" x14ac:dyDescent="0.25">
      <c r="A666" s="6" t="s">
        <v>33</v>
      </c>
      <c r="B666" s="1">
        <f>+[32]CONSOLIDADO1!$AL$45</f>
        <v>1438400</v>
      </c>
      <c r="C666" s="4"/>
      <c r="D666" s="7">
        <v>45747</v>
      </c>
    </row>
    <row r="667" spans="1:4" hidden="1" x14ac:dyDescent="0.25">
      <c r="A667" s="6" t="s">
        <v>23</v>
      </c>
      <c r="B667" s="1">
        <f>+'[33]TOTAL DEFINIT '!$D$7</f>
        <v>1354507.03125</v>
      </c>
      <c r="C667" s="4"/>
      <c r="D667" s="7">
        <v>45747</v>
      </c>
    </row>
    <row r="668" spans="1:4" hidden="1" x14ac:dyDescent="0.25">
      <c r="A668" s="6" t="s">
        <v>79</v>
      </c>
      <c r="B668" s="1">
        <f>+[33]CONSOLIDADO1!$AF$47+[33]CONSOLIDADO1!$AC$47</f>
        <v>428000</v>
      </c>
      <c r="C668" s="4"/>
      <c r="D668" s="7">
        <v>45747</v>
      </c>
    </row>
    <row r="669" spans="1:4" hidden="1" x14ac:dyDescent="0.25">
      <c r="A669" s="12" t="s">
        <v>92</v>
      </c>
      <c r="B669" s="5">
        <v>1416500</v>
      </c>
      <c r="C669" s="13"/>
      <c r="D669" s="7">
        <v>45747</v>
      </c>
    </row>
    <row r="670" spans="1:4" hidden="1" x14ac:dyDescent="0.25">
      <c r="A670" s="6" t="s">
        <v>14</v>
      </c>
      <c r="B670" s="1">
        <v>35753750</v>
      </c>
      <c r="C670" s="4"/>
      <c r="D670" s="7">
        <v>45748</v>
      </c>
    </row>
    <row r="671" spans="1:4" hidden="1" x14ac:dyDescent="0.25">
      <c r="A671" s="6" t="s">
        <v>0</v>
      </c>
      <c r="B671" s="1">
        <v>1058200</v>
      </c>
      <c r="C671" s="4"/>
      <c r="D671" s="7">
        <v>45748</v>
      </c>
    </row>
    <row r="672" spans="1:4" hidden="1" x14ac:dyDescent="0.25">
      <c r="A672" s="6" t="s">
        <v>1</v>
      </c>
      <c r="B672" s="1">
        <v>15736700</v>
      </c>
      <c r="C672" s="4"/>
      <c r="D672" s="7">
        <v>45748</v>
      </c>
    </row>
    <row r="673" spans="1:4" hidden="1" x14ac:dyDescent="0.25">
      <c r="A673" s="6" t="s">
        <v>2</v>
      </c>
      <c r="B673" s="1">
        <v>106960</v>
      </c>
      <c r="C673" s="4"/>
      <c r="D673" s="7">
        <v>45748</v>
      </c>
    </row>
    <row r="674" spans="1:4" hidden="1" x14ac:dyDescent="0.25">
      <c r="A674" s="6" t="s">
        <v>3</v>
      </c>
      <c r="B674" s="1">
        <v>0</v>
      </c>
      <c r="C674" s="4"/>
      <c r="D674" s="7">
        <v>45748</v>
      </c>
    </row>
    <row r="675" spans="1:4" hidden="1" x14ac:dyDescent="0.25">
      <c r="A675" s="6" t="s">
        <v>4</v>
      </c>
      <c r="B675" s="1">
        <v>526000</v>
      </c>
      <c r="C675" s="4"/>
      <c r="D675" s="7">
        <v>45748</v>
      </c>
    </row>
    <row r="676" spans="1:4" hidden="1" x14ac:dyDescent="0.25">
      <c r="A676" s="6" t="str">
        <f>+[11]CONSOLIDADO!$N$1</f>
        <v>TURNO</v>
      </c>
      <c r="B676" s="1">
        <v>1112600</v>
      </c>
      <c r="C676" s="4"/>
      <c r="D676" s="7">
        <v>45748</v>
      </c>
    </row>
    <row r="677" spans="1:4" hidden="1" x14ac:dyDescent="0.25">
      <c r="A677" s="6" t="s">
        <v>47</v>
      </c>
      <c r="B677" s="1">
        <f>+[32]CONSOLIDADO1!$W$46</f>
        <v>1576000</v>
      </c>
      <c r="C677" s="4"/>
      <c r="D677" s="7">
        <v>45748</v>
      </c>
    </row>
    <row r="678" spans="1:4" hidden="1" x14ac:dyDescent="0.25">
      <c r="A678" s="6" t="s">
        <v>48</v>
      </c>
      <c r="B678" s="1">
        <f>+[32]CONSOLIDADO1!$X$46</f>
        <v>0</v>
      </c>
      <c r="C678" s="4"/>
      <c r="D678" s="7">
        <v>45748</v>
      </c>
    </row>
    <row r="679" spans="1:4" x14ac:dyDescent="0.25">
      <c r="A679" s="6" t="s">
        <v>49</v>
      </c>
      <c r="B679" s="1">
        <f>+[32]CONSOLIDADO1!$Y$46</f>
        <v>116250</v>
      </c>
      <c r="C679" s="4"/>
      <c r="D679" s="7">
        <v>45748</v>
      </c>
    </row>
    <row r="680" spans="1:4" hidden="1" x14ac:dyDescent="0.25">
      <c r="A680" s="6" t="str">
        <f>+[11]CONSOLIDADO!$T$1</f>
        <v>coches guayados</v>
      </c>
      <c r="B680" s="1">
        <f>+[32]CONSOLIDADO1!$AA$46</f>
        <v>2593500</v>
      </c>
      <c r="C680" s="4"/>
      <c r="D680" s="7">
        <v>45748</v>
      </c>
    </row>
    <row r="681" spans="1:4" hidden="1" x14ac:dyDescent="0.25">
      <c r="A681" s="6" t="str">
        <f>+[11]CONSOLIDADO!$W$1</f>
        <v>metro despate</v>
      </c>
      <c r="B681" s="1">
        <f>+[32]CONSOLIDADO1!$T$46+[32]CONSOLIDADO1!$M$46</f>
        <v>684000</v>
      </c>
      <c r="C681" s="4"/>
      <c r="D681" s="7">
        <v>45748</v>
      </c>
    </row>
    <row r="682" spans="1:4" hidden="1" x14ac:dyDescent="0.25">
      <c r="A682" s="6" t="str">
        <f>+[11]CONSOLIDADO!$X$1</f>
        <v>ARCO DE ACERO</v>
      </c>
      <c r="B682" s="1">
        <v>0</v>
      </c>
      <c r="C682" s="4"/>
      <c r="D682" s="7">
        <v>45748</v>
      </c>
    </row>
    <row r="683" spans="1:4" hidden="1" x14ac:dyDescent="0.25">
      <c r="A683" s="6" t="s">
        <v>21</v>
      </c>
      <c r="B683" s="1">
        <f>+[32]CONSOLIDADO1!$AL$8+[32]CONSOLIDADO1!$AL$23</f>
        <v>3220357.3333333335</v>
      </c>
      <c r="C683" s="4"/>
      <c r="D683" s="7">
        <v>45748</v>
      </c>
    </row>
    <row r="684" spans="1:4" hidden="1" x14ac:dyDescent="0.25">
      <c r="A684" s="6" t="s">
        <v>22</v>
      </c>
      <c r="B684" s="1">
        <f>+[32]CONSOLIDADO1!$AL$22+[32]CONSOLIDADO1!$AL$27+[32]CONSOLIDADO1!$AL$29</f>
        <v>2786051.5</v>
      </c>
      <c r="C684" s="4"/>
      <c r="D684" s="7">
        <v>45748</v>
      </c>
    </row>
    <row r="685" spans="1:4" hidden="1" x14ac:dyDescent="0.25">
      <c r="A685" s="6" t="s">
        <v>33</v>
      </c>
      <c r="B685" s="1">
        <f>+[32]CONSOLIDADO1!$AL$45</f>
        <v>1438400</v>
      </c>
      <c r="C685" s="4"/>
      <c r="D685" s="7">
        <v>45748</v>
      </c>
    </row>
    <row r="686" spans="1:4" hidden="1" x14ac:dyDescent="0.25">
      <c r="A686" s="6" t="s">
        <v>23</v>
      </c>
      <c r="B686" s="1">
        <f>+[32]CONSOLIDADO1!$AL$28</f>
        <v>1299997.96875</v>
      </c>
      <c r="C686" s="4"/>
      <c r="D686" s="7">
        <v>45748</v>
      </c>
    </row>
    <row r="687" spans="1:4" hidden="1" x14ac:dyDescent="0.25">
      <c r="A687" s="6" t="s">
        <v>79</v>
      </c>
      <c r="B687" s="1">
        <f>+[32]CONSOLIDADO1!$AF$46</f>
        <v>300000</v>
      </c>
      <c r="C687" s="4"/>
      <c r="D687" s="7">
        <v>45748</v>
      </c>
    </row>
    <row r="688" spans="1:4" hidden="1" x14ac:dyDescent="0.25">
      <c r="A688" s="12" t="s">
        <v>92</v>
      </c>
      <c r="B688" s="5">
        <v>1153952</v>
      </c>
      <c r="C688" s="13"/>
      <c r="D688" s="7">
        <v>45748</v>
      </c>
    </row>
    <row r="689" spans="1:4" hidden="1" x14ac:dyDescent="0.25">
      <c r="A689" s="6" t="s">
        <v>14</v>
      </c>
      <c r="B689" s="1">
        <f>+[34]CONSOLIDADO1!$C$52+[34]CONSOLIDADO1!$D$52+[34]CONSOLIDADO1!$E$52</f>
        <v>37195878.5</v>
      </c>
      <c r="C689" s="4"/>
      <c r="D689" s="7">
        <v>45778</v>
      </c>
    </row>
    <row r="690" spans="1:4" hidden="1" x14ac:dyDescent="0.25">
      <c r="A690" s="6" t="s">
        <v>0</v>
      </c>
      <c r="B690" s="1">
        <f>+[34]CONSOLIDADO1!$I$52+[34]CONSOLIDADO1!$J$52</f>
        <v>1803360</v>
      </c>
      <c r="C690" s="4"/>
      <c r="D690" s="7">
        <v>45778</v>
      </c>
    </row>
    <row r="691" spans="1:4" hidden="1" x14ac:dyDescent="0.25">
      <c r="A691" s="6" t="s">
        <v>1</v>
      </c>
      <c r="B691" s="1">
        <f>+[34]ALIMENT!$G$81+[34]ALIMENT!$G$85</f>
        <v>12557375</v>
      </c>
      <c r="C691" s="4"/>
      <c r="D691" s="7">
        <v>45778</v>
      </c>
    </row>
    <row r="692" spans="1:4" hidden="1" x14ac:dyDescent="0.25">
      <c r="A692" s="6" t="s">
        <v>2</v>
      </c>
      <c r="B692" s="1">
        <f>+[34]CONSOLIDADO1!$K$52</f>
        <v>431250</v>
      </c>
      <c r="C692" s="4"/>
      <c r="D692" s="7">
        <v>45778</v>
      </c>
    </row>
    <row r="693" spans="1:4" hidden="1" x14ac:dyDescent="0.25">
      <c r="A693" s="6" t="s">
        <v>3</v>
      </c>
      <c r="B693" s="1">
        <f>+[34]CONSOLIDADO1!$S$52</f>
        <v>76200</v>
      </c>
      <c r="C693" s="4"/>
      <c r="D693" s="7">
        <v>45778</v>
      </c>
    </row>
    <row r="694" spans="1:4" hidden="1" x14ac:dyDescent="0.25">
      <c r="A694" s="6" t="s">
        <v>4</v>
      </c>
      <c r="B694" s="1">
        <f>+[34]CONSOLIDADO1!$L$52</f>
        <v>1263000</v>
      </c>
      <c r="C694" s="4"/>
      <c r="D694" s="7">
        <v>45778</v>
      </c>
    </row>
    <row r="695" spans="1:4" hidden="1" x14ac:dyDescent="0.25">
      <c r="A695" s="6" t="str">
        <f>+[11]CONSOLIDADO!$N$1</f>
        <v>TURNO</v>
      </c>
      <c r="B695" s="1">
        <f>+[34]CONSOLIDADO1!$N$52</f>
        <v>1579050</v>
      </c>
      <c r="C695" s="4"/>
      <c r="D695" s="7">
        <v>45778</v>
      </c>
    </row>
    <row r="696" spans="1:4" hidden="1" x14ac:dyDescent="0.25">
      <c r="A696" s="6" t="s">
        <v>47</v>
      </c>
      <c r="B696" s="1">
        <f>+[34]CONSOLIDADO1!$W$52</f>
        <v>2591000</v>
      </c>
      <c r="C696" s="4"/>
      <c r="D696" s="7">
        <v>45778</v>
      </c>
    </row>
    <row r="697" spans="1:4" hidden="1" x14ac:dyDescent="0.25">
      <c r="A697" s="6" t="s">
        <v>48</v>
      </c>
      <c r="B697" s="1">
        <f>+[34]CONSOLIDADO1!$X$52</f>
        <v>0</v>
      </c>
      <c r="C697" s="4"/>
      <c r="D697" s="7">
        <v>45778</v>
      </c>
    </row>
    <row r="698" spans="1:4" x14ac:dyDescent="0.25">
      <c r="A698" s="6" t="s">
        <v>49</v>
      </c>
      <c r="B698" s="1">
        <f>+[34]CONSOLIDADO1!$Y$52</f>
        <v>299500</v>
      </c>
      <c r="C698" s="4"/>
      <c r="D698" s="7">
        <v>45778</v>
      </c>
    </row>
    <row r="699" spans="1:4" hidden="1" x14ac:dyDescent="0.25">
      <c r="A699" s="6" t="str">
        <f>+[11]CONSOLIDADO!$T$1</f>
        <v>coches guayados</v>
      </c>
      <c r="B699" s="1">
        <f>+[34]CONSOLIDADO1!$AA$52</f>
        <v>2915250</v>
      </c>
      <c r="C699" s="4"/>
      <c r="D699" s="7">
        <v>45778</v>
      </c>
    </row>
    <row r="700" spans="1:4" hidden="1" x14ac:dyDescent="0.25">
      <c r="A700" s="6" t="str">
        <f>+[11]CONSOLIDADO!$W$1</f>
        <v>metro despate</v>
      </c>
      <c r="B700" s="1">
        <f>+[34]CONSOLIDADO1!$M$52</f>
        <v>676260</v>
      </c>
      <c r="C700" s="4"/>
      <c r="D700" s="7">
        <v>45778</v>
      </c>
    </row>
    <row r="701" spans="1:4" hidden="1" x14ac:dyDescent="0.25">
      <c r="A701" s="6" t="str">
        <f>+[11]CONSOLIDADO!$X$1</f>
        <v>ARCO DE ACERO</v>
      </c>
      <c r="B701" s="1">
        <f>+[34]CONSOLIDADO1!$AE$52</f>
        <v>0</v>
      </c>
      <c r="C701" s="4"/>
      <c r="D701" s="7">
        <v>45778</v>
      </c>
    </row>
    <row r="702" spans="1:4" hidden="1" x14ac:dyDescent="0.25">
      <c r="A702" s="6" t="s">
        <v>21</v>
      </c>
      <c r="B702" s="1">
        <f>+[34]CONSOLIDADO1!$AL$20+[34]CONSOLIDADO1!$AL$24</f>
        <v>3046229.3333333335</v>
      </c>
      <c r="C702" s="4"/>
      <c r="D702" s="7">
        <v>45778</v>
      </c>
    </row>
    <row r="703" spans="1:4" hidden="1" x14ac:dyDescent="0.25">
      <c r="A703" s="6" t="s">
        <v>22</v>
      </c>
      <c r="B703" s="1">
        <f>+[34]CONSOLIDADO1!$AL$19+[34]CONSOLIDADO1!$AL$35+[34]CONSOLIDADO1!$AL$49</f>
        <v>2663062.5</v>
      </c>
      <c r="C703" s="4"/>
      <c r="D703" s="7">
        <v>45778</v>
      </c>
    </row>
    <row r="704" spans="1:4" hidden="1" x14ac:dyDescent="0.25">
      <c r="A704" s="6" t="s">
        <v>33</v>
      </c>
      <c r="B704" s="1">
        <f>+[32]CONSOLIDADO1!$AL$45</f>
        <v>1438400</v>
      </c>
      <c r="C704" s="4"/>
      <c r="D704" s="7">
        <v>45778</v>
      </c>
    </row>
    <row r="705" spans="1:4" hidden="1" x14ac:dyDescent="0.25">
      <c r="A705" s="6" t="s">
        <v>23</v>
      </c>
      <c r="B705" s="1">
        <f>+[34]CONSOLIDADO1!$AL$23</f>
        <v>1421307.03125</v>
      </c>
      <c r="C705" s="4"/>
      <c r="D705" s="7">
        <v>45778</v>
      </c>
    </row>
    <row r="706" spans="1:4" hidden="1" x14ac:dyDescent="0.25">
      <c r="A706" s="6" t="s">
        <v>79</v>
      </c>
      <c r="B706" s="1">
        <f>+[34]CONSOLIDADO1!$AF$52</f>
        <v>30000</v>
      </c>
      <c r="C706" s="4"/>
      <c r="D706" s="7">
        <v>45778</v>
      </c>
    </row>
    <row r="707" spans="1:4" hidden="1" x14ac:dyDescent="0.25">
      <c r="A707" s="12" t="s">
        <v>92</v>
      </c>
      <c r="B707" s="5">
        <f>+[34]CONSOLIDADO1!$O$52+[34]CONSOLIDADO1!$P$52+[34]CONSOLIDADO1!$Q$52+[34]CONSOLIDADO1!$R$52</f>
        <v>4087374</v>
      </c>
      <c r="C707" s="13"/>
      <c r="D707" s="7">
        <v>45778</v>
      </c>
    </row>
    <row r="708" spans="1:4" hidden="1" x14ac:dyDescent="0.25">
      <c r="A708" s="6" t="s">
        <v>14</v>
      </c>
      <c r="B708" s="1">
        <f>+[35]CONSOLIDADO1!$C$56+[35]CONSOLIDADO1!$D$56+[35]CONSOLIDADO1!$F$56</f>
        <v>43988588</v>
      </c>
      <c r="C708" s="4"/>
      <c r="D708" s="7">
        <v>45807</v>
      </c>
    </row>
    <row r="709" spans="1:4" hidden="1" x14ac:dyDescent="0.25">
      <c r="A709" s="6" t="s">
        <v>0</v>
      </c>
      <c r="B709" s="1">
        <f>+[35]CONSOLIDADO1!$I$56+[35]CONSOLIDADO1!$J$56+[35]CONSOLIDADO1!$AG$56</f>
        <v>2699370</v>
      </c>
      <c r="C709" s="4"/>
      <c r="D709" s="7">
        <v>45807</v>
      </c>
    </row>
    <row r="710" spans="1:4" hidden="1" x14ac:dyDescent="0.25">
      <c r="A710" s="6" t="s">
        <v>1</v>
      </c>
      <c r="B710" s="1">
        <f>+[35]ALIMENT!$G$82+[35]ALIMENT!$G$86</f>
        <v>15131000</v>
      </c>
      <c r="C710" s="4"/>
      <c r="D710" s="7">
        <v>45807</v>
      </c>
    </row>
    <row r="711" spans="1:4" hidden="1" x14ac:dyDescent="0.25">
      <c r="A711" s="6" t="s">
        <v>2</v>
      </c>
      <c r="B711" s="1">
        <f>+[35]CONSOLIDADO1!$K$56</f>
        <v>283750</v>
      </c>
      <c r="C711" s="4"/>
      <c r="D711" s="7">
        <v>45807</v>
      </c>
    </row>
    <row r="712" spans="1:4" hidden="1" x14ac:dyDescent="0.25">
      <c r="A712" s="6" t="s">
        <v>3</v>
      </c>
      <c r="B712" s="1">
        <f>+[35]CONSOLIDADO1!$S$56</f>
        <v>0</v>
      </c>
      <c r="C712" s="4"/>
      <c r="D712" s="7">
        <v>45807</v>
      </c>
    </row>
    <row r="713" spans="1:4" hidden="1" x14ac:dyDescent="0.25">
      <c r="A713" s="6" t="s">
        <v>4</v>
      </c>
      <c r="B713" s="1">
        <f>+[35]CONSOLIDADO1!$L$56</f>
        <v>625800</v>
      </c>
      <c r="C713" s="4"/>
      <c r="D713" s="7">
        <v>45807</v>
      </c>
    </row>
    <row r="714" spans="1:4" hidden="1" x14ac:dyDescent="0.25">
      <c r="A714" s="6" t="str">
        <f>+[11]CONSOLIDADO!$N$1</f>
        <v>TURNO</v>
      </c>
      <c r="B714" s="1">
        <f>+[35]CONSOLIDADO1!$N$56</f>
        <v>2174700</v>
      </c>
      <c r="C714" s="4"/>
      <c r="D714" s="7">
        <v>45807</v>
      </c>
    </row>
    <row r="715" spans="1:4" hidden="1" x14ac:dyDescent="0.25">
      <c r="A715" s="6" t="s">
        <v>47</v>
      </c>
      <c r="B715" s="1">
        <f>+[35]CONSOLIDADO1!$W$56</f>
        <v>6265500.0000000009</v>
      </c>
      <c r="C715" s="4"/>
      <c r="D715" s="7">
        <v>45807</v>
      </c>
    </row>
    <row r="716" spans="1:4" hidden="1" x14ac:dyDescent="0.25">
      <c r="A716" s="6" t="s">
        <v>48</v>
      </c>
      <c r="B716" s="1">
        <f>+[35]CONSOLIDADO1!$X$56</f>
        <v>0</v>
      </c>
      <c r="C716" s="4"/>
      <c r="D716" s="7">
        <v>45807</v>
      </c>
    </row>
    <row r="717" spans="1:4" x14ac:dyDescent="0.25">
      <c r="A717" s="6" t="s">
        <v>49</v>
      </c>
      <c r="B717" s="1">
        <f>+[35]CONSOLIDADO1!$Y$56</f>
        <v>329993.99999999994</v>
      </c>
      <c r="C717" s="4"/>
      <c r="D717" s="7">
        <v>45807</v>
      </c>
    </row>
    <row r="718" spans="1:4" hidden="1" x14ac:dyDescent="0.25">
      <c r="A718" s="6" t="str">
        <f>+[11]CONSOLIDADO!$T$1</f>
        <v>coches guayados</v>
      </c>
      <c r="B718" s="1">
        <f>+[35]CONSOLIDADO1!$AA$56</f>
        <v>3549000</v>
      </c>
      <c r="C718" s="4"/>
      <c r="D718" s="7">
        <v>45807</v>
      </c>
    </row>
    <row r="719" spans="1:4" hidden="1" x14ac:dyDescent="0.25">
      <c r="A719" s="6" t="str">
        <f>+[11]CONSOLIDADO!$W$1</f>
        <v>metro despate</v>
      </c>
      <c r="B719" s="1">
        <f>+[35]CONSOLIDADO1!$M$56</f>
        <v>0</v>
      </c>
      <c r="C719" s="4"/>
      <c r="D719" s="7">
        <v>45807</v>
      </c>
    </row>
    <row r="720" spans="1:4" hidden="1" x14ac:dyDescent="0.25">
      <c r="A720" s="6" t="str">
        <f>+[11]CONSOLIDADO!$X$1</f>
        <v>ARCO DE ACERO</v>
      </c>
      <c r="B720" s="1">
        <f>+[34]CONSOLIDADO1!$AE$52</f>
        <v>0</v>
      </c>
      <c r="C720" s="4"/>
      <c r="D720" s="7">
        <v>45807</v>
      </c>
    </row>
    <row r="721" spans="1:4" hidden="1" x14ac:dyDescent="0.25">
      <c r="A721" s="6" t="s">
        <v>21</v>
      </c>
      <c r="B721" s="1">
        <f>+[35]CONSOLIDADO1!$AL$19+[35]CONSOLIDADO1!$AL$23+[35]CONSOLIDADO1!$AL$51</f>
        <v>4228162.666666667</v>
      </c>
      <c r="C721" s="4"/>
      <c r="D721" s="7">
        <v>45807</v>
      </c>
    </row>
    <row r="722" spans="1:4" hidden="1" x14ac:dyDescent="0.25">
      <c r="A722" s="6" t="s">
        <v>22</v>
      </c>
      <c r="B722" s="1">
        <f>+[35]CONSOLIDADO1!$AL$18+[35]CONSOLIDADO1!$AL$34+[35]CONSOLIDADO1!$AL$53</f>
        <v>2463928.5</v>
      </c>
      <c r="C722" s="4"/>
      <c r="D722" s="7">
        <v>45807</v>
      </c>
    </row>
    <row r="723" spans="1:4" hidden="1" x14ac:dyDescent="0.25">
      <c r="A723" s="6" t="s">
        <v>33</v>
      </c>
      <c r="B723" s="1">
        <f>+[32]CONSOLIDADO1!$AL$45</f>
        <v>1438400</v>
      </c>
      <c r="C723" s="4"/>
      <c r="D723" s="7">
        <v>45807</v>
      </c>
    </row>
    <row r="724" spans="1:4" hidden="1" x14ac:dyDescent="0.25">
      <c r="A724" s="6" t="s">
        <v>23</v>
      </c>
      <c r="B724" s="1">
        <f>+[35]CONSOLIDADO1!$AL$22</f>
        <v>1409541.875</v>
      </c>
      <c r="C724" s="4"/>
      <c r="D724" s="7">
        <v>45807</v>
      </c>
    </row>
    <row r="725" spans="1:4" hidden="1" x14ac:dyDescent="0.25">
      <c r="A725" s="6" t="s">
        <v>79</v>
      </c>
      <c r="B725" s="1">
        <f>+[35]CONSOLIDADO1!$AF$56</f>
        <v>70000</v>
      </c>
      <c r="C725" s="4"/>
      <c r="D725" s="7">
        <v>45807</v>
      </c>
    </row>
    <row r="726" spans="1:4" hidden="1" x14ac:dyDescent="0.25">
      <c r="A726" s="12" t="s">
        <v>92</v>
      </c>
      <c r="B726" s="5">
        <f>+[35]CONSOLIDADO1!$O$56+[35]CONSOLIDADO1!$P$56+[35]CONSOLIDADO1!$Q$56+[35]CONSOLIDADO1!$R$56</f>
        <v>4707772</v>
      </c>
      <c r="C726" s="13"/>
      <c r="D726" s="7">
        <v>45807</v>
      </c>
    </row>
    <row r="727" spans="1:4" hidden="1" x14ac:dyDescent="0.25">
      <c r="A727" s="6" t="s">
        <v>14</v>
      </c>
      <c r="B727" s="1">
        <f>+[36]CONSOLIDADO1!$C$54+[36]CONSOLIDADO1!$D$54+[36]CONSOLIDADO1!$F$54</f>
        <v>31522185</v>
      </c>
      <c r="C727" s="4"/>
      <c r="D727" s="7">
        <v>45809</v>
      </c>
    </row>
    <row r="728" spans="1:4" hidden="1" x14ac:dyDescent="0.25">
      <c r="A728" s="6" t="s">
        <v>0</v>
      </c>
      <c r="B728" s="1">
        <f>+[36]CONSOLIDADO1!$I$54+[36]CONSOLIDADO1!$J$54+[36]CONSOLIDADO1!$AG$54</f>
        <v>2512940</v>
      </c>
      <c r="C728" s="4"/>
      <c r="D728" s="7">
        <v>45809</v>
      </c>
    </row>
    <row r="729" spans="1:4" hidden="1" x14ac:dyDescent="0.25">
      <c r="A729" s="6" t="s">
        <v>1</v>
      </c>
      <c r="B729" s="1">
        <f>+[36]ALIMENT!$G$80+[36]ALIMENT!$G$84</f>
        <v>14127712.5</v>
      </c>
      <c r="C729" s="4"/>
      <c r="D729" s="7">
        <v>45809</v>
      </c>
    </row>
    <row r="730" spans="1:4" hidden="1" x14ac:dyDescent="0.25">
      <c r="A730" s="6" t="s">
        <v>2</v>
      </c>
      <c r="B730" s="1">
        <f>+[36]CONSOLIDADO1!$K$54</f>
        <v>188475</v>
      </c>
      <c r="C730" s="4"/>
      <c r="D730" s="7">
        <v>45809</v>
      </c>
    </row>
    <row r="731" spans="1:4" hidden="1" x14ac:dyDescent="0.25">
      <c r="A731" s="6" t="s">
        <v>3</v>
      </c>
      <c r="B731" s="1">
        <f>+[36]CONSOLIDADO1!$S$54</f>
        <v>0</v>
      </c>
      <c r="C731" s="4"/>
      <c r="D731" s="7">
        <v>45809</v>
      </c>
    </row>
    <row r="732" spans="1:4" hidden="1" x14ac:dyDescent="0.25">
      <c r="A732" s="6" t="s">
        <v>4</v>
      </c>
      <c r="B732" s="1">
        <f>+[36]CONSOLIDADO1!$L$54</f>
        <v>718800</v>
      </c>
      <c r="C732" s="4"/>
      <c r="D732" s="7">
        <v>45809</v>
      </c>
    </row>
    <row r="733" spans="1:4" hidden="1" x14ac:dyDescent="0.25">
      <c r="A733" s="6" t="str">
        <f>+[11]CONSOLIDADO!$N$1</f>
        <v>TURNO</v>
      </c>
      <c r="B733" s="1">
        <f>+[36]CONSOLIDADO1!$N$54</f>
        <v>1626900</v>
      </c>
      <c r="C733" s="4"/>
      <c r="D733" s="7">
        <v>45809</v>
      </c>
    </row>
    <row r="734" spans="1:4" hidden="1" x14ac:dyDescent="0.25">
      <c r="A734" s="6" t="s">
        <v>47</v>
      </c>
      <c r="B734" s="1">
        <f>+[36]CONSOLIDADO1!$W$54</f>
        <v>5261000</v>
      </c>
      <c r="C734" s="4"/>
      <c r="D734" s="7">
        <v>45809</v>
      </c>
    </row>
    <row r="735" spans="1:4" hidden="1" x14ac:dyDescent="0.25">
      <c r="A735" s="6" t="s">
        <v>48</v>
      </c>
      <c r="B735" s="1">
        <f>+[35]CONSOLIDADO1!$X$56</f>
        <v>0</v>
      </c>
      <c r="C735" s="4"/>
      <c r="D735" s="7">
        <v>45809</v>
      </c>
    </row>
    <row r="736" spans="1:4" x14ac:dyDescent="0.25">
      <c r="A736" s="6" t="s">
        <v>49</v>
      </c>
      <c r="B736" s="1">
        <f>+[36]CONSOLIDADO1!$Y$54</f>
        <v>341730</v>
      </c>
      <c r="C736" s="4"/>
      <c r="D736" s="7">
        <v>45809</v>
      </c>
    </row>
    <row r="737" spans="1:4" hidden="1" x14ac:dyDescent="0.25">
      <c r="A737" s="6" t="str">
        <f>+[11]CONSOLIDADO!$T$1</f>
        <v>coches guayados</v>
      </c>
      <c r="B737" s="1">
        <f>+[36]CONSOLIDADO1!$AA$54</f>
        <v>2516750</v>
      </c>
      <c r="C737" s="4"/>
      <c r="D737" s="7">
        <v>45809</v>
      </c>
    </row>
    <row r="738" spans="1:4" hidden="1" x14ac:dyDescent="0.25">
      <c r="A738" s="6" t="str">
        <f>+[11]CONSOLIDADO!$W$1</f>
        <v>metro despate</v>
      </c>
      <c r="B738" s="1">
        <f>+[35]CONSOLIDADO1!$M$56</f>
        <v>0</v>
      </c>
      <c r="C738" s="4"/>
      <c r="D738" s="7">
        <v>45809</v>
      </c>
    </row>
    <row r="739" spans="1:4" hidden="1" x14ac:dyDescent="0.25">
      <c r="A739" s="6" t="str">
        <f>+[11]CONSOLIDADO!$X$1</f>
        <v>ARCO DE ACERO</v>
      </c>
      <c r="B739" s="1">
        <f>+[34]CONSOLIDADO1!$AE$52</f>
        <v>0</v>
      </c>
      <c r="C739" s="4"/>
      <c r="D739" s="7">
        <v>45809</v>
      </c>
    </row>
    <row r="740" spans="1:4" hidden="1" x14ac:dyDescent="0.25">
      <c r="A740" s="6" t="s">
        <v>21</v>
      </c>
      <c r="B740" s="1">
        <f>+[36]CONSOLIDADO1!$AL$19+[36]CONSOLIDADO1!$AL$23+[36]CONSOLIDADO1!$AL$49</f>
        <v>3325633.25</v>
      </c>
      <c r="C740" s="4"/>
      <c r="D740" s="7">
        <v>45809</v>
      </c>
    </row>
    <row r="741" spans="1:4" hidden="1" x14ac:dyDescent="0.25">
      <c r="A741" s="6" t="s">
        <v>22</v>
      </c>
      <c r="B741" s="1">
        <f>+[36]CONSOLIDADO1!$AL$18+[36]CONSOLIDADO1!$AL$33</f>
        <v>1694544.5</v>
      </c>
      <c r="C741" s="4"/>
      <c r="D741" s="7">
        <v>45809</v>
      </c>
    </row>
    <row r="742" spans="1:4" hidden="1" x14ac:dyDescent="0.25">
      <c r="A742" s="6" t="s">
        <v>33</v>
      </c>
      <c r="B742" s="1">
        <f>+[36]CONSOLIDADO1!$AL$22</f>
        <v>1231063.125</v>
      </c>
      <c r="C742" s="4"/>
      <c r="D742" s="7">
        <v>45809</v>
      </c>
    </row>
    <row r="743" spans="1:4" hidden="1" x14ac:dyDescent="0.25">
      <c r="A743" s="6" t="s">
        <v>23</v>
      </c>
      <c r="B743" s="1">
        <f>+[35]CONSOLIDADO1!$AL$22</f>
        <v>1409541.875</v>
      </c>
      <c r="C743" s="4"/>
      <c r="D743" s="7">
        <v>45809</v>
      </c>
    </row>
    <row r="744" spans="1:4" hidden="1" x14ac:dyDescent="0.25">
      <c r="A744" s="6" t="s">
        <v>79</v>
      </c>
      <c r="B744" s="1">
        <f>+[36]CONSOLIDADO1!$AF$54</f>
        <v>20000</v>
      </c>
      <c r="C744" s="4"/>
      <c r="D744" s="7">
        <v>45809</v>
      </c>
    </row>
    <row r="745" spans="1:4" hidden="1" x14ac:dyDescent="0.25">
      <c r="A745" s="12" t="s">
        <v>92</v>
      </c>
      <c r="B745" s="5">
        <f>+[36]CONSOLIDADO1!$O$54+[36]CONSOLIDADO1!$P$54+[36]CONSOLIDADO1!$Q$54</f>
        <v>1628928</v>
      </c>
      <c r="C745" s="13"/>
      <c r="D745" s="7">
        <v>45809</v>
      </c>
    </row>
    <row r="746" spans="1:4" hidden="1" x14ac:dyDescent="0.25">
      <c r="A746" s="6" t="s">
        <v>14</v>
      </c>
      <c r="B746" s="1">
        <f>+[37]CONSOLIDADO1!$C$53+[37]CONSOLIDADO1!$D$53+[37]CONSOLIDADO1!$F$53</f>
        <v>34909036</v>
      </c>
      <c r="C746" s="4"/>
      <c r="D746" s="51">
        <v>45838</v>
      </c>
    </row>
    <row r="747" spans="1:4" hidden="1" x14ac:dyDescent="0.25">
      <c r="A747" s="6" t="s">
        <v>0</v>
      </c>
      <c r="B747" s="1">
        <f>+[37]CONSOLIDADO1!$M$53+[37]CONSOLIDADO1!$I$53+[37]CONSOLIDADO1!$J$53</f>
        <v>949510</v>
      </c>
      <c r="C747" s="4"/>
      <c r="D747" s="51">
        <v>45838</v>
      </c>
    </row>
    <row r="748" spans="1:4" hidden="1" x14ac:dyDescent="0.25">
      <c r="A748" s="6" t="s">
        <v>1</v>
      </c>
      <c r="B748" s="1">
        <f>+[37]ALIMENT!$G$79+[37]ALIMENT!$G$83</f>
        <v>14164187.5</v>
      </c>
      <c r="C748" s="4"/>
      <c r="D748" s="51">
        <v>45838</v>
      </c>
    </row>
    <row r="749" spans="1:4" hidden="1" x14ac:dyDescent="0.25">
      <c r="A749" s="6" t="s">
        <v>2</v>
      </c>
      <c r="B749" s="1">
        <f>+[37]CONSOLIDADO1!$K$53</f>
        <v>156250</v>
      </c>
      <c r="C749" s="4"/>
      <c r="D749" s="51">
        <v>45838</v>
      </c>
    </row>
    <row r="750" spans="1:4" hidden="1" x14ac:dyDescent="0.25">
      <c r="A750" s="6" t="s">
        <v>3</v>
      </c>
      <c r="B750" s="1">
        <f>+[37]CONSOLIDADO1!$S$53</f>
        <v>21000</v>
      </c>
      <c r="C750" s="4"/>
      <c r="D750" s="51">
        <v>45838</v>
      </c>
    </row>
    <row r="751" spans="1:4" hidden="1" x14ac:dyDescent="0.25">
      <c r="A751" s="6" t="s">
        <v>4</v>
      </c>
      <c r="B751" s="1">
        <f>+[37]CONSOLIDADO1!$L$53</f>
        <v>719400</v>
      </c>
      <c r="C751" s="4"/>
      <c r="D751" s="51">
        <v>45838</v>
      </c>
    </row>
    <row r="752" spans="1:4" hidden="1" x14ac:dyDescent="0.25">
      <c r="A752" s="6" t="str">
        <f>+[11]CONSOLIDADO!$N$1</f>
        <v>TURNO</v>
      </c>
      <c r="B752" s="1">
        <f>+[37]CONSOLIDADO1!$N$53</f>
        <v>2331665</v>
      </c>
      <c r="C752" s="4"/>
      <c r="D752" s="51">
        <v>45838</v>
      </c>
    </row>
    <row r="753" spans="1:4" hidden="1" x14ac:dyDescent="0.25">
      <c r="A753" s="6" t="s">
        <v>47</v>
      </c>
      <c r="B753" s="1">
        <f>+[37]CONSOLIDADO1!$W$53</f>
        <v>4425400</v>
      </c>
      <c r="C753" s="4"/>
      <c r="D753" s="51">
        <v>45838</v>
      </c>
    </row>
    <row r="754" spans="1:4" hidden="1" x14ac:dyDescent="0.25">
      <c r="A754" s="6" t="s">
        <v>48</v>
      </c>
      <c r="B754" s="1">
        <f>+[35]CONSOLIDADO1!$X$56</f>
        <v>0</v>
      </c>
      <c r="C754" s="4"/>
      <c r="D754" s="51">
        <v>45838</v>
      </c>
    </row>
    <row r="755" spans="1:4" x14ac:dyDescent="0.25">
      <c r="A755" s="6" t="s">
        <v>49</v>
      </c>
      <c r="B755" s="1">
        <f>+[37]CONSOLIDADO1!$Y$53</f>
        <v>329975.99999999994</v>
      </c>
      <c r="C755" s="4"/>
      <c r="D755" s="51">
        <v>45838</v>
      </c>
    </row>
    <row r="756" spans="1:4" hidden="1" x14ac:dyDescent="0.25">
      <c r="A756" s="6" t="str">
        <f>+[11]CONSOLIDADO!$T$1</f>
        <v>coches guayados</v>
      </c>
      <c r="B756" s="1">
        <f>+[37]CONSOLIDADO1!$AA$53</f>
        <v>2798250</v>
      </c>
      <c r="C756" s="4"/>
      <c r="D756" s="51">
        <v>45838</v>
      </c>
    </row>
    <row r="757" spans="1:4" hidden="1" x14ac:dyDescent="0.25">
      <c r="A757" s="6" t="str">
        <f>+[11]CONSOLIDADO!$W$1</f>
        <v>metro despate</v>
      </c>
      <c r="B757" s="1">
        <f>+[35]CONSOLIDADO1!$M$56</f>
        <v>0</v>
      </c>
      <c r="C757" s="4"/>
      <c r="D757" s="51">
        <v>45838</v>
      </c>
    </row>
    <row r="758" spans="1:4" hidden="1" x14ac:dyDescent="0.25">
      <c r="A758" s="6" t="str">
        <f>+[11]CONSOLIDADO!$X$1</f>
        <v>ARCO DE ACERO</v>
      </c>
      <c r="B758" s="1">
        <f>+[34]CONSOLIDADO1!$AE$52</f>
        <v>0</v>
      </c>
      <c r="C758" s="4"/>
      <c r="D758" s="51">
        <v>45838</v>
      </c>
    </row>
    <row r="759" spans="1:4" hidden="1" x14ac:dyDescent="0.25">
      <c r="A759" s="6" t="s">
        <v>21</v>
      </c>
      <c r="B759" s="1">
        <f>+[37]CONSOLIDADO1!$AL$19+[37]CONSOLIDADO1!$AL$23+[37]CONSOLIDADO1!$AL$48</f>
        <v>3373205.5</v>
      </c>
      <c r="C759" s="4"/>
      <c r="D759" s="51">
        <v>45838</v>
      </c>
    </row>
    <row r="760" spans="1:4" hidden="1" x14ac:dyDescent="0.25">
      <c r="A760" s="6" t="s">
        <v>22</v>
      </c>
      <c r="B760" s="1">
        <f>+[37]CONSOLIDADO1!$AL$18+[37]CONSOLIDADO1!$AL$33+[37]CONSOLIDADO1!$AL$50</f>
        <v>2513883.85</v>
      </c>
      <c r="C760" s="4"/>
      <c r="D760" s="51">
        <v>45838</v>
      </c>
    </row>
    <row r="761" spans="1:4" hidden="1" x14ac:dyDescent="0.25">
      <c r="A761" s="6" t="s">
        <v>33</v>
      </c>
      <c r="B761" s="1">
        <f>+[37]CONSOLIDADO1!$AL$51</f>
        <v>1438400</v>
      </c>
      <c r="C761" s="4"/>
      <c r="D761" s="51">
        <v>45838</v>
      </c>
    </row>
    <row r="762" spans="1:4" hidden="1" x14ac:dyDescent="0.25">
      <c r="A762" s="6" t="s">
        <v>23</v>
      </c>
      <c r="B762" s="1">
        <f>+[37]CONSOLIDADO1!$AL$22</f>
        <v>1338297.96875</v>
      </c>
      <c r="C762" s="4"/>
      <c r="D762" s="51">
        <v>45838</v>
      </c>
    </row>
    <row r="763" spans="1:4" hidden="1" x14ac:dyDescent="0.25">
      <c r="A763" s="6" t="s">
        <v>79</v>
      </c>
      <c r="B763" s="1">
        <f>+[37]CONSOLIDADO1!$AC$53+[37]CONSOLIDADO1!$AF$53</f>
        <v>240000</v>
      </c>
      <c r="C763" s="4"/>
      <c r="D763" s="51">
        <v>45838</v>
      </c>
    </row>
    <row r="764" spans="1:4" hidden="1" x14ac:dyDescent="0.25">
      <c r="A764" s="12" t="s">
        <v>92</v>
      </c>
      <c r="B764" s="5">
        <f>+[37]CONSOLIDADO1!$O$53+[37]CONSOLIDADO1!$P$53+[37]CONSOLIDADO1!$Q$53+[37]CONSOLIDADO1!$R$53</f>
        <v>2027482</v>
      </c>
      <c r="C764" s="13"/>
      <c r="D764" s="51">
        <v>45838</v>
      </c>
    </row>
    <row r="765" spans="1:4" hidden="1" x14ac:dyDescent="0.25">
      <c r="A765" s="6" t="s">
        <v>14</v>
      </c>
      <c r="B765" s="1">
        <f>+[38]CONSOLIDADO1!$D$52+[38]CONSOLIDADO1!$F$52</f>
        <v>29542880</v>
      </c>
      <c r="C765" s="4"/>
      <c r="D765" s="51">
        <v>45839</v>
      </c>
    </row>
    <row r="766" spans="1:4" hidden="1" x14ac:dyDescent="0.25">
      <c r="A766" s="6" t="s">
        <v>0</v>
      </c>
      <c r="B766" s="1">
        <f>+[38]CONSOLIDADO1!$I$52+[38]CONSOLIDADO1!$J$52+[38]CONSOLIDADO1!$M$52</f>
        <v>2243380</v>
      </c>
      <c r="C766" s="4"/>
      <c r="D766" s="51">
        <v>45839</v>
      </c>
    </row>
    <row r="767" spans="1:4" hidden="1" x14ac:dyDescent="0.25">
      <c r="A767" s="6" t="s">
        <v>1</v>
      </c>
      <c r="B767" s="1">
        <f>+[38]ALIMENT!$G$78+[38]ALIMENT!$G$82</f>
        <v>13577500</v>
      </c>
      <c r="C767" s="4"/>
      <c r="D767" s="51">
        <v>45839</v>
      </c>
    </row>
    <row r="768" spans="1:4" hidden="1" x14ac:dyDescent="0.25">
      <c r="A768" s="6" t="s">
        <v>2</v>
      </c>
      <c r="B768" s="1">
        <f>+[38]CONSOLIDADO1!$K$52</f>
        <v>353000</v>
      </c>
      <c r="C768" s="4"/>
      <c r="D768" s="51">
        <v>45839</v>
      </c>
    </row>
    <row r="769" spans="1:4" hidden="1" x14ac:dyDescent="0.25">
      <c r="A769" s="6" t="s">
        <v>3</v>
      </c>
      <c r="B769" s="1">
        <f>+[38]CONSOLIDADO1!$S$52</f>
        <v>128100</v>
      </c>
      <c r="C769" s="4"/>
      <c r="D769" s="51">
        <v>45839</v>
      </c>
    </row>
    <row r="770" spans="1:4" hidden="1" x14ac:dyDescent="0.25">
      <c r="A770" s="6" t="s">
        <v>4</v>
      </c>
      <c r="B770" s="1">
        <f>+[38]CONSOLIDADO1!$L$52</f>
        <v>1138200</v>
      </c>
      <c r="C770" s="4"/>
      <c r="D770" s="51">
        <v>45839</v>
      </c>
    </row>
    <row r="771" spans="1:4" hidden="1" x14ac:dyDescent="0.25">
      <c r="A771" s="6" t="str">
        <f>+[11]CONSOLIDADO!$N$1</f>
        <v>TURNO</v>
      </c>
      <c r="B771" s="1">
        <f>+[38]CONSOLIDADO1!$N$52</f>
        <v>2230250</v>
      </c>
      <c r="C771" s="4"/>
      <c r="D771" s="51">
        <v>45839</v>
      </c>
    </row>
    <row r="772" spans="1:4" hidden="1" x14ac:dyDescent="0.25">
      <c r="A772" s="6" t="s">
        <v>47</v>
      </c>
      <c r="B772" s="1">
        <f>+[38]CONSOLIDADO1!$W$52</f>
        <v>4904600</v>
      </c>
      <c r="C772" s="4"/>
      <c r="D772" s="51">
        <v>45839</v>
      </c>
    </row>
    <row r="773" spans="1:4" hidden="1" x14ac:dyDescent="0.25">
      <c r="A773" s="6" t="s">
        <v>48</v>
      </c>
      <c r="B773" s="1">
        <f>+[35]CONSOLIDADO1!$X$56</f>
        <v>0</v>
      </c>
      <c r="C773" s="4"/>
      <c r="D773" s="51">
        <v>45839</v>
      </c>
    </row>
    <row r="774" spans="1:4" x14ac:dyDescent="0.25">
      <c r="A774" s="6" t="s">
        <v>49</v>
      </c>
      <c r="B774" s="1">
        <f>+[38]CONSOLIDADO1!$Y$52</f>
        <v>329975.99999999994</v>
      </c>
      <c r="C774" s="4"/>
      <c r="D774" s="51">
        <v>45839</v>
      </c>
    </row>
    <row r="775" spans="1:4" hidden="1" x14ac:dyDescent="0.25">
      <c r="A775" s="6" t="str">
        <f>+[11]CONSOLIDADO!$T$1</f>
        <v>coches guayados</v>
      </c>
      <c r="B775" s="1">
        <f>+[38]CONSOLIDADO1!$AA$52</f>
        <v>2598250</v>
      </c>
      <c r="C775" s="4"/>
      <c r="D775" s="51">
        <v>45839</v>
      </c>
    </row>
    <row r="776" spans="1:4" hidden="1" x14ac:dyDescent="0.25">
      <c r="A776" s="6" t="str">
        <f>+[11]CONSOLIDADO!$W$1</f>
        <v>metro despate</v>
      </c>
      <c r="B776" s="1">
        <f>+[35]CONSOLIDADO1!$M$56</f>
        <v>0</v>
      </c>
      <c r="C776" s="4"/>
      <c r="D776" s="51">
        <v>45839</v>
      </c>
    </row>
    <row r="777" spans="1:4" hidden="1" x14ac:dyDescent="0.25">
      <c r="A777" s="6" t="str">
        <f>+[11]CONSOLIDADO!$X$1</f>
        <v>ARCO DE ACERO</v>
      </c>
      <c r="B777" s="1">
        <f>+[34]CONSOLIDADO1!$AE$52</f>
        <v>0</v>
      </c>
      <c r="C777" s="4"/>
      <c r="D777" s="51">
        <v>45839</v>
      </c>
    </row>
    <row r="778" spans="1:4" hidden="1" x14ac:dyDescent="0.25">
      <c r="A778" s="6" t="s">
        <v>21</v>
      </c>
      <c r="B778" s="1">
        <f>+[38]CONSOLIDADO1!$AL$19+[38]CONSOLIDADO1!$AL$23+[38]CONSOLIDADO1!$AL$47</f>
        <v>3167665.666666667</v>
      </c>
      <c r="C778" s="4"/>
      <c r="D778" s="51">
        <v>45839</v>
      </c>
    </row>
    <row r="779" spans="1:4" hidden="1" x14ac:dyDescent="0.25">
      <c r="A779" s="6" t="s">
        <v>22</v>
      </c>
      <c r="B779" s="1">
        <f>+[38]CONSOLIDADO1!$AL$18+[38]CONSOLIDADO1!$AL$31+[38]CONSOLIDADO1!$AL$40</f>
        <v>2370385</v>
      </c>
      <c r="C779" s="4"/>
      <c r="D779" s="51">
        <v>45839</v>
      </c>
    </row>
    <row r="780" spans="1:4" hidden="1" x14ac:dyDescent="0.25">
      <c r="A780" s="6" t="s">
        <v>33</v>
      </c>
      <c r="B780" s="1">
        <f>+[37]CONSOLIDADO1!$AL$51</f>
        <v>1438400</v>
      </c>
      <c r="C780" s="4"/>
      <c r="D780" s="51">
        <v>45839</v>
      </c>
    </row>
    <row r="781" spans="1:4" hidden="1" x14ac:dyDescent="0.25">
      <c r="A781" s="6" t="s">
        <v>23</v>
      </c>
      <c r="B781" s="1">
        <f>+[38]CONSOLIDADO1!$AL$22</f>
        <v>1467493.4375</v>
      </c>
      <c r="C781" s="4"/>
      <c r="D781" s="51">
        <v>45839</v>
      </c>
    </row>
    <row r="782" spans="1:4" hidden="1" x14ac:dyDescent="0.25">
      <c r="A782" s="6" t="s">
        <v>79</v>
      </c>
      <c r="B782" s="1">
        <f>+[38]CONSOLIDADO1!$AF$52</f>
        <v>30000</v>
      </c>
      <c r="C782" s="4"/>
      <c r="D782" s="51">
        <v>45839</v>
      </c>
    </row>
    <row r="783" spans="1:4" hidden="1" x14ac:dyDescent="0.25">
      <c r="A783" s="12" t="s">
        <v>92</v>
      </c>
      <c r="B783" s="5">
        <f>+[38]CONSOLIDADO1!$O$52+[38]CONSOLIDADO1!$P$52+[38]CONSOLIDADO1!$Q$52</f>
        <v>1165820</v>
      </c>
      <c r="C783" s="13"/>
      <c r="D783" s="51">
        <v>45839</v>
      </c>
    </row>
    <row r="784" spans="1:4" hidden="1" x14ac:dyDescent="0.25">
      <c r="A784" s="6" t="s">
        <v>14</v>
      </c>
      <c r="B784" s="1">
        <f>+[39]CONSOLIDADO1!$D$54+[39]CONSOLIDADO1!$E$54+[39]CONSOLIDADO1!$F$54</f>
        <v>32062200</v>
      </c>
      <c r="C784" s="4"/>
      <c r="D784" s="51">
        <v>45869</v>
      </c>
    </row>
    <row r="785" spans="1:4" hidden="1" x14ac:dyDescent="0.25">
      <c r="A785" s="6" t="s">
        <v>0</v>
      </c>
      <c r="B785" s="1">
        <f>+[39]CONSOLIDADO1!$I$54+[39]CONSOLIDADO1!$J$54+[39]CONSOLIDADO1!$M$54</f>
        <v>1373420</v>
      </c>
      <c r="C785" s="4"/>
      <c r="D785" s="51">
        <v>45869</v>
      </c>
    </row>
    <row r="786" spans="1:4" hidden="1" x14ac:dyDescent="0.25">
      <c r="A786" s="6" t="s">
        <v>1</v>
      </c>
      <c r="B786" s="1">
        <f>+[39]ALIMENT!$G$80+[39]ALIMENT!$G$84</f>
        <v>10320125</v>
      </c>
      <c r="C786" s="4"/>
      <c r="D786" s="51">
        <v>45869</v>
      </c>
    </row>
    <row r="787" spans="1:4" hidden="1" x14ac:dyDescent="0.25">
      <c r="A787" s="6" t="s">
        <v>2</v>
      </c>
      <c r="B787" s="1">
        <f>+[39]CONSOLIDADO1!$K$54</f>
        <v>292625</v>
      </c>
      <c r="C787" s="4"/>
      <c r="D787" s="51">
        <v>45869</v>
      </c>
    </row>
    <row r="788" spans="1:4" hidden="1" x14ac:dyDescent="0.25">
      <c r="A788" s="6" t="s">
        <v>3</v>
      </c>
      <c r="B788" s="1">
        <f>+[39]CONSOLIDADO1!$S$54</f>
        <v>0</v>
      </c>
      <c r="C788" s="4"/>
      <c r="D788" s="51">
        <v>45869</v>
      </c>
    </row>
    <row r="789" spans="1:4" hidden="1" x14ac:dyDescent="0.25">
      <c r="A789" s="6" t="s">
        <v>4</v>
      </c>
      <c r="B789" s="1">
        <f>+[39]CONSOLIDADO1!$L$54</f>
        <v>904980</v>
      </c>
      <c r="C789" s="4"/>
      <c r="D789" s="51">
        <v>45869</v>
      </c>
    </row>
    <row r="790" spans="1:4" hidden="1" x14ac:dyDescent="0.25">
      <c r="A790" s="6" t="str">
        <f>+[11]CONSOLIDADO!$N$1</f>
        <v>TURNO</v>
      </c>
      <c r="B790" s="1">
        <f>+[39]CONSOLIDADO1!$N$54</f>
        <v>2045700</v>
      </c>
      <c r="C790" s="4"/>
      <c r="D790" s="51">
        <v>45869</v>
      </c>
    </row>
    <row r="791" spans="1:4" hidden="1" x14ac:dyDescent="0.25">
      <c r="A791" s="6" t="s">
        <v>47</v>
      </c>
      <c r="B791" s="1">
        <f>+[39]CONSOLIDADO1!$W$54</f>
        <v>4420000</v>
      </c>
      <c r="C791" s="4"/>
      <c r="D791" s="51">
        <v>45869</v>
      </c>
    </row>
    <row r="792" spans="1:4" hidden="1" x14ac:dyDescent="0.25">
      <c r="A792" s="6" t="s">
        <v>48</v>
      </c>
      <c r="B792" s="1">
        <f>+[35]CONSOLIDADO1!$X$56</f>
        <v>0</v>
      </c>
      <c r="C792" s="4"/>
      <c r="D792" s="51">
        <v>45869</v>
      </c>
    </row>
    <row r="793" spans="1:4" x14ac:dyDescent="0.25">
      <c r="A793" s="6" t="s">
        <v>49</v>
      </c>
      <c r="B793" s="1">
        <f>+[39]CONSOLIDADO1!$Y$54</f>
        <v>174000</v>
      </c>
      <c r="C793" s="4"/>
      <c r="D793" s="51">
        <v>45869</v>
      </c>
    </row>
    <row r="794" spans="1:4" hidden="1" x14ac:dyDescent="0.25">
      <c r="A794" s="6" t="str">
        <f>+[11]CONSOLIDADO!$T$1</f>
        <v>coches guayados</v>
      </c>
      <c r="B794" s="1">
        <f>+[39]CONSOLIDADO1!$AA$54</f>
        <v>3236975</v>
      </c>
      <c r="C794" s="4"/>
      <c r="D794" s="51">
        <v>45869</v>
      </c>
    </row>
    <row r="795" spans="1:4" hidden="1" x14ac:dyDescent="0.25">
      <c r="A795" s="6" t="str">
        <f>+[11]CONSOLIDADO!$W$1</f>
        <v>metro despate</v>
      </c>
      <c r="B795" s="1">
        <f>+[35]CONSOLIDADO1!$M$56</f>
        <v>0</v>
      </c>
      <c r="C795" s="4"/>
      <c r="D795" s="51">
        <v>45869</v>
      </c>
    </row>
    <row r="796" spans="1:4" hidden="1" x14ac:dyDescent="0.25">
      <c r="A796" s="6" t="str">
        <f>+[11]CONSOLIDADO!$X$1</f>
        <v>ARCO DE ACERO</v>
      </c>
      <c r="B796" s="1">
        <f>+[34]CONSOLIDADO1!$AE$52</f>
        <v>0</v>
      </c>
      <c r="C796" s="4"/>
      <c r="D796" s="51">
        <v>45869</v>
      </c>
    </row>
    <row r="797" spans="1:4" hidden="1" x14ac:dyDescent="0.25">
      <c r="A797" s="6" t="s">
        <v>21</v>
      </c>
      <c r="B797" s="1">
        <f>+[39]CONSOLIDADO1!$AL$18+[39]CONSOLIDADO1!$AL$22+[39]CONSOLIDADO1!$AL$47</f>
        <v>3857693.916666667</v>
      </c>
      <c r="C797" s="4"/>
      <c r="D797" s="51">
        <v>45869</v>
      </c>
    </row>
    <row r="798" spans="1:4" hidden="1" x14ac:dyDescent="0.25">
      <c r="A798" s="6" t="s">
        <v>22</v>
      </c>
      <c r="B798" s="1">
        <f>+[39]CONSOLIDADO1!$AL$17+[39]CONSOLIDADO1!$AL$29+[39]CONSOLIDADO1!$AL$36+[39]CONSOLIDADO1!$AL$37+[39]CONSOLIDADO1!$AL$51</f>
        <v>3579163.4</v>
      </c>
      <c r="C798" s="4"/>
      <c r="D798" s="51">
        <v>45869</v>
      </c>
    </row>
    <row r="799" spans="1:4" hidden="1" x14ac:dyDescent="0.25">
      <c r="A799" s="6" t="s">
        <v>33</v>
      </c>
      <c r="B799" s="1">
        <f>+[37]CONSOLIDADO1!$AL$51</f>
        <v>1438400</v>
      </c>
      <c r="C799" s="4"/>
      <c r="D799" s="51">
        <v>45869</v>
      </c>
    </row>
    <row r="800" spans="1:4" hidden="1" x14ac:dyDescent="0.25">
      <c r="A800" s="6" t="s">
        <v>23</v>
      </c>
      <c r="B800" s="1">
        <f>+[39]CONSOLIDADO1!$AL$21</f>
        <v>1262028.28125</v>
      </c>
      <c r="C800" s="4"/>
      <c r="D800" s="51">
        <v>45869</v>
      </c>
    </row>
    <row r="801" spans="1:4" hidden="1" x14ac:dyDescent="0.25">
      <c r="A801" s="6" t="s">
        <v>79</v>
      </c>
      <c r="B801" s="1">
        <f>+[38]CONSOLIDADO1!$AF$52</f>
        <v>30000</v>
      </c>
      <c r="C801" s="4"/>
      <c r="D801" s="51">
        <v>45869</v>
      </c>
    </row>
    <row r="802" spans="1:4" hidden="1" x14ac:dyDescent="0.25">
      <c r="A802" s="12" t="s">
        <v>92</v>
      </c>
      <c r="B802" s="5"/>
      <c r="C802" s="13"/>
      <c r="D802" s="51">
        <v>45869</v>
      </c>
    </row>
    <row r="803" spans="1:4" hidden="1" x14ac:dyDescent="0.25">
      <c r="A803" s="6"/>
      <c r="B803" s="1"/>
      <c r="C803" s="4"/>
      <c r="D803" s="51">
        <v>45869</v>
      </c>
    </row>
  </sheetData>
  <pageMargins left="0.7" right="0.7" top="0.75" bottom="0.75" header="0.3" footer="0.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CD924-1C3A-435A-A8E9-3E4461B45641}">
  <dimension ref="A1:G30"/>
  <sheetViews>
    <sheetView workbookViewId="0">
      <selection activeCell="H17" sqref="H17"/>
    </sheetView>
  </sheetViews>
  <sheetFormatPr baseColWidth="10" defaultRowHeight="15" x14ac:dyDescent="0.25"/>
  <cols>
    <col min="7" max="7" width="27.5703125" customWidth="1"/>
    <col min="8" max="8" width="21" customWidth="1"/>
  </cols>
  <sheetData>
    <row r="1" spans="1:7" x14ac:dyDescent="0.25">
      <c r="A1" t="s">
        <v>134</v>
      </c>
    </row>
    <row r="2" spans="1:7" x14ac:dyDescent="0.25">
      <c r="E2" s="186" t="s">
        <v>133</v>
      </c>
      <c r="F2" s="186"/>
      <c r="G2" s="186"/>
    </row>
    <row r="3" spans="1:7" x14ac:dyDescent="0.25">
      <c r="E3" s="4" t="s">
        <v>132</v>
      </c>
      <c r="F3" s="4" t="s">
        <v>68</v>
      </c>
      <c r="G3" s="4" t="s">
        <v>131</v>
      </c>
    </row>
    <row r="4" spans="1:7" x14ac:dyDescent="0.25">
      <c r="E4" s="185" t="s">
        <v>56</v>
      </c>
      <c r="F4" s="32">
        <v>36.65</v>
      </c>
      <c r="G4" s="35" t="s">
        <v>14</v>
      </c>
    </row>
    <row r="5" spans="1:7" x14ac:dyDescent="0.25">
      <c r="E5" s="185"/>
      <c r="F5" s="32">
        <v>8.0483969457919233</v>
      </c>
      <c r="G5" s="35" t="s">
        <v>66</v>
      </c>
    </row>
    <row r="6" spans="1:7" x14ac:dyDescent="0.25">
      <c r="E6" s="185"/>
      <c r="F6" s="32">
        <v>6.4108268666838084</v>
      </c>
      <c r="G6" s="35" t="s">
        <v>61</v>
      </c>
    </row>
    <row r="7" spans="1:7" x14ac:dyDescent="0.25">
      <c r="E7" s="185" t="s">
        <v>60</v>
      </c>
      <c r="F7" s="32">
        <v>46.035395229224989</v>
      </c>
      <c r="G7" s="35" t="s">
        <v>14</v>
      </c>
    </row>
    <row r="8" spans="1:7" x14ac:dyDescent="0.25">
      <c r="E8" s="185"/>
      <c r="F8" s="32">
        <v>16.47391433513134</v>
      </c>
      <c r="G8" s="35" t="s">
        <v>66</v>
      </c>
    </row>
    <row r="9" spans="1:7" x14ac:dyDescent="0.25">
      <c r="E9" s="185"/>
      <c r="F9" s="32">
        <v>9.987738651260937</v>
      </c>
      <c r="G9" s="35" t="s">
        <v>70</v>
      </c>
    </row>
    <row r="10" spans="1:7" x14ac:dyDescent="0.25">
      <c r="E10" s="185" t="s">
        <v>80</v>
      </c>
      <c r="F10" s="32">
        <v>44.297287569746061</v>
      </c>
      <c r="G10" s="35" t="s">
        <v>14</v>
      </c>
    </row>
    <row r="11" spans="1:7" x14ac:dyDescent="0.25">
      <c r="E11" s="185"/>
      <c r="F11" s="32">
        <v>16.20945292087438</v>
      </c>
      <c r="G11" s="35" t="s">
        <v>66</v>
      </c>
    </row>
    <row r="12" spans="1:7" x14ac:dyDescent="0.25">
      <c r="E12" s="185"/>
      <c r="F12" s="32">
        <v>10.7355146456604</v>
      </c>
      <c r="G12" s="35" t="s">
        <v>61</v>
      </c>
    </row>
    <row r="13" spans="1:7" x14ac:dyDescent="0.25">
      <c r="E13" s="185" t="s">
        <v>83</v>
      </c>
      <c r="F13" s="32">
        <v>48.501536571885175</v>
      </c>
      <c r="G13" s="35" t="s">
        <v>14</v>
      </c>
    </row>
    <row r="14" spans="1:7" x14ac:dyDescent="0.25">
      <c r="E14" s="185"/>
      <c r="F14" s="32">
        <v>11.907314458283691</v>
      </c>
      <c r="G14" s="35" t="s">
        <v>66</v>
      </c>
    </row>
    <row r="15" spans="1:7" x14ac:dyDescent="0.25">
      <c r="E15" s="185"/>
      <c r="F15" s="32">
        <v>10.161380573857024</v>
      </c>
      <c r="G15" s="4" t="s">
        <v>67</v>
      </c>
    </row>
    <row r="16" spans="1:7" x14ac:dyDescent="0.25">
      <c r="E16" s="185" t="s">
        <v>84</v>
      </c>
      <c r="F16" s="32">
        <v>51.241717620334818</v>
      </c>
      <c r="G16" s="35" t="s">
        <v>14</v>
      </c>
    </row>
    <row r="17" spans="5:7" x14ac:dyDescent="0.25">
      <c r="E17" s="185"/>
      <c r="F17" s="32">
        <v>12.222267844894759</v>
      </c>
      <c r="G17" s="35" t="s">
        <v>66</v>
      </c>
    </row>
    <row r="18" spans="5:7" x14ac:dyDescent="0.25">
      <c r="E18" s="185"/>
      <c r="F18" s="32">
        <v>7.7</v>
      </c>
      <c r="G18" s="35" t="s">
        <v>67</v>
      </c>
    </row>
    <row r="19" spans="5:7" x14ac:dyDescent="0.25">
      <c r="E19" s="185" t="s">
        <v>85</v>
      </c>
      <c r="F19" s="32">
        <v>47.963940918386406</v>
      </c>
      <c r="G19" s="35" t="s">
        <v>14</v>
      </c>
    </row>
    <row r="20" spans="5:7" x14ac:dyDescent="0.25">
      <c r="E20" s="185"/>
      <c r="F20" s="32">
        <v>12.599434579410966</v>
      </c>
      <c r="G20" s="35" t="s">
        <v>66</v>
      </c>
    </row>
    <row r="21" spans="5:7" x14ac:dyDescent="0.25">
      <c r="E21" s="185"/>
      <c r="F21" s="32">
        <v>7.5247089011075481</v>
      </c>
      <c r="G21" s="35" t="s">
        <v>67</v>
      </c>
    </row>
    <row r="22" spans="5:7" x14ac:dyDescent="0.25">
      <c r="E22" s="185" t="s">
        <v>86</v>
      </c>
      <c r="F22" s="32">
        <v>51.885364508225798</v>
      </c>
      <c r="G22" s="35" t="s">
        <v>14</v>
      </c>
    </row>
    <row r="23" spans="5:7" x14ac:dyDescent="0.25">
      <c r="E23" s="185"/>
      <c r="F23" s="32">
        <v>14.012362802292156</v>
      </c>
      <c r="G23" s="35" t="s">
        <v>66</v>
      </c>
    </row>
    <row r="24" spans="5:7" x14ac:dyDescent="0.25">
      <c r="E24" s="185"/>
      <c r="F24" s="32">
        <v>6.7886316123639174</v>
      </c>
      <c r="G24" s="35" t="s">
        <v>130</v>
      </c>
    </row>
    <row r="25" spans="5:7" x14ac:dyDescent="0.25">
      <c r="E25" s="185" t="s">
        <v>87</v>
      </c>
      <c r="F25" s="32">
        <v>45.89143806505885</v>
      </c>
      <c r="G25" s="35" t="s">
        <v>14</v>
      </c>
    </row>
    <row r="26" spans="5:7" x14ac:dyDescent="0.25">
      <c r="E26" s="185"/>
      <c r="F26" s="32">
        <v>16.841179802069068</v>
      </c>
      <c r="G26" s="35" t="s">
        <v>66</v>
      </c>
    </row>
    <row r="27" spans="5:7" x14ac:dyDescent="0.25">
      <c r="E27" s="185"/>
      <c r="F27" s="32">
        <v>9.9049592886152489</v>
      </c>
      <c r="G27" s="35" t="s">
        <v>67</v>
      </c>
    </row>
    <row r="28" spans="5:7" x14ac:dyDescent="0.25">
      <c r="E28" s="185" t="s">
        <v>57</v>
      </c>
      <c r="F28" s="4"/>
      <c r="G28" s="4"/>
    </row>
    <row r="29" spans="5:7" x14ac:dyDescent="0.25">
      <c r="E29" s="185"/>
      <c r="F29" s="4"/>
      <c r="G29" s="4"/>
    </row>
    <row r="30" spans="5:7" x14ac:dyDescent="0.25">
      <c r="E30" s="185"/>
      <c r="F30" s="4"/>
      <c r="G30" s="4"/>
    </row>
  </sheetData>
  <mergeCells count="10">
    <mergeCell ref="E25:E27"/>
    <mergeCell ref="E28:E30"/>
    <mergeCell ref="E4:E6"/>
    <mergeCell ref="E7:E9"/>
    <mergeCell ref="E2:G2"/>
    <mergeCell ref="E10:E12"/>
    <mergeCell ref="E13:E15"/>
    <mergeCell ref="E16:E18"/>
    <mergeCell ref="E19:E21"/>
    <mergeCell ref="E22:E2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B3EDB-7DFD-4309-9FC7-64A3B263008B}">
  <sheetPr>
    <tabColor rgb="FF92D050"/>
  </sheetPr>
  <dimension ref="A2:B17"/>
  <sheetViews>
    <sheetView workbookViewId="0">
      <selection activeCell="B10" sqref="B10"/>
    </sheetView>
  </sheetViews>
  <sheetFormatPr baseColWidth="10" defaultColWidth="11" defaultRowHeight="12.75" x14ac:dyDescent="0.2"/>
  <cols>
    <col min="1" max="1" width="12.85546875" style="101" customWidth="1"/>
    <col min="2" max="2" width="12.42578125" style="101" customWidth="1"/>
    <col min="3" max="16384" width="11" style="101"/>
  </cols>
  <sheetData>
    <row r="2" spans="1:2" x14ac:dyDescent="0.2">
      <c r="A2" s="101" t="s">
        <v>127</v>
      </c>
    </row>
    <row r="3" spans="1:2" ht="13.5" thickBot="1" x14ac:dyDescent="0.25"/>
    <row r="4" spans="1:2" ht="13.5" thickBot="1" x14ac:dyDescent="0.25">
      <c r="A4" s="102" t="s">
        <v>55</v>
      </c>
      <c r="B4" s="102" t="s">
        <v>128</v>
      </c>
    </row>
    <row r="5" spans="1:2" ht="15" x14ac:dyDescent="0.25">
      <c r="A5" s="103" t="s">
        <v>56</v>
      </c>
      <c r="B5" s="180">
        <f>+'[40]Daily Report ENERO'!M42</f>
        <v>1698.66</v>
      </c>
    </row>
    <row r="6" spans="1:2" ht="15" x14ac:dyDescent="0.25">
      <c r="A6" s="104" t="s">
        <v>60</v>
      </c>
      <c r="B6" s="36">
        <f>+'[41]PRODUC ACUMULADA'!$B$6</f>
        <v>1830.15</v>
      </c>
    </row>
    <row r="7" spans="1:2" ht="15" x14ac:dyDescent="0.25">
      <c r="A7" s="104" t="s">
        <v>80</v>
      </c>
      <c r="B7" s="36">
        <f>+'[42]PRODUC ACUMULADA'!$B$7</f>
        <v>1898.77</v>
      </c>
    </row>
    <row r="8" spans="1:2" ht="15" x14ac:dyDescent="0.25">
      <c r="A8" s="104" t="s">
        <v>81</v>
      </c>
      <c r="B8" s="36">
        <v>1800.91</v>
      </c>
    </row>
    <row r="9" spans="1:2" ht="15" x14ac:dyDescent="0.25">
      <c r="A9" s="104" t="s">
        <v>83</v>
      </c>
      <c r="B9" s="36">
        <f>+'[43]PRODUC ACUMULADA'!$B$9</f>
        <v>1964.1099999999997</v>
      </c>
    </row>
    <row r="10" spans="1:2" ht="15" x14ac:dyDescent="0.25">
      <c r="A10" s="104" t="s">
        <v>84</v>
      </c>
      <c r="B10" s="36">
        <f>+'[40]Daily Report JUNIO '!M43</f>
        <v>0</v>
      </c>
    </row>
    <row r="11" spans="1:2" ht="15" x14ac:dyDescent="0.25">
      <c r="A11" s="104" t="s">
        <v>85</v>
      </c>
      <c r="B11" s="36">
        <f>+'[40]Daily Report JULIO'!N45</f>
        <v>0</v>
      </c>
    </row>
    <row r="12" spans="1:2" ht="15" x14ac:dyDescent="0.25">
      <c r="A12" s="104" t="s">
        <v>86</v>
      </c>
      <c r="B12" s="36">
        <f>+'[40]Daily Report AGOSTO'!M41</f>
        <v>0</v>
      </c>
    </row>
    <row r="13" spans="1:2" ht="15" x14ac:dyDescent="0.25">
      <c r="A13" s="104" t="s">
        <v>87</v>
      </c>
      <c r="B13" s="36">
        <f>+'[40]Daily Report SEPTIEMBRE'!M41</f>
        <v>0</v>
      </c>
    </row>
    <row r="14" spans="1:2" ht="15" x14ac:dyDescent="0.25">
      <c r="A14" s="104" t="s">
        <v>57</v>
      </c>
      <c r="B14" s="36">
        <f>+'[40]Daily Report OCTUBRE'!M41</f>
        <v>0</v>
      </c>
    </row>
    <row r="15" spans="1:2" ht="15" x14ac:dyDescent="0.25">
      <c r="A15" s="104" t="s">
        <v>58</v>
      </c>
      <c r="B15" s="36">
        <f>+'[40]Daily Report NOVIEMBRE'!M40</f>
        <v>0</v>
      </c>
    </row>
    <row r="16" spans="1:2" ht="15.75" thickBot="1" x14ac:dyDescent="0.3">
      <c r="A16" s="105" t="s">
        <v>59</v>
      </c>
      <c r="B16" s="181">
        <f>+'[40]Daily Report DICIEMBRE'!M41</f>
        <v>0</v>
      </c>
    </row>
    <row r="17" spans="1:2" ht="15.75" thickBot="1" x14ac:dyDescent="0.3">
      <c r="A17" s="106" t="s">
        <v>98</v>
      </c>
      <c r="B17" s="107">
        <f>SUM(B5:B16)</f>
        <v>9192.5999999999985</v>
      </c>
    </row>
  </sheetData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10AA3-CAED-4624-B171-5D4EB95C32EA}">
  <dimension ref="A1:BY83"/>
  <sheetViews>
    <sheetView topLeftCell="O1" zoomScale="110" zoomScaleNormal="110" workbookViewId="0">
      <selection activeCell="AA13" sqref="AA13"/>
    </sheetView>
  </sheetViews>
  <sheetFormatPr baseColWidth="10" defaultRowHeight="15" x14ac:dyDescent="0.25"/>
  <cols>
    <col min="1" max="1" width="11.5703125" customWidth="1"/>
    <col min="2" max="2" width="27.140625" style="2" customWidth="1"/>
    <col min="3" max="3" width="18.5703125" style="2" customWidth="1"/>
    <col min="4" max="4" width="16.28515625" bestFit="1" customWidth="1"/>
    <col min="5" max="5" width="13.5703125" bestFit="1" customWidth="1"/>
    <col min="7" max="7" width="24.85546875" bestFit="1" customWidth="1"/>
    <col min="8" max="8" width="15" customWidth="1"/>
    <col min="12" max="12" width="24.85546875" bestFit="1" customWidth="1"/>
    <col min="13" max="13" width="20.28515625" customWidth="1"/>
    <col min="14" max="14" width="11.5703125" style="29"/>
    <col min="18" max="18" width="22.5703125" bestFit="1" customWidth="1"/>
    <col min="19" max="19" width="25.28515625" customWidth="1"/>
    <col min="20" max="20" width="17.28515625" customWidth="1"/>
    <col min="24" max="24" width="22.5703125" bestFit="1" customWidth="1"/>
    <col min="25" max="25" width="13.7109375" bestFit="1" customWidth="1"/>
    <col min="31" max="31" width="22.5703125" bestFit="1" customWidth="1"/>
    <col min="32" max="32" width="18.7109375" customWidth="1"/>
    <col min="38" max="38" width="22.5703125" bestFit="1" customWidth="1"/>
    <col min="39" max="39" width="14.7109375" customWidth="1"/>
    <col min="46" max="46" width="22.5703125" bestFit="1" customWidth="1"/>
    <col min="47" max="47" width="14.7109375" customWidth="1"/>
    <col min="54" max="54" width="22.5703125" bestFit="1" customWidth="1"/>
    <col min="55" max="55" width="14.7109375" customWidth="1"/>
    <col min="60" max="60" width="13.140625" customWidth="1"/>
    <col min="61" max="61" width="22.5703125" bestFit="1" customWidth="1"/>
    <col min="62" max="62" width="14.7109375" customWidth="1"/>
    <col min="67" max="67" width="13.140625" customWidth="1"/>
    <col min="68" max="68" width="22.5703125" bestFit="1" customWidth="1"/>
    <col min="69" max="69" width="14.7109375" customWidth="1"/>
    <col min="74" max="74" width="13.140625" customWidth="1"/>
    <col min="75" max="75" width="22.5703125" bestFit="1" customWidth="1"/>
    <col min="76" max="76" width="14.7109375" customWidth="1"/>
  </cols>
  <sheetData>
    <row r="1" spans="1:77" x14ac:dyDescent="0.25">
      <c r="A1" s="27" t="s">
        <v>55</v>
      </c>
      <c r="B1" s="28" t="s">
        <v>11</v>
      </c>
      <c r="C1" s="28" t="s">
        <v>13</v>
      </c>
      <c r="D1" s="34" t="s">
        <v>68</v>
      </c>
      <c r="E1" s="183"/>
      <c r="F1" s="27" t="s">
        <v>55</v>
      </c>
      <c r="G1" s="28" t="s">
        <v>11</v>
      </c>
      <c r="H1" s="28" t="s">
        <v>13</v>
      </c>
      <c r="I1" s="34" t="s">
        <v>68</v>
      </c>
      <c r="J1" s="183"/>
      <c r="K1" s="30" t="s">
        <v>55</v>
      </c>
      <c r="L1" s="31" t="s">
        <v>11</v>
      </c>
      <c r="M1" s="31" t="s">
        <v>13</v>
      </c>
      <c r="N1" s="39" t="s">
        <v>68</v>
      </c>
      <c r="Q1" s="30" t="s">
        <v>55</v>
      </c>
      <c r="R1" s="31" t="s">
        <v>11</v>
      </c>
      <c r="S1" s="31" t="s">
        <v>13</v>
      </c>
      <c r="T1" s="39" t="s">
        <v>68</v>
      </c>
      <c r="W1" s="202" t="s">
        <v>55</v>
      </c>
      <c r="X1" s="203" t="s">
        <v>11</v>
      </c>
      <c r="Y1" s="203" t="s">
        <v>13</v>
      </c>
      <c r="Z1" s="204" t="s">
        <v>68</v>
      </c>
      <c r="AD1" s="30" t="s">
        <v>55</v>
      </c>
      <c r="AE1" s="31" t="s">
        <v>11</v>
      </c>
      <c r="AF1" s="31" t="s">
        <v>13</v>
      </c>
      <c r="AG1" s="39" t="s">
        <v>68</v>
      </c>
      <c r="AK1" s="30" t="s">
        <v>55</v>
      </c>
      <c r="AL1" s="31" t="s">
        <v>11</v>
      </c>
      <c r="AM1" s="31" t="s">
        <v>13</v>
      </c>
      <c r="AN1" s="39" t="s">
        <v>68</v>
      </c>
      <c r="AS1" s="30" t="s">
        <v>55</v>
      </c>
      <c r="AT1" s="31" t="s">
        <v>11</v>
      </c>
      <c r="AU1" s="31" t="s">
        <v>13</v>
      </c>
      <c r="AV1" s="39" t="s">
        <v>68</v>
      </c>
      <c r="BA1" s="30" t="s">
        <v>55</v>
      </c>
      <c r="BB1" s="31" t="s">
        <v>11</v>
      </c>
      <c r="BC1" s="31" t="s">
        <v>13</v>
      </c>
      <c r="BD1" s="39" t="s">
        <v>68</v>
      </c>
      <c r="BH1" s="30" t="s">
        <v>55</v>
      </c>
      <c r="BI1" s="31" t="s">
        <v>11</v>
      </c>
      <c r="BJ1" s="31" t="s">
        <v>13</v>
      </c>
      <c r="BK1" s="39" t="s">
        <v>68</v>
      </c>
      <c r="BO1" s="30" t="s">
        <v>55</v>
      </c>
      <c r="BP1" s="31" t="s">
        <v>11</v>
      </c>
      <c r="BQ1" s="31" t="s">
        <v>13</v>
      </c>
      <c r="BR1" s="39" t="s">
        <v>68</v>
      </c>
      <c r="BV1" s="30" t="s">
        <v>55</v>
      </c>
      <c r="BW1" s="31" t="s">
        <v>11</v>
      </c>
      <c r="BX1" s="31" t="s">
        <v>13</v>
      </c>
      <c r="BY1" s="39" t="s">
        <v>68</v>
      </c>
    </row>
    <row r="2" spans="1:77" x14ac:dyDescent="0.25">
      <c r="A2" s="192" t="s">
        <v>56</v>
      </c>
      <c r="B2" s="1" t="s">
        <v>14</v>
      </c>
      <c r="C2" s="1">
        <f>+'[44]CONSOLIDADO LABOR'!B552+'[44]CONSOLIDADO LABOR'!B572</f>
        <v>62821079</v>
      </c>
      <c r="D2" s="40">
        <f t="shared" ref="D2:D12" si="0">+(C2*100)/$C$17</f>
        <v>45.834563051884501</v>
      </c>
      <c r="E2" s="183"/>
      <c r="F2" s="192" t="s">
        <v>60</v>
      </c>
      <c r="G2" s="1" t="s">
        <v>14</v>
      </c>
      <c r="H2" s="43">
        <f>+'[44]CONSOLIDADO LABOR'!B592+'[44]CONSOLIDADO LABOR'!B612</f>
        <v>65801446</v>
      </c>
      <c r="I2" s="36">
        <f t="shared" ref="I2:I12" si="1">+(H2*100)/$H$18</f>
        <v>49.04646043645301</v>
      </c>
      <c r="J2" s="183"/>
      <c r="K2" s="189" t="s">
        <v>80</v>
      </c>
      <c r="L2" s="4" t="s">
        <v>14</v>
      </c>
      <c r="M2" s="43">
        <v>60017884</v>
      </c>
      <c r="N2" s="32">
        <v>40.340043755694275</v>
      </c>
      <c r="Q2" s="189" t="s">
        <v>81</v>
      </c>
      <c r="R2" s="4" t="s">
        <v>14</v>
      </c>
      <c r="S2" s="43">
        <v>58199567</v>
      </c>
      <c r="T2" s="32">
        <f>+(S2*100)/S22</f>
        <v>38.061669023430646</v>
      </c>
      <c r="W2" s="205" t="s">
        <v>83</v>
      </c>
      <c r="X2" s="206" t="s">
        <v>14</v>
      </c>
      <c r="Y2" s="207">
        <v>63934305.5</v>
      </c>
      <c r="Z2" s="208">
        <f>+(Y2*100)/Y21</f>
        <v>68.388283396269287</v>
      </c>
      <c r="AD2" s="187" t="s">
        <v>84</v>
      </c>
      <c r="AE2" s="1" t="s">
        <v>14</v>
      </c>
      <c r="AF2" s="43">
        <v>0</v>
      </c>
      <c r="AG2" s="32" t="e">
        <f t="shared" ref="AG2:AG14" si="2">+(AF2*100)/$AF$18</f>
        <v>#DIV/0!</v>
      </c>
      <c r="AK2" s="187" t="s">
        <v>85</v>
      </c>
      <c r="AL2" s="1" t="s">
        <v>14</v>
      </c>
      <c r="AM2" s="43">
        <v>0</v>
      </c>
      <c r="AN2" s="32" t="e">
        <f t="shared" ref="AN2:AN14" si="3">+(AM2*100)/$AM$18</f>
        <v>#DIV/0!</v>
      </c>
      <c r="AS2" s="189" t="s">
        <v>86</v>
      </c>
      <c r="AT2" s="4" t="s">
        <v>14</v>
      </c>
      <c r="AU2" s="43">
        <v>0</v>
      </c>
      <c r="AV2" s="32" t="e">
        <f>+(AU2*100)/AU21</f>
        <v>#DIV/0!</v>
      </c>
      <c r="BA2" s="189" t="s">
        <v>87</v>
      </c>
      <c r="BB2" s="4" t="s">
        <v>14</v>
      </c>
      <c r="BC2" s="43">
        <v>0</v>
      </c>
      <c r="BD2" s="32" t="e">
        <f>+(BC2*100)/BC21</f>
        <v>#DIV/0!</v>
      </c>
      <c r="BH2" s="189" t="s">
        <v>57</v>
      </c>
      <c r="BI2" s="4" t="s">
        <v>14</v>
      </c>
      <c r="BJ2" s="43">
        <v>0</v>
      </c>
      <c r="BK2" s="32" t="e">
        <f>+(BJ2*100)/BJ22</f>
        <v>#DIV/0!</v>
      </c>
      <c r="BO2" s="189" t="s">
        <v>58</v>
      </c>
      <c r="BP2" s="4" t="s">
        <v>14</v>
      </c>
      <c r="BQ2" s="43">
        <v>0</v>
      </c>
      <c r="BR2" s="32" t="e">
        <f>+(BQ2*100)/BQ22</f>
        <v>#DIV/0!</v>
      </c>
      <c r="BV2" s="189" t="s">
        <v>59</v>
      </c>
      <c r="BW2" s="4" t="s">
        <v>14</v>
      </c>
      <c r="BX2" s="43">
        <v>0</v>
      </c>
      <c r="BY2" s="32" t="e">
        <f>+(BX2*100)/BX22</f>
        <v>#DIV/0!</v>
      </c>
    </row>
    <row r="3" spans="1:77" x14ac:dyDescent="0.25">
      <c r="A3" s="193"/>
      <c r="B3" s="1" t="s">
        <v>66</v>
      </c>
      <c r="C3" s="1">
        <f>+'[44]CONSOLIDADO LABOR'!B554+'[44]CONSOLIDADO LABOR'!B574</f>
        <v>34100750</v>
      </c>
      <c r="D3" s="40">
        <f t="shared" si="0"/>
        <v>24.880072117060426</v>
      </c>
      <c r="E3" s="183"/>
      <c r="F3" s="193"/>
      <c r="G3" s="1" t="s">
        <v>66</v>
      </c>
      <c r="H3" s="43">
        <f>+'[44]CONSOLIDADO LABOR'!B41+'[44]CONSOLIDADO LABOR'!B60</f>
        <v>25661500</v>
      </c>
      <c r="I3" s="36">
        <f t="shared" si="1"/>
        <v>19.12732654066658</v>
      </c>
      <c r="J3" s="183"/>
      <c r="K3" s="189"/>
      <c r="L3" s="4" t="s">
        <v>0</v>
      </c>
      <c r="M3" s="43">
        <v>7073528</v>
      </c>
      <c r="N3" s="32">
        <v>4.7543567018645412</v>
      </c>
      <c r="Q3" s="189"/>
      <c r="R3" s="4" t="s">
        <v>0</v>
      </c>
      <c r="S3" s="43">
        <v>8076073</v>
      </c>
      <c r="T3" s="32">
        <f>+(S3*100)/S22</f>
        <v>5.281634097639671</v>
      </c>
      <c r="W3" s="209"/>
      <c r="X3" s="206" t="s">
        <v>0</v>
      </c>
      <c r="Y3" s="207">
        <v>10412790</v>
      </c>
      <c r="Z3" s="208">
        <f>+(Y3*100)/Y21</f>
        <v>11.138196120169614</v>
      </c>
      <c r="AD3" s="188"/>
      <c r="AE3" s="1" t="s">
        <v>73</v>
      </c>
      <c r="AF3" s="43">
        <v>0</v>
      </c>
      <c r="AG3" s="32" t="e">
        <f t="shared" si="2"/>
        <v>#DIV/0!</v>
      </c>
      <c r="AK3" s="188"/>
      <c r="AL3" s="1" t="s">
        <v>73</v>
      </c>
      <c r="AM3" s="43">
        <v>0</v>
      </c>
      <c r="AN3" s="32" t="e">
        <f t="shared" si="3"/>
        <v>#DIV/0!</v>
      </c>
      <c r="AS3" s="189"/>
      <c r="AT3" s="4" t="s">
        <v>0</v>
      </c>
      <c r="AU3" s="43">
        <v>0</v>
      </c>
      <c r="AV3" s="32" t="e">
        <f>+(AU3*100)/AU21</f>
        <v>#DIV/0!</v>
      </c>
      <c r="BA3" s="189"/>
      <c r="BB3" s="4" t="s">
        <v>0</v>
      </c>
      <c r="BC3" s="43">
        <v>0</v>
      </c>
      <c r="BD3" s="32" t="e">
        <f>+(BC3*100)/BC21</f>
        <v>#DIV/0!</v>
      </c>
      <c r="BH3" s="189"/>
      <c r="BI3" s="4" t="s">
        <v>0</v>
      </c>
      <c r="BJ3" s="43">
        <v>0</v>
      </c>
      <c r="BK3" s="32" t="e">
        <f>+(BJ3*100)/BJ22</f>
        <v>#DIV/0!</v>
      </c>
      <c r="BO3" s="189"/>
      <c r="BP3" s="4" t="s">
        <v>0</v>
      </c>
      <c r="BQ3" s="43">
        <v>0</v>
      </c>
      <c r="BR3" s="32" t="e">
        <f>+(BQ3*100)/BQ22</f>
        <v>#DIV/0!</v>
      </c>
      <c r="BV3" s="189"/>
      <c r="BW3" s="4" t="s">
        <v>0</v>
      </c>
      <c r="BX3" s="43">
        <v>0</v>
      </c>
      <c r="BY3" s="32" t="e">
        <f>+(BX3*100)/BX22</f>
        <v>#DIV/0!</v>
      </c>
    </row>
    <row r="4" spans="1:77" x14ac:dyDescent="0.25">
      <c r="A4" s="193"/>
      <c r="B4" s="1" t="s">
        <v>67</v>
      </c>
      <c r="C4" s="1">
        <f>+'[44]CONSOLIDADO LABOR'!B566+'[44]CONSOLIDADO LABOR'!B567+'[44]CONSOLIDADO LABOR'!B568+'[44]CONSOLIDADO LABOR'!B586+'[44]CONSOLIDADO LABOR'!B587+'[44]CONSOLIDADO LABOR'!B588</f>
        <v>10288630</v>
      </c>
      <c r="D4" s="40">
        <f t="shared" si="0"/>
        <v>7.5066342055746986</v>
      </c>
      <c r="E4" s="183"/>
      <c r="F4" s="193"/>
      <c r="G4" s="1" t="s">
        <v>67</v>
      </c>
      <c r="H4" s="43">
        <f>+'[44]CONSOLIDADO LABOR'!B606+'[44]CONSOLIDADO LABOR'!B607+'[44]CONSOLIDADO LABOR'!B608+'[44]CONSOLIDADO LABOR'!B626+'[44]CONSOLIDADO LABOR'!B627+'[44]CONSOLIDADO LABOR'!B628</f>
        <v>13384884.8125</v>
      </c>
      <c r="I4" s="36">
        <f t="shared" si="1"/>
        <v>9.9766990440113119</v>
      </c>
      <c r="J4" s="183"/>
      <c r="K4" s="189"/>
      <c r="L4" s="4" t="s">
        <v>1</v>
      </c>
      <c r="M4" s="43">
        <v>21459750</v>
      </c>
      <c r="N4" s="32">
        <v>14.423821639334372</v>
      </c>
      <c r="Q4" s="189"/>
      <c r="R4" s="4" t="s">
        <v>1</v>
      </c>
      <c r="S4" s="43">
        <v>30371250</v>
      </c>
      <c r="T4" s="32">
        <f>+(S4*100)/S22</f>
        <v>19.86235508123055</v>
      </c>
      <c r="W4" s="209"/>
      <c r="X4" s="206" t="s">
        <v>2</v>
      </c>
      <c r="Y4" s="207">
        <v>600625</v>
      </c>
      <c r="Z4" s="208">
        <f>+(Y4*100)/Y21</f>
        <v>0.64246748898968231</v>
      </c>
      <c r="AD4" s="188"/>
      <c r="AE4" s="1" t="s">
        <v>70</v>
      </c>
      <c r="AF4" s="1">
        <v>0</v>
      </c>
      <c r="AG4" s="32" t="e">
        <f t="shared" si="2"/>
        <v>#DIV/0!</v>
      </c>
      <c r="AK4" s="188"/>
      <c r="AL4" s="1" t="s">
        <v>67</v>
      </c>
      <c r="AM4" s="43">
        <v>0</v>
      </c>
      <c r="AN4" s="32" t="e">
        <f t="shared" si="3"/>
        <v>#DIV/0!</v>
      </c>
      <c r="AS4" s="189"/>
      <c r="AT4" s="4" t="s">
        <v>1</v>
      </c>
      <c r="AU4" s="43">
        <v>0</v>
      </c>
      <c r="AV4" s="32" t="e">
        <f>+(AU4*100)/AU21</f>
        <v>#DIV/0!</v>
      </c>
      <c r="BA4" s="189"/>
      <c r="BB4" s="4" t="s">
        <v>1</v>
      </c>
      <c r="BC4" s="43">
        <v>0</v>
      </c>
      <c r="BD4" s="32" t="e">
        <f>+(BC4*100)/BC21</f>
        <v>#DIV/0!</v>
      </c>
      <c r="BH4" s="189"/>
      <c r="BI4" s="4" t="s">
        <v>1</v>
      </c>
      <c r="BJ4" s="43">
        <v>0</v>
      </c>
      <c r="BK4" s="32" t="e">
        <f>+(BJ4*100)/BJ22</f>
        <v>#DIV/0!</v>
      </c>
      <c r="BO4" s="189"/>
      <c r="BP4" s="4" t="s">
        <v>1</v>
      </c>
      <c r="BQ4" s="43">
        <v>0</v>
      </c>
      <c r="BR4" s="32" t="e">
        <f>+(BQ4*100)/BQ22</f>
        <v>#DIV/0!</v>
      </c>
      <c r="BV4" s="189"/>
      <c r="BW4" s="4" t="s">
        <v>1</v>
      </c>
      <c r="BX4" s="43">
        <v>0</v>
      </c>
      <c r="BY4" s="32" t="e">
        <f>+(BX4*100)/BX22</f>
        <v>#DIV/0!</v>
      </c>
    </row>
    <row r="5" spans="1:77" x14ac:dyDescent="0.25">
      <c r="A5" s="193"/>
      <c r="B5" s="1" t="s">
        <v>64</v>
      </c>
      <c r="C5" s="1">
        <f>+'[44]CONSOLIDADO LABOR'!B559+'[44]CONSOLIDADO LABOR'!B563+'[44]CONSOLIDADO LABOR'!B579+'[44]CONSOLIDADO LABOR'!B580</f>
        <v>6610399</v>
      </c>
      <c r="D5" s="40">
        <f t="shared" si="0"/>
        <v>4.8229790794203682</v>
      </c>
      <c r="E5" s="183"/>
      <c r="F5" s="193"/>
      <c r="G5" s="1" t="s">
        <v>21</v>
      </c>
      <c r="H5" s="43">
        <f>+'[44]CONSOLIDADO LABOR'!B605+'[44]CONSOLIDADO LABOR'!B625</f>
        <v>6392748.333333334</v>
      </c>
      <c r="I5" s="36">
        <f t="shared" si="1"/>
        <v>4.7649663840371268</v>
      </c>
      <c r="J5" s="183"/>
      <c r="K5" s="189"/>
      <c r="L5" s="4" t="s">
        <v>2</v>
      </c>
      <c r="M5" s="1">
        <v>3255550</v>
      </c>
      <c r="N5" s="32">
        <v>2.1881649384515205</v>
      </c>
      <c r="Q5" s="189"/>
      <c r="R5" s="4" t="s">
        <v>2</v>
      </c>
      <c r="S5" s="43">
        <v>1117950</v>
      </c>
      <c r="T5" s="32">
        <f>+(S5*100)/S22</f>
        <v>0.73112301479398101</v>
      </c>
      <c r="W5" s="209"/>
      <c r="X5" s="206" t="s">
        <v>168</v>
      </c>
      <c r="Y5" s="207">
        <v>4900000</v>
      </c>
      <c r="Z5" s="208">
        <f>+(Y5*100)/Y21</f>
        <v>5.2413580787503742</v>
      </c>
      <c r="AD5" s="188"/>
      <c r="AE5" s="1" t="s">
        <v>67</v>
      </c>
      <c r="AF5" s="43">
        <v>0</v>
      </c>
      <c r="AG5" s="32" t="e">
        <f t="shared" si="2"/>
        <v>#DIV/0!</v>
      </c>
      <c r="AK5" s="188"/>
      <c r="AL5" s="1" t="s">
        <v>70</v>
      </c>
      <c r="AM5" s="1">
        <v>0</v>
      </c>
      <c r="AN5" s="32" t="e">
        <f t="shared" si="3"/>
        <v>#DIV/0!</v>
      </c>
      <c r="AS5" s="189"/>
      <c r="AT5" s="4" t="s">
        <v>2</v>
      </c>
      <c r="AU5" s="43">
        <v>0</v>
      </c>
      <c r="AV5" s="32" t="e">
        <f>+(AU5*100)/AU21</f>
        <v>#DIV/0!</v>
      </c>
      <c r="BA5" s="189"/>
      <c r="BB5" s="4" t="s">
        <v>2</v>
      </c>
      <c r="BC5" s="43">
        <v>0</v>
      </c>
      <c r="BD5" s="32" t="e">
        <f>+(BC5*100)/BC21</f>
        <v>#DIV/0!</v>
      </c>
      <c r="BH5" s="189"/>
      <c r="BI5" s="4" t="s">
        <v>2</v>
      </c>
      <c r="BJ5" s="43">
        <v>0</v>
      </c>
      <c r="BK5" s="32" t="e">
        <f>+(BJ5*100)/BJ22</f>
        <v>#DIV/0!</v>
      </c>
      <c r="BO5" s="189"/>
      <c r="BP5" s="4" t="s">
        <v>2</v>
      </c>
      <c r="BQ5" s="43">
        <v>0</v>
      </c>
      <c r="BR5" s="32" t="e">
        <f>+(BQ5*100)/BQ22</f>
        <v>#DIV/0!</v>
      </c>
      <c r="BV5" s="189"/>
      <c r="BW5" s="4" t="s">
        <v>2</v>
      </c>
      <c r="BX5" s="43">
        <v>0</v>
      </c>
      <c r="BY5" s="32" t="e">
        <f>+(BX5*100)/BX22</f>
        <v>#DIV/0!</v>
      </c>
    </row>
    <row r="6" spans="1:77" x14ac:dyDescent="0.25">
      <c r="A6" s="193"/>
      <c r="B6" s="1" t="s">
        <v>21</v>
      </c>
      <c r="C6" s="1">
        <f>+'[44]CONSOLIDADO LABOR'!B565+'[44]CONSOLIDADO LABOR'!B585</f>
        <v>5432956</v>
      </c>
      <c r="D6" s="40">
        <f t="shared" si="0"/>
        <v>3.9639109723046015</v>
      </c>
      <c r="E6" s="183"/>
      <c r="F6" s="193"/>
      <c r="G6" s="1" t="s">
        <v>71</v>
      </c>
      <c r="H6" s="1">
        <f>+'[44]CONSOLIDADO LABOR'!B602+'[44]CONSOLIDADO LABOR'!B622</f>
        <v>5939500</v>
      </c>
      <c r="I6" s="36">
        <f t="shared" si="1"/>
        <v>4.4271284214987103</v>
      </c>
      <c r="J6" s="183"/>
      <c r="K6" s="189"/>
      <c r="L6" s="4" t="s">
        <v>162</v>
      </c>
      <c r="M6" s="1">
        <v>4400000</v>
      </c>
      <c r="N6" s="32">
        <v>2.9573883765221516</v>
      </c>
      <c r="Q6" s="189"/>
      <c r="R6" s="4" t="s">
        <v>162</v>
      </c>
      <c r="S6" s="43">
        <v>4550000</v>
      </c>
      <c r="T6" s="32">
        <f>+(S6*100)/S22</f>
        <v>2.9756337200345397</v>
      </c>
      <c r="W6" s="209"/>
      <c r="X6" s="206" t="s">
        <v>169</v>
      </c>
      <c r="Y6" s="207">
        <v>0</v>
      </c>
      <c r="Z6" s="208">
        <f>+(Y6*100)/Y21</f>
        <v>0</v>
      </c>
      <c r="AD6" s="188"/>
      <c r="AE6" s="1" t="s">
        <v>21</v>
      </c>
      <c r="AF6" s="1">
        <v>0</v>
      </c>
      <c r="AG6" s="32" t="e">
        <f t="shared" si="2"/>
        <v>#DIV/0!</v>
      </c>
      <c r="AK6" s="188"/>
      <c r="AL6" s="1" t="s">
        <v>21</v>
      </c>
      <c r="AM6" s="1">
        <v>0</v>
      </c>
      <c r="AN6" s="32" t="e">
        <f t="shared" si="3"/>
        <v>#DIV/0!</v>
      </c>
      <c r="AS6" s="189"/>
      <c r="AT6" s="4" t="s">
        <v>3</v>
      </c>
      <c r="AU6" s="43">
        <v>0</v>
      </c>
      <c r="AV6" s="32" t="e">
        <f>+(AU6*100)/AU21</f>
        <v>#DIV/0!</v>
      </c>
      <c r="BA6" s="189"/>
      <c r="BB6" s="4" t="s">
        <v>3</v>
      </c>
      <c r="BC6" s="43">
        <v>0</v>
      </c>
      <c r="BD6" s="32" t="e">
        <f>+(BC6*100)/BC21</f>
        <v>#DIV/0!</v>
      </c>
      <c r="BH6" s="189"/>
      <c r="BI6" s="4" t="s">
        <v>162</v>
      </c>
      <c r="BJ6" s="43">
        <v>0</v>
      </c>
      <c r="BK6" s="32" t="e">
        <f>+(BJ6*100)/BJ22</f>
        <v>#DIV/0!</v>
      </c>
      <c r="BO6" s="189"/>
      <c r="BP6" s="4" t="s">
        <v>162</v>
      </c>
      <c r="BQ6" s="43">
        <v>0</v>
      </c>
      <c r="BR6" s="32" t="e">
        <f>+(BQ6*100)/BQ22</f>
        <v>#DIV/0!</v>
      </c>
      <c r="BV6" s="189"/>
      <c r="BW6" s="4" t="s">
        <v>162</v>
      </c>
      <c r="BX6" s="43">
        <v>0</v>
      </c>
      <c r="BY6" s="32" t="e">
        <f>+(BX6*100)/BX22</f>
        <v>#DIV/0!</v>
      </c>
    </row>
    <row r="7" spans="1:77" x14ac:dyDescent="0.25">
      <c r="A7" s="193"/>
      <c r="B7" s="1" t="str">
        <f>+G8</f>
        <v>MOVIMIENTO DE ROCA</v>
      </c>
      <c r="C7" s="1">
        <f>+'[44]CONSOLIDADO LABOR'!B562+'[44]CONSOLIDADO LABOR'!B582</f>
        <v>5089000</v>
      </c>
      <c r="D7" s="40">
        <f t="shared" si="0"/>
        <v>3.7129590112745472</v>
      </c>
      <c r="E7" s="183"/>
      <c r="F7" s="193"/>
      <c r="G7" s="1" t="s">
        <v>92</v>
      </c>
      <c r="H7" s="1">
        <f>+'[44]CONSOLIDADO LABOR'!B611+'[44]CONSOLIDADO LABOR'!B631</f>
        <v>4814140</v>
      </c>
      <c r="I7" s="36">
        <f t="shared" si="1"/>
        <v>3.5883182118147658</v>
      </c>
      <c r="J7" s="183"/>
      <c r="K7" s="189"/>
      <c r="L7" s="4" t="s">
        <v>163</v>
      </c>
      <c r="M7" s="43">
        <v>318100</v>
      </c>
      <c r="N7" s="32">
        <v>0.21380573694811281</v>
      </c>
      <c r="Q7" s="189"/>
      <c r="R7" s="4" t="s">
        <v>163</v>
      </c>
      <c r="S7" s="43">
        <v>743500</v>
      </c>
      <c r="T7" s="32">
        <f>+(S7*100)/S22</f>
        <v>0.486238169416633</v>
      </c>
      <c r="W7" s="209"/>
      <c r="X7" s="206" t="s">
        <v>4</v>
      </c>
      <c r="Y7" s="207">
        <v>1841400</v>
      </c>
      <c r="Z7" s="208">
        <f>+(Y7*100)/Y21</f>
        <v>1.96968097269611</v>
      </c>
      <c r="AD7" s="188"/>
      <c r="AE7" s="1" t="s">
        <v>71</v>
      </c>
      <c r="AF7" s="43">
        <v>0</v>
      </c>
      <c r="AG7" s="32" t="e">
        <f t="shared" si="2"/>
        <v>#DIV/0!</v>
      </c>
      <c r="AK7" s="188"/>
      <c r="AL7" s="1" t="s">
        <v>71</v>
      </c>
      <c r="AM7" s="43">
        <v>0</v>
      </c>
      <c r="AN7" s="32" t="e">
        <f t="shared" si="3"/>
        <v>#DIV/0!</v>
      </c>
      <c r="AS7" s="189"/>
      <c r="AT7" s="4" t="s">
        <v>4</v>
      </c>
      <c r="AU7" s="43">
        <v>0</v>
      </c>
      <c r="AV7" s="32" t="e">
        <f>+(AU7*100)/AU21</f>
        <v>#DIV/0!</v>
      </c>
      <c r="BA7" s="189"/>
      <c r="BB7" s="4" t="s">
        <v>4</v>
      </c>
      <c r="BC7" s="43">
        <v>0</v>
      </c>
      <c r="BD7" s="32" t="e">
        <f>+(BC7*100)/BC21</f>
        <v>#DIV/0!</v>
      </c>
      <c r="BH7" s="189"/>
      <c r="BI7" s="4" t="s">
        <v>3</v>
      </c>
      <c r="BJ7" s="43">
        <v>0</v>
      </c>
      <c r="BK7" s="32" t="e">
        <f>+(BJ7*100)/BJ22</f>
        <v>#DIV/0!</v>
      </c>
      <c r="BO7" s="189"/>
      <c r="BP7" s="4" t="s">
        <v>163</v>
      </c>
      <c r="BQ7" s="43">
        <v>0</v>
      </c>
      <c r="BR7" s="32" t="e">
        <f>+(BQ7*100)/BQ22</f>
        <v>#DIV/0!</v>
      </c>
      <c r="BV7" s="189"/>
      <c r="BW7" s="4" t="s">
        <v>163</v>
      </c>
      <c r="BX7" s="43">
        <v>0</v>
      </c>
      <c r="BY7" s="32" t="e">
        <f>+(BX7*100)/BX22</f>
        <v>#DIV/0!</v>
      </c>
    </row>
    <row r="8" spans="1:77" x14ac:dyDescent="0.25">
      <c r="A8" s="193"/>
      <c r="B8" s="1" t="s">
        <v>61</v>
      </c>
      <c r="C8" s="1">
        <f>+'[44]CONSOLIDADO LABOR'!B553+'[44]CONSOLIDADO LABOR'!B555+'[44]CONSOLIDADO LABOR'!B556+'[44]CONSOLIDADO LABOR'!B573+'[44]CONSOLIDADO LABOR'!B575+'[44]CONSOLIDADO LABOR'!B576</f>
        <v>5045450</v>
      </c>
      <c r="D8" s="40">
        <f t="shared" si="0"/>
        <v>3.6811847206592971</v>
      </c>
      <c r="E8" s="183"/>
      <c r="F8" s="193"/>
      <c r="G8" s="1" t="s">
        <v>70</v>
      </c>
      <c r="H8" s="1">
        <f>+'[44]CONSOLIDADO LABOR'!B599+'[44]CONSOLIDADO LABOR'!B603+'[44]CONSOLIDADO LABOR'!B619+'[44]CONSOLIDADO LABOR'!B623</f>
        <v>4131000</v>
      </c>
      <c r="I8" s="36">
        <f t="shared" si="1"/>
        <v>3.0791257697131362</v>
      </c>
      <c r="J8" s="183"/>
      <c r="K8" s="189"/>
      <c r="L8" s="4" t="s">
        <v>4</v>
      </c>
      <c r="M8" s="1">
        <v>2292050</v>
      </c>
      <c r="N8" s="32">
        <v>1.5405640973653629</v>
      </c>
      <c r="Q8" s="189"/>
      <c r="R8" s="4" t="s">
        <v>4</v>
      </c>
      <c r="S8" s="43">
        <v>1749200</v>
      </c>
      <c r="T8" s="32">
        <f>+(S8*100)/S22</f>
        <v>1.1439513193592123</v>
      </c>
      <c r="W8" s="209"/>
      <c r="X8" s="206" t="s">
        <v>5</v>
      </c>
      <c r="Y8" s="207">
        <v>1753400</v>
      </c>
      <c r="Z8" s="208">
        <f>+(Y8*100)/Y21</f>
        <v>1.8755504602614095</v>
      </c>
      <c r="AD8" s="188"/>
      <c r="AE8" s="1" t="s">
        <v>63</v>
      </c>
      <c r="AF8" s="1">
        <v>0</v>
      </c>
      <c r="AG8" s="32" t="e">
        <f t="shared" si="2"/>
        <v>#DIV/0!</v>
      </c>
      <c r="AK8" s="188"/>
      <c r="AL8" s="1" t="s">
        <v>61</v>
      </c>
      <c r="AM8" s="43">
        <v>0</v>
      </c>
      <c r="AN8" s="32" t="e">
        <f t="shared" si="3"/>
        <v>#DIV/0!</v>
      </c>
      <c r="AS8" s="189"/>
      <c r="AT8" s="4" t="s">
        <v>5</v>
      </c>
      <c r="AU8" s="43">
        <v>0</v>
      </c>
      <c r="AV8" s="32" t="e">
        <f>+(AU8*100)/AU21</f>
        <v>#DIV/0!</v>
      </c>
      <c r="BA8" s="189"/>
      <c r="BB8" s="4" t="s">
        <v>5</v>
      </c>
      <c r="BC8" s="43">
        <v>0</v>
      </c>
      <c r="BD8" s="32" t="e">
        <f>+(BC8*100)/BC21</f>
        <v>#DIV/0!</v>
      </c>
      <c r="BH8" s="189"/>
      <c r="BI8" s="4" t="s">
        <v>4</v>
      </c>
      <c r="BJ8" s="43">
        <v>0</v>
      </c>
      <c r="BK8" s="32" t="e">
        <f>+(BJ8*100)/BJ22</f>
        <v>#DIV/0!</v>
      </c>
      <c r="BO8" s="189"/>
      <c r="BP8" s="4" t="s">
        <v>4</v>
      </c>
      <c r="BQ8" s="43">
        <v>0</v>
      </c>
      <c r="BR8" s="32" t="e">
        <f>+(BQ8*100)/BQ22</f>
        <v>#DIV/0!</v>
      </c>
      <c r="BV8" s="189"/>
      <c r="BW8" s="4" t="s">
        <v>4</v>
      </c>
      <c r="BX8" s="43">
        <v>0</v>
      </c>
      <c r="BY8" s="32" t="e">
        <f>+(BX8*100)/BX22</f>
        <v>#DIV/0!</v>
      </c>
    </row>
    <row r="9" spans="1:77" x14ac:dyDescent="0.25">
      <c r="A9" s="193"/>
      <c r="B9" s="1" t="s">
        <v>63</v>
      </c>
      <c r="C9" s="1">
        <f>+'[44]CONSOLIDADO LABOR'!B558+'[44]CONSOLIDADO LABOR'!B578</f>
        <v>3831630</v>
      </c>
      <c r="D9" s="40">
        <f t="shared" si="0"/>
        <v>2.7955757784181356</v>
      </c>
      <c r="E9" s="183"/>
      <c r="F9" s="193"/>
      <c r="G9" s="1" t="s">
        <v>63</v>
      </c>
      <c r="H9" s="43">
        <f>+'[44]CONSOLIDADO LABOR'!B598+'[44]CONSOLIDADO LABOR'!B610+'[44]CONSOLIDADO LABOR'!B618+'[44]CONSOLIDADO LABOR'!B630</f>
        <v>3382000</v>
      </c>
      <c r="I9" s="36">
        <f t="shared" si="1"/>
        <v>2.5208432227474771</v>
      </c>
      <c r="J9" s="183"/>
      <c r="K9" s="189"/>
      <c r="L9" s="4" t="s">
        <v>5</v>
      </c>
      <c r="M9" s="43">
        <v>4796050</v>
      </c>
      <c r="N9" s="32">
        <v>3.2235869370952419</v>
      </c>
      <c r="Q9" s="189"/>
      <c r="R9" s="4" t="s">
        <v>5</v>
      </c>
      <c r="S9" s="43">
        <v>5741275.3499999996</v>
      </c>
      <c r="T9" s="32">
        <f>+(S9*100)/S22</f>
        <v>3.7547104455962863</v>
      </c>
      <c r="W9" s="209"/>
      <c r="X9" s="206" t="s">
        <v>9</v>
      </c>
      <c r="Y9" s="207">
        <v>2988300.3</v>
      </c>
      <c r="Z9" s="208">
        <f>+(Y9*100)/Y21</f>
        <v>3.1964799834973809</v>
      </c>
      <c r="AD9" s="188"/>
      <c r="AE9" s="1" t="s">
        <v>61</v>
      </c>
      <c r="AF9" s="43">
        <v>0</v>
      </c>
      <c r="AG9" s="32" t="e">
        <f t="shared" si="2"/>
        <v>#DIV/0!</v>
      </c>
      <c r="AK9" s="188"/>
      <c r="AL9" s="1" t="s">
        <v>63</v>
      </c>
      <c r="AM9" s="1">
        <v>0</v>
      </c>
      <c r="AN9" s="32" t="e">
        <f t="shared" si="3"/>
        <v>#DIV/0!</v>
      </c>
      <c r="AS9" s="189"/>
      <c r="AT9" s="4" t="s">
        <v>47</v>
      </c>
      <c r="AU9" s="43">
        <v>0</v>
      </c>
      <c r="AV9" s="32" t="e">
        <f>+(AU9*100)/AU21</f>
        <v>#DIV/0!</v>
      </c>
      <c r="BA9" s="189"/>
      <c r="BB9" s="4" t="s">
        <v>47</v>
      </c>
      <c r="BC9" s="43">
        <v>0</v>
      </c>
      <c r="BD9" s="32" t="e">
        <f>+(BC9*100)/BC21</f>
        <v>#DIV/0!</v>
      </c>
      <c r="BH9" s="189"/>
      <c r="BI9" s="4" t="s">
        <v>5</v>
      </c>
      <c r="BJ9" s="43">
        <v>0</v>
      </c>
      <c r="BK9" s="32" t="e">
        <f>+(BJ9*100)/BJ22</f>
        <v>#DIV/0!</v>
      </c>
      <c r="BO9" s="189"/>
      <c r="BP9" s="4" t="s">
        <v>5</v>
      </c>
      <c r="BQ9" s="43">
        <v>0</v>
      </c>
      <c r="BR9" s="32" t="e">
        <f>+(BQ9*100)/BQ22</f>
        <v>#DIV/0!</v>
      </c>
      <c r="BV9" s="189"/>
      <c r="BW9" s="4" t="s">
        <v>5</v>
      </c>
      <c r="BX9" s="43">
        <v>0</v>
      </c>
      <c r="BY9" s="32" t="e">
        <f>+(BX9*100)/BX22</f>
        <v>#DIV/0!</v>
      </c>
    </row>
    <row r="10" spans="1:77" x14ac:dyDescent="0.25">
      <c r="A10" s="193"/>
      <c r="B10" s="1" t="s">
        <v>92</v>
      </c>
      <c r="C10" s="1">
        <f>+'[44]CONSOLIDADO LABOR'!B571+'[44]CONSOLIDADO LABOR'!B591</f>
        <v>3723270</v>
      </c>
      <c r="D10" s="40">
        <f t="shared" si="0"/>
        <v>2.7165157983706392</v>
      </c>
      <c r="E10" s="183"/>
      <c r="F10" s="193"/>
      <c r="G10" s="1" t="s">
        <v>61</v>
      </c>
      <c r="H10" s="43">
        <f>+'[44]CONSOLIDADO LABOR'!B593+'[44]CONSOLIDADO LABOR'!B595+'[44]CONSOLIDADO LABOR'!B613+'[44]CONSOLIDADO LABOR'!B615</f>
        <v>3170410</v>
      </c>
      <c r="I10" s="36">
        <f t="shared" si="1"/>
        <v>2.3631302666560696</v>
      </c>
      <c r="J10" s="183"/>
      <c r="K10" s="189"/>
      <c r="L10" s="4" t="s">
        <v>47</v>
      </c>
      <c r="M10" s="1">
        <v>6040100</v>
      </c>
      <c r="N10" s="32">
        <v>4.0597548938707835</v>
      </c>
      <c r="Q10" s="189"/>
      <c r="R10" s="4" t="s">
        <v>47</v>
      </c>
      <c r="S10" s="43">
        <v>4674800</v>
      </c>
      <c r="T10" s="32">
        <f>+(S10*100)/S22</f>
        <v>3.0572511020697726</v>
      </c>
      <c r="W10" s="209"/>
      <c r="X10" s="206" t="s">
        <v>71</v>
      </c>
      <c r="Y10" s="207">
        <v>6730000</v>
      </c>
      <c r="Z10" s="208">
        <f>+(Y10*100)/Y21</f>
        <v>7.1988448714265338</v>
      </c>
      <c r="AD10" s="188"/>
      <c r="AE10" s="1" t="s">
        <v>92</v>
      </c>
      <c r="AF10" s="1">
        <v>0</v>
      </c>
      <c r="AG10" s="32" t="e">
        <f t="shared" si="2"/>
        <v>#DIV/0!</v>
      </c>
      <c r="AK10" s="188"/>
      <c r="AL10" s="1" t="s">
        <v>72</v>
      </c>
      <c r="AM10" s="1">
        <v>0</v>
      </c>
      <c r="AN10" s="32" t="e">
        <f t="shared" si="3"/>
        <v>#DIV/0!</v>
      </c>
      <c r="AS10" s="189"/>
      <c r="AT10" s="4" t="s">
        <v>48</v>
      </c>
      <c r="AU10" s="43">
        <v>0</v>
      </c>
      <c r="AV10" s="32" t="e">
        <f t="shared" ref="AV10:AV19" si="4">+(AU10*100)/$AM$18</f>
        <v>#DIV/0!</v>
      </c>
      <c r="BA10" s="189"/>
      <c r="BB10" s="4" t="s">
        <v>48</v>
      </c>
      <c r="BC10" s="43">
        <v>0</v>
      </c>
      <c r="BD10" s="32" t="e">
        <f t="shared" ref="BD10" si="5">+(BC10*100)/$AM$18</f>
        <v>#DIV/0!</v>
      </c>
      <c r="BH10" s="189"/>
      <c r="BI10" s="4" t="s">
        <v>47</v>
      </c>
      <c r="BJ10" s="43">
        <v>0</v>
      </c>
      <c r="BK10" s="32" t="e">
        <f>+(BJ10*100)/BJ22</f>
        <v>#DIV/0!</v>
      </c>
      <c r="BO10" s="189"/>
      <c r="BP10" s="4" t="s">
        <v>47</v>
      </c>
      <c r="BQ10" s="43">
        <v>0</v>
      </c>
      <c r="BR10" s="32" t="e">
        <f>+(BQ10*100)/BQ22</f>
        <v>#DIV/0!</v>
      </c>
      <c r="BV10" s="189"/>
      <c r="BW10" s="4" t="s">
        <v>47</v>
      </c>
      <c r="BX10" s="43">
        <v>0</v>
      </c>
      <c r="BY10" s="32" t="e">
        <f>+(BX10*100)/BX22</f>
        <v>#DIV/0!</v>
      </c>
    </row>
    <row r="11" spans="1:77" x14ac:dyDescent="0.25">
      <c r="A11" s="193"/>
      <c r="B11" s="1" t="s">
        <v>10</v>
      </c>
      <c r="C11" s="1">
        <f>+'[44]CONSOLIDADO LABOR'!B561</f>
        <v>117331</v>
      </c>
      <c r="D11" s="40">
        <f t="shared" si="0"/>
        <v>8.5605265032787162E-2</v>
      </c>
      <c r="E11" s="183"/>
      <c r="F11" s="193"/>
      <c r="G11" s="1" t="s">
        <v>62</v>
      </c>
      <c r="H11" s="1">
        <f>+'[44]CONSOLIDADO LABOR'!B597+'[44]CONSOLIDADO LABOR'!B617</f>
        <v>1263850</v>
      </c>
      <c r="I11" s="36">
        <f t="shared" si="1"/>
        <v>0.94203657808083929</v>
      </c>
      <c r="J11" s="183"/>
      <c r="K11" s="189"/>
      <c r="L11" s="4" t="s">
        <v>164</v>
      </c>
      <c r="M11" s="1">
        <v>4672087</v>
      </c>
      <c r="N11" s="32">
        <v>3.1402672245227836</v>
      </c>
      <c r="Q11" s="189"/>
      <c r="R11" s="4" t="s">
        <v>164</v>
      </c>
      <c r="S11" s="43">
        <v>2567987</v>
      </c>
      <c r="T11" s="32">
        <f>+(S11*100)/S22</f>
        <v>1.6794260900682059</v>
      </c>
      <c r="W11" s="209"/>
      <c r="X11" s="206" t="s">
        <v>10</v>
      </c>
      <c r="Y11" s="207">
        <v>0</v>
      </c>
      <c r="Z11" s="208"/>
      <c r="AD11" s="188"/>
      <c r="AE11" s="1" t="s">
        <v>72</v>
      </c>
      <c r="AF11" s="1">
        <v>0</v>
      </c>
      <c r="AG11" s="32" t="e">
        <f t="shared" si="2"/>
        <v>#DIV/0!</v>
      </c>
      <c r="AK11" s="188"/>
      <c r="AL11" s="1" t="s">
        <v>92</v>
      </c>
      <c r="AM11" s="1">
        <v>0</v>
      </c>
      <c r="AN11" s="32" t="e">
        <f t="shared" si="3"/>
        <v>#DIV/0!</v>
      </c>
      <c r="AS11" s="189"/>
      <c r="AT11" s="4" t="s">
        <v>49</v>
      </c>
      <c r="AU11" s="43">
        <v>0</v>
      </c>
      <c r="AV11" s="32" t="e">
        <f>+(AU11*100)/AU21</f>
        <v>#DIV/0!</v>
      </c>
      <c r="BA11" s="189"/>
      <c r="BB11" s="4" t="s">
        <v>49</v>
      </c>
      <c r="BC11" s="43">
        <v>0</v>
      </c>
      <c r="BD11" s="32" t="e">
        <f>+(BC11*100)/BC21</f>
        <v>#DIV/0!</v>
      </c>
      <c r="BH11" s="189"/>
      <c r="BI11" s="4" t="s">
        <v>48</v>
      </c>
      <c r="BJ11" s="43">
        <v>0</v>
      </c>
      <c r="BK11" s="32" t="e">
        <f t="shared" ref="BK11" si="6">+(BJ11*100)/$AM$18</f>
        <v>#DIV/0!</v>
      </c>
      <c r="BO11" s="189"/>
      <c r="BP11" s="4" t="s">
        <v>48</v>
      </c>
      <c r="BQ11" s="43">
        <v>0</v>
      </c>
      <c r="BR11" s="32" t="e">
        <f>+(BQ11*100)/BQ22</f>
        <v>#DIV/0!</v>
      </c>
      <c r="BV11" s="189"/>
      <c r="BW11" s="4" t="s">
        <v>48</v>
      </c>
      <c r="BX11" s="43">
        <v>0</v>
      </c>
      <c r="BY11" s="32" t="e">
        <f>+(BX11*100)/BX22</f>
        <v>#DIV/0!</v>
      </c>
    </row>
    <row r="12" spans="1:77" x14ac:dyDescent="0.25">
      <c r="A12" s="193"/>
      <c r="B12" s="1" t="s">
        <v>24</v>
      </c>
      <c r="C12" s="1">
        <v>0</v>
      </c>
      <c r="D12" s="40">
        <f t="shared" si="0"/>
        <v>0</v>
      </c>
      <c r="E12" s="183"/>
      <c r="F12" s="193"/>
      <c r="G12" s="1" t="s">
        <v>10</v>
      </c>
      <c r="H12" s="1">
        <f>+'[44]CONSOLIDADO LABOR'!B621</f>
        <v>219977.99999999997</v>
      </c>
      <c r="I12" s="36">
        <f t="shared" si="1"/>
        <v>0.16396512432097704</v>
      </c>
      <c r="J12" s="183"/>
      <c r="K12" s="189"/>
      <c r="L12" s="4" t="s">
        <v>50</v>
      </c>
      <c r="M12" s="1">
        <v>7930500</v>
      </c>
      <c r="N12" s="32">
        <v>5.3303564818202096</v>
      </c>
      <c r="Q12" s="189"/>
      <c r="R12" s="4" t="s">
        <v>50</v>
      </c>
      <c r="S12" s="43">
        <v>7364000</v>
      </c>
      <c r="T12" s="32">
        <f>+(S12*100)/S22</f>
        <v>4.8159487284251314</v>
      </c>
      <c r="W12" s="209"/>
      <c r="X12" s="206" t="s">
        <v>3</v>
      </c>
      <c r="Y12" s="207">
        <v>326400</v>
      </c>
      <c r="Z12" s="208"/>
      <c r="AD12" s="188"/>
      <c r="AE12" s="1" t="s">
        <v>10</v>
      </c>
      <c r="AF12" s="1">
        <v>0</v>
      </c>
      <c r="AG12" s="32" t="e">
        <f t="shared" si="2"/>
        <v>#DIV/0!</v>
      </c>
      <c r="AK12" s="188"/>
      <c r="AL12" s="1" t="s">
        <v>10</v>
      </c>
      <c r="AM12" s="1">
        <v>0</v>
      </c>
      <c r="AN12" s="32" t="e">
        <f t="shared" si="3"/>
        <v>#DIV/0!</v>
      </c>
      <c r="AS12" s="189"/>
      <c r="AT12" s="4" t="s">
        <v>50</v>
      </c>
      <c r="AU12" s="43">
        <v>0</v>
      </c>
      <c r="AV12" s="32" t="e">
        <f>+(AU12*100)/AU21</f>
        <v>#DIV/0!</v>
      </c>
      <c r="BA12" s="189"/>
      <c r="BB12" s="4" t="s">
        <v>50</v>
      </c>
      <c r="BC12" s="43">
        <v>0</v>
      </c>
      <c r="BD12" s="32" t="e">
        <f>+(BC12*100)/BC21</f>
        <v>#DIV/0!</v>
      </c>
      <c r="BH12" s="189"/>
      <c r="BI12" s="4" t="s">
        <v>49</v>
      </c>
      <c r="BJ12" s="43">
        <v>0</v>
      </c>
      <c r="BK12" s="32" t="e">
        <f>+(BJ12*100)/BJ22</f>
        <v>#DIV/0!</v>
      </c>
      <c r="BO12" s="189"/>
      <c r="BP12" s="4" t="s">
        <v>164</v>
      </c>
      <c r="BQ12" s="43">
        <v>0</v>
      </c>
      <c r="BR12" s="32" t="e">
        <f>+(BQ12*100)/BQ22</f>
        <v>#DIV/0!</v>
      </c>
      <c r="BV12" s="189"/>
      <c r="BW12" s="4" t="s">
        <v>164</v>
      </c>
      <c r="BX12" s="43">
        <v>0</v>
      </c>
      <c r="BY12" s="32" t="e">
        <f>+(BX12*100)/BX22</f>
        <v>#DIV/0!</v>
      </c>
    </row>
    <row r="13" spans="1:77" x14ac:dyDescent="0.25">
      <c r="A13" s="193"/>
      <c r="E13" s="183"/>
      <c r="F13" s="193"/>
      <c r="G13" s="1"/>
      <c r="H13" s="1"/>
      <c r="I13" s="36"/>
      <c r="J13" s="183"/>
      <c r="K13" s="189"/>
      <c r="L13" s="4" t="s">
        <v>165</v>
      </c>
      <c r="M13" s="1">
        <v>13306877.999999998</v>
      </c>
      <c r="N13" s="32">
        <v>8.9440014374996188</v>
      </c>
      <c r="Q13" s="189"/>
      <c r="R13" s="4" t="s">
        <v>165</v>
      </c>
      <c r="S13" s="43">
        <v>12633452.000000004</v>
      </c>
      <c r="T13" s="32">
        <f>+(S13*100)/S22</f>
        <v>8.2620935761841334</v>
      </c>
      <c r="W13" s="209"/>
      <c r="X13" s="206" t="s">
        <v>165</v>
      </c>
      <c r="Y13" s="207">
        <v>15000000.000000004</v>
      </c>
      <c r="Z13" s="208">
        <f>+(Y13*100)/Y21</f>
        <v>16.044973710460333</v>
      </c>
      <c r="AD13" s="188"/>
      <c r="AE13" s="1" t="s">
        <v>82</v>
      </c>
      <c r="AF13" s="1">
        <v>0</v>
      </c>
      <c r="AG13" s="32" t="e">
        <f t="shared" si="2"/>
        <v>#DIV/0!</v>
      </c>
      <c r="AK13" s="188"/>
      <c r="AL13" s="1" t="s">
        <v>82</v>
      </c>
      <c r="AM13" s="1">
        <f>+'CONSOLIDADO LABOR A LABOR'!I744+'CONSOLIDADO LABOR A LABOR'!I763</f>
        <v>0</v>
      </c>
      <c r="AN13" s="32" t="e">
        <f t="shared" si="3"/>
        <v>#DIV/0!</v>
      </c>
      <c r="AS13" s="189"/>
      <c r="AT13" s="4" t="s">
        <v>129</v>
      </c>
      <c r="AU13" s="43">
        <v>0</v>
      </c>
      <c r="AV13" s="32" t="e">
        <f t="shared" si="4"/>
        <v>#DIV/0!</v>
      </c>
      <c r="BA13" s="189"/>
      <c r="BB13" s="4" t="s">
        <v>129</v>
      </c>
      <c r="BC13" s="43">
        <v>0</v>
      </c>
      <c r="BD13" s="32" t="e">
        <f t="shared" ref="BD13:BD14" si="7">+(BC13*100)/$AM$18</f>
        <v>#DIV/0!</v>
      </c>
      <c r="BH13" s="189"/>
      <c r="BI13" s="4" t="s">
        <v>50</v>
      </c>
      <c r="BJ13" s="43">
        <v>0</v>
      </c>
      <c r="BK13" s="32" t="e">
        <f>+(BJ13*100)/BJ22</f>
        <v>#DIV/0!</v>
      </c>
      <c r="BO13" s="189"/>
      <c r="BP13" s="4" t="s">
        <v>50</v>
      </c>
      <c r="BQ13" s="43">
        <v>0</v>
      </c>
      <c r="BR13" s="32" t="e">
        <f>+(BQ13*100)/BQ22</f>
        <v>#DIV/0!</v>
      </c>
      <c r="BV13" s="189"/>
      <c r="BW13" s="4" t="s">
        <v>50</v>
      </c>
      <c r="BX13" s="43">
        <v>0</v>
      </c>
      <c r="BY13" s="32" t="e">
        <f>+(BX13*100)/BX22</f>
        <v>#DIV/0!</v>
      </c>
    </row>
    <row r="14" spans="1:77" x14ac:dyDescent="0.25">
      <c r="A14" s="193"/>
      <c r="B14" s="1"/>
      <c r="C14" s="1"/>
      <c r="D14" s="40"/>
      <c r="E14" s="183"/>
      <c r="F14" s="193"/>
      <c r="G14" s="1"/>
      <c r="H14" s="1"/>
      <c r="I14" s="36"/>
      <c r="J14" s="183"/>
      <c r="K14" s="189"/>
      <c r="L14" s="4" t="s">
        <v>21</v>
      </c>
      <c r="M14" s="1">
        <v>4024420</v>
      </c>
      <c r="N14" s="32">
        <v>2.7049483932371081</v>
      </c>
      <c r="Q14" s="189"/>
      <c r="R14" s="4" t="s">
        <v>21</v>
      </c>
      <c r="S14" s="43">
        <v>5603349.5999999996</v>
      </c>
      <c r="T14" s="32">
        <f>+(S14*100)/S22</f>
        <v>3.6645090142641865</v>
      </c>
      <c r="W14" s="209"/>
      <c r="X14" s="206" t="s">
        <v>1</v>
      </c>
      <c r="Y14" s="207">
        <v>15487750</v>
      </c>
      <c r="Z14" s="208">
        <f>+(Y14*100)/Y21</f>
        <v>16.566702772278799</v>
      </c>
      <c r="AD14" s="188"/>
      <c r="AE14" s="1" t="s">
        <v>65</v>
      </c>
      <c r="AF14" s="1">
        <v>0</v>
      </c>
      <c r="AG14" s="32" t="e">
        <f t="shared" si="2"/>
        <v>#DIV/0!</v>
      </c>
      <c r="AK14" s="188"/>
      <c r="AL14" s="1" t="s">
        <v>65</v>
      </c>
      <c r="AM14" s="1">
        <v>0</v>
      </c>
      <c r="AN14" s="32" t="e">
        <f t="shared" si="3"/>
        <v>#DIV/0!</v>
      </c>
      <c r="AS14" s="189"/>
      <c r="AT14" s="4" t="s">
        <v>51</v>
      </c>
      <c r="AU14" s="43">
        <v>0</v>
      </c>
      <c r="AV14" s="32" t="e">
        <f t="shared" si="4"/>
        <v>#DIV/0!</v>
      </c>
      <c r="BA14" s="189"/>
      <c r="BB14" s="4" t="s">
        <v>51</v>
      </c>
      <c r="BC14" s="43">
        <v>0</v>
      </c>
      <c r="BD14" s="32" t="e">
        <f t="shared" si="7"/>
        <v>#DIV/0!</v>
      </c>
      <c r="BH14" s="189"/>
      <c r="BI14" s="4" t="s">
        <v>129</v>
      </c>
      <c r="BJ14" s="43">
        <v>0</v>
      </c>
      <c r="BK14" s="32" t="e">
        <f t="shared" ref="BK14:BK15" si="8">+(BJ14*100)/$AM$18</f>
        <v>#DIV/0!</v>
      </c>
      <c r="BO14" s="189"/>
      <c r="BP14" s="4" t="s">
        <v>165</v>
      </c>
      <c r="BQ14" s="43">
        <v>0</v>
      </c>
      <c r="BR14" s="32" t="e">
        <f t="shared" ref="BR14" si="9">+(BQ14*100)/$AM$18</f>
        <v>#DIV/0!</v>
      </c>
      <c r="BV14" s="189"/>
      <c r="BW14" s="4" t="s">
        <v>165</v>
      </c>
      <c r="BX14" s="43">
        <v>0</v>
      </c>
      <c r="BY14" s="32" t="e">
        <f t="shared" ref="BY14" si="10">+(BX14*100)/$AM$18</f>
        <v>#DIV/0!</v>
      </c>
    </row>
    <row r="15" spans="1:77" x14ac:dyDescent="0.25">
      <c r="A15" s="193"/>
      <c r="B15" s="1"/>
      <c r="C15" s="1"/>
      <c r="D15" s="40"/>
      <c r="E15" s="183"/>
      <c r="F15" s="193"/>
      <c r="G15" s="1"/>
      <c r="H15" s="1"/>
      <c r="I15" s="36"/>
      <c r="J15" s="183"/>
      <c r="K15" s="189"/>
      <c r="L15" s="4" t="s">
        <v>22</v>
      </c>
      <c r="M15" s="1">
        <v>3641067</v>
      </c>
      <c r="N15" s="32">
        <v>2.4472839145314502</v>
      </c>
      <c r="Q15" s="189"/>
      <c r="R15" s="4" t="s">
        <v>22</v>
      </c>
      <c r="S15" s="43">
        <v>3731711</v>
      </c>
      <c r="T15" s="32">
        <f>+(S15*100)/S22</f>
        <v>2.4404846340711672</v>
      </c>
      <c r="W15" s="209"/>
      <c r="X15" s="206" t="s">
        <v>164</v>
      </c>
      <c r="Y15" s="207">
        <v>2799334</v>
      </c>
      <c r="Z15" s="208">
        <f>+(Y15*100)/Y21</f>
        <v>2.9943493624531836</v>
      </c>
      <c r="AD15" s="188"/>
      <c r="AE15" s="4"/>
      <c r="AF15" s="35"/>
      <c r="AG15" s="32"/>
      <c r="AK15" s="188"/>
      <c r="AL15" s="4"/>
      <c r="AM15" s="35"/>
      <c r="AN15" s="32"/>
      <c r="AS15" s="189"/>
      <c r="AT15" s="4" t="s">
        <v>21</v>
      </c>
      <c r="AU15" s="43">
        <v>0</v>
      </c>
      <c r="AV15" s="32" t="e">
        <f>+(AU15*100)/AU21</f>
        <v>#DIV/0!</v>
      </c>
      <c r="BA15" s="189"/>
      <c r="BB15" s="4" t="s">
        <v>21</v>
      </c>
      <c r="BC15" s="43">
        <v>0</v>
      </c>
      <c r="BD15" s="32" t="e">
        <f>+(BC15*100)/BC21</f>
        <v>#DIV/0!</v>
      </c>
      <c r="BH15" s="189"/>
      <c r="BI15" s="4" t="s">
        <v>51</v>
      </c>
      <c r="BJ15" s="43">
        <v>0</v>
      </c>
      <c r="BK15" s="32" t="e">
        <f t="shared" si="8"/>
        <v>#DIV/0!</v>
      </c>
      <c r="BO15" s="189"/>
      <c r="BP15" s="4" t="s">
        <v>51</v>
      </c>
      <c r="BQ15" s="43">
        <v>0</v>
      </c>
      <c r="BR15" s="32" t="e">
        <f>+(BQ15*100)/BQ22</f>
        <v>#DIV/0!</v>
      </c>
      <c r="BV15" s="189"/>
      <c r="BW15" s="4" t="s">
        <v>51</v>
      </c>
      <c r="BX15" s="43">
        <v>0</v>
      </c>
      <c r="BY15" s="32" t="e">
        <f>+(BX15*100)/BX22</f>
        <v>#DIV/0!</v>
      </c>
    </row>
    <row r="16" spans="1:77" x14ac:dyDescent="0.25">
      <c r="A16" s="193"/>
      <c r="B16" s="1"/>
      <c r="C16" s="1"/>
      <c r="D16" s="40"/>
      <c r="E16" s="183"/>
      <c r="F16" s="193"/>
      <c r="G16" s="1"/>
      <c r="H16" s="1"/>
      <c r="I16" s="36"/>
      <c r="J16" s="183"/>
      <c r="K16" s="189"/>
      <c r="L16" s="4" t="s">
        <v>33</v>
      </c>
      <c r="M16" s="1">
        <v>2872000</v>
      </c>
      <c r="N16" s="32">
        <v>1.9303680494026407</v>
      </c>
      <c r="Q16" s="189"/>
      <c r="R16" s="4" t="s">
        <v>33</v>
      </c>
      <c r="S16" s="43">
        <v>2872000</v>
      </c>
      <c r="T16" s="32">
        <f>+(S16*100)/S22</f>
        <v>1.8782461635031205</v>
      </c>
      <c r="W16" s="209"/>
      <c r="X16" s="206" t="s">
        <v>21</v>
      </c>
      <c r="Y16" s="207">
        <v>5917314.5</v>
      </c>
      <c r="Z16" s="208">
        <f>+(Y16*100)/Y21</f>
        <v>6.3295437059350474</v>
      </c>
      <c r="AD16" s="188"/>
      <c r="AE16" s="1"/>
      <c r="AF16" s="1"/>
      <c r="AG16" s="32"/>
      <c r="AK16" s="188"/>
      <c r="AL16" s="1"/>
      <c r="AM16" s="1"/>
      <c r="AN16" s="32"/>
      <c r="AS16" s="189"/>
      <c r="AT16" s="4" t="s">
        <v>22</v>
      </c>
      <c r="AU16" s="43">
        <v>0</v>
      </c>
      <c r="AV16" s="32" t="e">
        <f>+(AU16*100)/AU21</f>
        <v>#DIV/0!</v>
      </c>
      <c r="BA16" s="189"/>
      <c r="BB16" s="4" t="s">
        <v>22</v>
      </c>
      <c r="BC16" s="43">
        <v>0</v>
      </c>
      <c r="BD16" s="32" t="e">
        <f>+(BC16*100)/BC21</f>
        <v>#DIV/0!</v>
      </c>
      <c r="BH16" s="189"/>
      <c r="BI16" s="4" t="s">
        <v>21</v>
      </c>
      <c r="BJ16" s="43">
        <v>0</v>
      </c>
      <c r="BK16" s="32" t="e">
        <f>+(BJ16*100)/BJ22</f>
        <v>#DIV/0!</v>
      </c>
      <c r="BO16" s="189"/>
      <c r="BP16" s="4" t="s">
        <v>21</v>
      </c>
      <c r="BQ16" s="43">
        <v>0</v>
      </c>
      <c r="BR16" s="32" t="e">
        <f>+(BQ16*100)/BQ22</f>
        <v>#DIV/0!</v>
      </c>
      <c r="BV16" s="189"/>
      <c r="BW16" s="4" t="s">
        <v>21</v>
      </c>
      <c r="BX16" s="43">
        <v>0</v>
      </c>
      <c r="BY16" s="32" t="e">
        <f>+(BX16*100)/BX22</f>
        <v>#DIV/0!</v>
      </c>
    </row>
    <row r="17" spans="1:77" x14ac:dyDescent="0.25">
      <c r="A17" s="194"/>
      <c r="B17" s="42" t="s">
        <v>69</v>
      </c>
      <c r="C17" s="25">
        <f>+SUM(C2:C16)</f>
        <v>137060495</v>
      </c>
      <c r="D17" s="33">
        <f>+SUM(D2:D16)</f>
        <v>100</v>
      </c>
      <c r="E17" s="183"/>
      <c r="F17" s="193"/>
      <c r="G17" s="1"/>
      <c r="H17" s="1"/>
      <c r="I17" s="36"/>
      <c r="J17" s="183"/>
      <c r="K17" s="189"/>
      <c r="L17" s="4" t="s">
        <v>23</v>
      </c>
      <c r="M17" s="1">
        <v>2419653.9482249999</v>
      </c>
      <c r="N17" s="32">
        <v>1.6263310140196696</v>
      </c>
      <c r="Q17" s="189"/>
      <c r="R17" s="4" t="s">
        <v>23</v>
      </c>
      <c r="S17" s="43">
        <v>2303889.6731249997</v>
      </c>
      <c r="T17" s="32">
        <f>+(S17*100)/S22</f>
        <v>1.5067102854044181</v>
      </c>
      <c r="W17" s="209"/>
      <c r="X17" s="206" t="s">
        <v>22</v>
      </c>
      <c r="Y17" s="207">
        <v>3794195.5</v>
      </c>
      <c r="Z17" s="208">
        <f>+(Y17*100)/Y21</f>
        <v>4.0585178033231255</v>
      </c>
      <c r="AD17" s="188"/>
      <c r="AG17" s="29"/>
      <c r="AK17" s="188"/>
      <c r="AN17" s="29"/>
      <c r="AS17" s="189"/>
      <c r="AT17" s="4" t="s">
        <v>33</v>
      </c>
      <c r="AU17" s="43">
        <v>0</v>
      </c>
      <c r="AV17" s="32" t="e">
        <f>+(AU17*100)/AU21</f>
        <v>#DIV/0!</v>
      </c>
      <c r="BA17" s="189"/>
      <c r="BB17" s="4" t="s">
        <v>33</v>
      </c>
      <c r="BC17" s="43">
        <v>0</v>
      </c>
      <c r="BD17" s="32" t="e">
        <f>+(BC17*100)/BC21</f>
        <v>#DIV/0!</v>
      </c>
      <c r="BH17" s="189"/>
      <c r="BI17" s="4" t="s">
        <v>22</v>
      </c>
      <c r="BJ17" s="43">
        <v>0</v>
      </c>
      <c r="BK17" s="32" t="e">
        <f>+(BJ17*100)/BJ22</f>
        <v>#DIV/0!</v>
      </c>
      <c r="BO17" s="189"/>
      <c r="BP17" s="4" t="s">
        <v>22</v>
      </c>
      <c r="BQ17" s="43">
        <v>0</v>
      </c>
      <c r="BR17" s="32" t="e">
        <f>+(BQ17*100)/BQ22</f>
        <v>#DIV/0!</v>
      </c>
      <c r="BV17" s="189"/>
      <c r="BW17" s="4" t="s">
        <v>22</v>
      </c>
      <c r="BX17" s="43">
        <v>0</v>
      </c>
      <c r="BY17" s="32" t="e">
        <f>+(BX17*100)/BX22</f>
        <v>#DIV/0!</v>
      </c>
    </row>
    <row r="18" spans="1:77" x14ac:dyDescent="0.25">
      <c r="E18" s="183"/>
      <c r="F18" s="194"/>
      <c r="G18" s="41" t="s">
        <v>69</v>
      </c>
      <c r="H18" s="37">
        <f>+SUM(H2:H17)</f>
        <v>134161457.14583333</v>
      </c>
      <c r="I18" s="38">
        <f>+SUM(I2:I17)</f>
        <v>100</v>
      </c>
      <c r="J18" s="183"/>
      <c r="K18" s="189"/>
      <c r="L18" s="4" t="s">
        <v>79</v>
      </c>
      <c r="M18" s="1">
        <v>0</v>
      </c>
      <c r="N18" s="32">
        <v>0</v>
      </c>
      <c r="Q18" s="189"/>
      <c r="R18" s="4" t="s">
        <v>79</v>
      </c>
      <c r="S18" s="43"/>
      <c r="T18" s="32">
        <f>+(S18*100)/S22</f>
        <v>0</v>
      </c>
      <c r="W18" s="209"/>
      <c r="X18" s="206" t="s">
        <v>33</v>
      </c>
      <c r="Y18" s="207">
        <v>2353887</v>
      </c>
      <c r="Z18" s="208">
        <f>+(Y18*100)/Y21</f>
        <v>2.5178703354929555</v>
      </c>
      <c r="AD18" s="188"/>
      <c r="AE18" s="26" t="s">
        <v>69</v>
      </c>
      <c r="AF18" s="35">
        <f>+SUM(AF2:AF16)</f>
        <v>0</v>
      </c>
      <c r="AG18" s="35" t="e">
        <f>+SUM(AG2:AG16)</f>
        <v>#DIV/0!</v>
      </c>
      <c r="AK18" s="188"/>
      <c r="AL18" s="26" t="s">
        <v>69</v>
      </c>
      <c r="AM18" s="35">
        <f>+SUM(AM2:AM16)</f>
        <v>0</v>
      </c>
      <c r="AN18" s="35" t="e">
        <f>+SUM(AN2:AN16)</f>
        <v>#DIV/0!</v>
      </c>
      <c r="AS18" s="189"/>
      <c r="AT18" s="4" t="s">
        <v>23</v>
      </c>
      <c r="AU18" s="43">
        <v>0</v>
      </c>
      <c r="AV18" s="32" t="e">
        <f>+(AU18*100)/AU21</f>
        <v>#DIV/0!</v>
      </c>
      <c r="BA18" s="189"/>
      <c r="BB18" s="4" t="s">
        <v>23</v>
      </c>
      <c r="BC18" s="43">
        <v>0</v>
      </c>
      <c r="BD18" s="32" t="e">
        <f>+(BC18*100)/BC21</f>
        <v>#DIV/0!</v>
      </c>
      <c r="BH18" s="189"/>
      <c r="BI18" s="4" t="s">
        <v>33</v>
      </c>
      <c r="BJ18" s="43">
        <v>0</v>
      </c>
      <c r="BK18" s="32" t="e">
        <f>+(BJ18*100)/BJ22</f>
        <v>#DIV/0!</v>
      </c>
      <c r="BO18" s="189"/>
      <c r="BP18" s="4" t="s">
        <v>33</v>
      </c>
      <c r="BQ18" s="43">
        <v>0</v>
      </c>
      <c r="BR18" s="32" t="e">
        <f>+(BQ18*100)/BQ22</f>
        <v>#DIV/0!</v>
      </c>
      <c r="BV18" s="189"/>
      <c r="BW18" s="4" t="s">
        <v>33</v>
      </c>
      <c r="BX18" s="43">
        <v>0</v>
      </c>
      <c r="BY18" s="32" t="e">
        <f>+(BX18*100)/BX22</f>
        <v>#DIV/0!</v>
      </c>
    </row>
    <row r="19" spans="1:77" x14ac:dyDescent="0.25">
      <c r="E19" s="183"/>
      <c r="J19" s="183"/>
      <c r="K19" s="189"/>
      <c r="L19" s="4" t="s">
        <v>10</v>
      </c>
      <c r="M19" s="1">
        <v>0</v>
      </c>
      <c r="N19" s="32">
        <v>0</v>
      </c>
      <c r="Q19" s="189"/>
      <c r="R19" s="4" t="s">
        <v>10</v>
      </c>
      <c r="S19" s="43">
        <v>198000</v>
      </c>
      <c r="T19" s="32">
        <f>+(S19*100)/S22</f>
        <v>0.12948911572897556</v>
      </c>
      <c r="W19" s="209"/>
      <c r="X19" s="206" t="s">
        <v>23</v>
      </c>
      <c r="Y19" s="207">
        <v>2846897.7342499997</v>
      </c>
      <c r="Z19" s="208">
        <f>+(Y19*100)/Y21</f>
        <v>3.0452266201606877</v>
      </c>
      <c r="AS19" s="189"/>
      <c r="AT19" s="4" t="s">
        <v>79</v>
      </c>
      <c r="AU19" s="43">
        <v>0</v>
      </c>
      <c r="AV19" s="32" t="e">
        <f t="shared" si="4"/>
        <v>#DIV/0!</v>
      </c>
      <c r="BA19" s="189"/>
      <c r="BB19" s="4" t="s">
        <v>79</v>
      </c>
      <c r="BC19" s="43">
        <v>0</v>
      </c>
      <c r="BD19" s="32" t="e">
        <f t="shared" ref="BD19" si="11">+(BC19*100)/$AM$18</f>
        <v>#DIV/0!</v>
      </c>
      <c r="BH19" s="189"/>
      <c r="BI19" s="4" t="s">
        <v>23</v>
      </c>
      <c r="BJ19" s="43">
        <v>0</v>
      </c>
      <c r="BK19" s="32" t="e">
        <f>+(BJ19*100)/BJ22</f>
        <v>#DIV/0!</v>
      </c>
      <c r="BO19" s="189"/>
      <c r="BP19" s="4" t="s">
        <v>23</v>
      </c>
      <c r="BQ19" s="43">
        <v>0</v>
      </c>
      <c r="BR19" s="32" t="e">
        <f>+(BQ19*100)/BQ22</f>
        <v>#DIV/0!</v>
      </c>
      <c r="BV19" s="189"/>
      <c r="BW19" s="4" t="s">
        <v>23</v>
      </c>
      <c r="BX19" s="43">
        <v>0</v>
      </c>
      <c r="BY19" s="32" t="e">
        <f>+(BX19*100)/BX22</f>
        <v>#DIV/0!</v>
      </c>
    </row>
    <row r="20" spans="1:77" x14ac:dyDescent="0.25">
      <c r="E20" s="183"/>
      <c r="J20" s="183"/>
      <c r="K20" s="189"/>
      <c r="L20" s="4" t="s">
        <v>72</v>
      </c>
      <c r="M20" s="1">
        <v>0</v>
      </c>
      <c r="N20" s="32">
        <v>0</v>
      </c>
      <c r="Q20" s="189"/>
      <c r="R20" s="4" t="s">
        <v>72</v>
      </c>
      <c r="S20" s="43"/>
      <c r="T20" s="32">
        <f>+(S20*100)/S22</f>
        <v>0</v>
      </c>
      <c r="W20" s="210"/>
      <c r="X20" s="206" t="s">
        <v>79</v>
      </c>
      <c r="Y20" s="207"/>
      <c r="Z20" s="208">
        <f>+(Y20*100)/Y21</f>
        <v>0</v>
      </c>
      <c r="AS20" s="189"/>
      <c r="AT20" s="4" t="s">
        <v>92</v>
      </c>
      <c r="AU20" s="43">
        <v>0</v>
      </c>
      <c r="AV20" s="32" t="e">
        <f>+(AU20*100)/AU21</f>
        <v>#DIV/0!</v>
      </c>
      <c r="BA20" s="189"/>
      <c r="BB20" s="4" t="s">
        <v>92</v>
      </c>
      <c r="BC20" s="43">
        <v>0</v>
      </c>
      <c r="BD20" s="32" t="e">
        <f>+(BC20*100)/BC21</f>
        <v>#DIV/0!</v>
      </c>
      <c r="BH20" s="189"/>
      <c r="BI20" s="4" t="s">
        <v>79</v>
      </c>
      <c r="BJ20" s="43">
        <v>0</v>
      </c>
      <c r="BK20" s="32" t="e">
        <f t="shared" ref="BK20" si="12">+(BJ20*100)/$AM$18</f>
        <v>#DIV/0!</v>
      </c>
      <c r="BO20" s="189"/>
      <c r="BP20" s="4" t="s">
        <v>79</v>
      </c>
      <c r="BQ20" s="43">
        <f>+'[45]CONSOLIDADO LABOR'!I897+'[45]CONSOLIDADO LABOR'!I917</f>
        <v>0</v>
      </c>
      <c r="BR20" s="32" t="e">
        <f>+(BQ20*100)/BQ22</f>
        <v>#DIV/0!</v>
      </c>
      <c r="BV20" s="189"/>
      <c r="BW20" s="4" t="s">
        <v>79</v>
      </c>
      <c r="BX20" s="43">
        <v>0</v>
      </c>
      <c r="BY20" s="32" t="e">
        <f>+(BX20*100)/BX22</f>
        <v>#DIV/0!</v>
      </c>
    </row>
    <row r="21" spans="1:77" x14ac:dyDescent="0.25">
      <c r="E21" s="183"/>
      <c r="J21" s="183"/>
      <c r="K21" s="189"/>
      <c r="L21" s="4" t="s">
        <v>3</v>
      </c>
      <c r="M21" s="43">
        <v>260300</v>
      </c>
      <c r="N21" s="32">
        <f>+(M21*100)/M22</f>
        <v>0.17495640782016272</v>
      </c>
      <c r="Q21" s="189"/>
      <c r="R21" s="4" t="s">
        <v>3</v>
      </c>
      <c r="S21" s="43">
        <v>410600</v>
      </c>
      <c r="T21" s="32">
        <f>+(S21*100)/S22</f>
        <v>0.26852641877938066</v>
      </c>
      <c r="W21" s="211"/>
      <c r="X21" s="212" t="s">
        <v>69</v>
      </c>
      <c r="Y21" s="213">
        <f>+SUM(Y2:Y12)</f>
        <v>93487220.799999997</v>
      </c>
      <c r="Z21" s="213">
        <f>+SUM(Z2:Z12)</f>
        <v>99.65086137206039</v>
      </c>
      <c r="AS21" s="189"/>
      <c r="AT21" s="26" t="s">
        <v>69</v>
      </c>
      <c r="AU21" s="35">
        <v>0</v>
      </c>
      <c r="AV21" s="35" t="e">
        <f>+SUM(AV2:AV20)</f>
        <v>#DIV/0!</v>
      </c>
      <c r="BA21" s="189"/>
      <c r="BB21" s="26" t="s">
        <v>69</v>
      </c>
      <c r="BC21" s="35">
        <v>0</v>
      </c>
      <c r="BD21" s="35" t="e">
        <f>+SUM(BD2:BD20)</f>
        <v>#DIV/0!</v>
      </c>
      <c r="BH21" s="189"/>
      <c r="BI21" s="4" t="s">
        <v>92</v>
      </c>
      <c r="BJ21" s="43">
        <v>0</v>
      </c>
      <c r="BK21" s="32" t="e">
        <f>+(BJ21*100)/BJ22</f>
        <v>#DIV/0!</v>
      </c>
      <c r="BO21" s="189"/>
      <c r="BP21" s="4" t="s">
        <v>92</v>
      </c>
      <c r="BQ21" s="43">
        <f>+'[45]CONSOLIDADO LABOR'!B938+'[45]CONSOLIDADO LABOR'!B958</f>
        <v>0</v>
      </c>
      <c r="BR21" s="32" t="e">
        <f>+(BQ21*100)/BQ22</f>
        <v>#DIV/0!</v>
      </c>
      <c r="BV21" s="189"/>
      <c r="BW21" s="4" t="s">
        <v>92</v>
      </c>
      <c r="BX21" s="43">
        <f>+'[45]CONSOLIDADO LABOR'!I938+'[45]CONSOLIDADO LABOR'!I958</f>
        <v>0</v>
      </c>
      <c r="BY21" s="32" t="e">
        <f>+(BX21*100)/BX22</f>
        <v>#DIV/0!</v>
      </c>
    </row>
    <row r="22" spans="1:77" x14ac:dyDescent="0.25">
      <c r="E22" s="183"/>
      <c r="J22" s="183"/>
      <c r="K22" s="189"/>
      <c r="L22" s="26" t="s">
        <v>69</v>
      </c>
      <c r="M22" s="35">
        <f>SUM(M2:M21)</f>
        <v>148779917.94822499</v>
      </c>
      <c r="N22" s="45">
        <f>SUM(N2:N21)</f>
        <v>100.00000000000003</v>
      </c>
      <c r="R22" s="26" t="s">
        <v>69</v>
      </c>
      <c r="S22" s="35">
        <f>+SUM(S2:S21)</f>
        <v>152908604.62312499</v>
      </c>
      <c r="T22" s="35">
        <f>+SUM(T2:T21)</f>
        <v>100.00000000000001</v>
      </c>
      <c r="AS22" s="120"/>
      <c r="AU22" s="121"/>
      <c r="AV22" s="29"/>
      <c r="BI22" s="26" t="s">
        <v>69</v>
      </c>
      <c r="BJ22" s="35">
        <f>+SUM(BJ2:BJ21)</f>
        <v>0</v>
      </c>
      <c r="BK22" s="35" t="e">
        <f>+SUM(BK2:BK21)</f>
        <v>#DIV/0!</v>
      </c>
      <c r="BP22" s="26" t="s">
        <v>69</v>
      </c>
      <c r="BQ22" s="35">
        <f>+SUM(BQ2:BQ21)</f>
        <v>0</v>
      </c>
      <c r="BR22" s="35" t="e">
        <f>+SUM(BR2:BR21)</f>
        <v>#DIV/0!</v>
      </c>
      <c r="BW22" s="26" t="s">
        <v>69</v>
      </c>
      <c r="BX22" s="35">
        <f>+SUM(BX2:BX21)</f>
        <v>0</v>
      </c>
      <c r="BY22" s="35" t="e">
        <f>+SUM(BY2:BY21)</f>
        <v>#DIV/0!</v>
      </c>
    </row>
    <row r="23" spans="1:77" x14ac:dyDescent="0.25">
      <c r="E23" s="183"/>
      <c r="J23" s="183"/>
      <c r="N23" s="182"/>
      <c r="AT23" s="122"/>
      <c r="AU23" s="122"/>
      <c r="AV23" s="123"/>
    </row>
    <row r="24" spans="1:77" x14ac:dyDescent="0.25">
      <c r="E24" s="183"/>
      <c r="J24" s="183"/>
      <c r="AV24" s="29"/>
    </row>
    <row r="25" spans="1:77" x14ac:dyDescent="0.25">
      <c r="E25" s="183"/>
      <c r="J25" s="183"/>
      <c r="AT25" s="26" t="s">
        <v>69</v>
      </c>
      <c r="AU25" s="35">
        <f>+SUM(AU2:AU23)</f>
        <v>0</v>
      </c>
      <c r="AV25" s="35" t="e">
        <f>+SUM(AV2:AV23)</f>
        <v>#DIV/0!</v>
      </c>
    </row>
    <row r="26" spans="1:77" x14ac:dyDescent="0.25">
      <c r="E26" s="183"/>
      <c r="J26" s="183"/>
    </row>
    <row r="27" spans="1:77" x14ac:dyDescent="0.25">
      <c r="E27" s="183"/>
      <c r="J27" s="183"/>
    </row>
    <row r="28" spans="1:77" x14ac:dyDescent="0.25">
      <c r="E28" s="183"/>
      <c r="J28" s="183"/>
    </row>
    <row r="29" spans="1:77" x14ac:dyDescent="0.25">
      <c r="E29" s="183"/>
      <c r="J29" s="183"/>
    </row>
    <row r="30" spans="1:77" x14ac:dyDescent="0.25">
      <c r="E30" s="183"/>
      <c r="J30" s="183"/>
    </row>
    <row r="31" spans="1:77" x14ac:dyDescent="0.25">
      <c r="E31" s="183"/>
      <c r="J31" s="183"/>
    </row>
    <row r="32" spans="1:77" x14ac:dyDescent="0.25">
      <c r="E32" s="183"/>
      <c r="J32" s="183"/>
    </row>
    <row r="33" spans="1:10" x14ac:dyDescent="0.25">
      <c r="E33" s="183"/>
      <c r="J33" s="183"/>
    </row>
    <row r="34" spans="1:10" x14ac:dyDescent="0.25">
      <c r="E34" s="183"/>
      <c r="J34" s="183"/>
    </row>
    <row r="35" spans="1:10" x14ac:dyDescent="0.25">
      <c r="E35" s="183"/>
      <c r="J35" s="183"/>
    </row>
    <row r="36" spans="1:10" x14ac:dyDescent="0.25">
      <c r="E36" s="183"/>
      <c r="J36" s="183"/>
    </row>
    <row r="37" spans="1:10" x14ac:dyDescent="0.25">
      <c r="E37" s="183"/>
      <c r="J37" s="183"/>
    </row>
    <row r="38" spans="1:10" x14ac:dyDescent="0.25">
      <c r="E38" s="183"/>
      <c r="J38" s="183"/>
    </row>
    <row r="44" spans="1:10" x14ac:dyDescent="0.25">
      <c r="A44" s="4" t="s">
        <v>55</v>
      </c>
      <c r="B44" s="1" t="s">
        <v>75</v>
      </c>
      <c r="C44" s="1" t="s">
        <v>76</v>
      </c>
    </row>
    <row r="45" spans="1:10" x14ac:dyDescent="0.25">
      <c r="A45" s="4" t="s">
        <v>56</v>
      </c>
      <c r="B45" s="35">
        <f>+C17</f>
        <v>137060495</v>
      </c>
      <c r="C45" s="32">
        <v>1433.12</v>
      </c>
    </row>
    <row r="46" spans="1:10" x14ac:dyDescent="0.25">
      <c r="A46" s="4" t="s">
        <v>60</v>
      </c>
      <c r="B46" s="35">
        <f>+H18</f>
        <v>134161457.14583333</v>
      </c>
      <c r="C46" s="32">
        <v>1994</v>
      </c>
    </row>
    <row r="47" spans="1:10" x14ac:dyDescent="0.25">
      <c r="A47" s="4" t="s">
        <v>80</v>
      </c>
      <c r="B47" s="35">
        <f>+M22</f>
        <v>148779917.94822499</v>
      </c>
      <c r="C47" s="32">
        <v>1929</v>
      </c>
    </row>
    <row r="48" spans="1:10" x14ac:dyDescent="0.25">
      <c r="A48" s="4" t="s">
        <v>81</v>
      </c>
      <c r="B48" s="35">
        <f>+S18</f>
        <v>0</v>
      </c>
      <c r="C48" s="32">
        <v>1841</v>
      </c>
    </row>
    <row r="49" spans="1:33" x14ac:dyDescent="0.25">
      <c r="A49" s="4" t="s">
        <v>83</v>
      </c>
      <c r="B49" s="35">
        <f>+S18</f>
        <v>0</v>
      </c>
      <c r="C49" s="32">
        <v>2466</v>
      </c>
    </row>
    <row r="50" spans="1:33" x14ac:dyDescent="0.25">
      <c r="A50" s="4" t="s">
        <v>84</v>
      </c>
      <c r="B50" s="35">
        <f>+AF18</f>
        <v>0</v>
      </c>
      <c r="C50" s="32">
        <v>2030</v>
      </c>
      <c r="AG50">
        <f>+XFD50</f>
        <v>0</v>
      </c>
    </row>
    <row r="51" spans="1:33" x14ac:dyDescent="0.25">
      <c r="A51" s="4" t="s">
        <v>85</v>
      </c>
      <c r="B51" s="35">
        <f>+AM18</f>
        <v>0</v>
      </c>
      <c r="C51" s="32">
        <v>2001</v>
      </c>
    </row>
    <row r="52" spans="1:33" x14ac:dyDescent="0.25">
      <c r="A52" s="4" t="s">
        <v>86</v>
      </c>
      <c r="B52" s="35">
        <v>0</v>
      </c>
      <c r="C52" s="32">
        <v>0</v>
      </c>
    </row>
    <row r="53" spans="1:33" x14ac:dyDescent="0.25">
      <c r="A53" s="4" t="s">
        <v>87</v>
      </c>
      <c r="B53" s="35">
        <v>0</v>
      </c>
      <c r="C53" s="32">
        <v>0</v>
      </c>
    </row>
    <row r="54" spans="1:33" x14ac:dyDescent="0.25">
      <c r="A54" s="4" t="s">
        <v>57</v>
      </c>
      <c r="B54" s="35">
        <v>0</v>
      </c>
      <c r="C54" s="32">
        <v>0</v>
      </c>
    </row>
    <row r="55" spans="1:33" x14ac:dyDescent="0.25">
      <c r="A55" s="4" t="s">
        <v>58</v>
      </c>
      <c r="B55" s="35">
        <v>0</v>
      </c>
      <c r="C55" s="32">
        <v>0</v>
      </c>
    </row>
    <row r="56" spans="1:33" x14ac:dyDescent="0.25">
      <c r="A56" s="4" t="s">
        <v>59</v>
      </c>
      <c r="B56" s="35">
        <v>0</v>
      </c>
      <c r="C56" s="32">
        <v>0</v>
      </c>
    </row>
    <row r="58" spans="1:33" x14ac:dyDescent="0.25">
      <c r="A58" s="190" t="s">
        <v>93</v>
      </c>
      <c r="B58" s="190"/>
      <c r="C58" s="190"/>
    </row>
    <row r="59" spans="1:33" x14ac:dyDescent="0.25">
      <c r="A59" t="s">
        <v>89</v>
      </c>
      <c r="B59" s="44" t="s">
        <v>90</v>
      </c>
      <c r="C59" s="29" t="s">
        <v>76</v>
      </c>
    </row>
    <row r="60" spans="1:33" x14ac:dyDescent="0.25">
      <c r="A60" s="4" t="s">
        <v>56</v>
      </c>
      <c r="B60" s="45">
        <f>+(C17/C60)/100</f>
        <v>802.9320152314001</v>
      </c>
      <c r="C60" s="32">
        <v>1707</v>
      </c>
    </row>
    <row r="61" spans="1:33" x14ac:dyDescent="0.25">
      <c r="A61" s="4" t="s">
        <v>60</v>
      </c>
      <c r="B61" s="45">
        <f>+(H18/C61)/100</f>
        <v>672.82576301822132</v>
      </c>
      <c r="C61" s="32">
        <v>1994</v>
      </c>
    </row>
    <row r="62" spans="1:33" x14ac:dyDescent="0.25">
      <c r="A62" s="4" t="s">
        <v>80</v>
      </c>
      <c r="B62" s="45">
        <f>+(M22/C62)/100</f>
        <v>771.28003083579574</v>
      </c>
      <c r="C62" s="32">
        <v>1929</v>
      </c>
    </row>
    <row r="63" spans="1:33" x14ac:dyDescent="0.25">
      <c r="A63" s="4" t="s">
        <v>81</v>
      </c>
      <c r="B63" s="45">
        <f>+(S18/C63)/100</f>
        <v>0</v>
      </c>
      <c r="C63" s="32">
        <v>1841</v>
      </c>
    </row>
    <row r="64" spans="1:33" x14ac:dyDescent="0.25">
      <c r="A64" s="4" t="s">
        <v>83</v>
      </c>
      <c r="B64" s="45">
        <f>+(Y18/C64)/100</f>
        <v>9.5453649635036495</v>
      </c>
      <c r="C64" s="32">
        <v>2466</v>
      </c>
    </row>
    <row r="65" spans="1:7" x14ac:dyDescent="0.25">
      <c r="A65" s="4" t="s">
        <v>84</v>
      </c>
      <c r="B65" s="45">
        <f>+(AF18/C65)/100</f>
        <v>0</v>
      </c>
      <c r="C65" s="32">
        <v>2030</v>
      </c>
    </row>
    <row r="66" spans="1:7" x14ac:dyDescent="0.25">
      <c r="A66" s="4" t="s">
        <v>85</v>
      </c>
      <c r="B66" s="45">
        <f>+(AM18/C66)/100</f>
        <v>0</v>
      </c>
      <c r="C66" s="32">
        <v>2001</v>
      </c>
    </row>
    <row r="67" spans="1:7" x14ac:dyDescent="0.25">
      <c r="A67" s="4" t="s">
        <v>86</v>
      </c>
      <c r="B67" s="45">
        <v>0</v>
      </c>
      <c r="C67" s="32">
        <v>0</v>
      </c>
    </row>
    <row r="68" spans="1:7" x14ac:dyDescent="0.25">
      <c r="A68" s="4" t="s">
        <v>87</v>
      </c>
      <c r="B68" s="45">
        <v>0</v>
      </c>
      <c r="C68" s="32">
        <v>0</v>
      </c>
    </row>
    <row r="69" spans="1:7" x14ac:dyDescent="0.25">
      <c r="A69" s="4" t="s">
        <v>57</v>
      </c>
      <c r="B69" s="45">
        <v>0</v>
      </c>
      <c r="C69" s="32">
        <v>0</v>
      </c>
    </row>
    <row r="70" spans="1:7" x14ac:dyDescent="0.25">
      <c r="A70" s="4" t="s">
        <v>58</v>
      </c>
      <c r="B70" s="45">
        <v>0</v>
      </c>
      <c r="C70" s="32">
        <v>0</v>
      </c>
    </row>
    <row r="71" spans="1:7" x14ac:dyDescent="0.25">
      <c r="A71" s="4" t="s">
        <v>59</v>
      </c>
      <c r="B71" s="45">
        <v>0</v>
      </c>
      <c r="C71" s="32">
        <v>0</v>
      </c>
    </row>
    <row r="72" spans="1:7" x14ac:dyDescent="0.25">
      <c r="A72" s="47" t="s">
        <v>94</v>
      </c>
      <c r="B72" s="2">
        <f>+AVERAGE(B60:B66)</f>
        <v>322.36902486413157</v>
      </c>
    </row>
    <row r="79" spans="1:7" x14ac:dyDescent="0.25">
      <c r="B79" s="191" t="s">
        <v>95</v>
      </c>
      <c r="C79" s="191"/>
      <c r="D79" s="191"/>
      <c r="E79" s="191"/>
      <c r="F79" s="191"/>
    </row>
    <row r="80" spans="1:7" x14ac:dyDescent="0.25">
      <c r="C80" s="2" t="s">
        <v>91</v>
      </c>
      <c r="D80" t="s">
        <v>96</v>
      </c>
      <c r="E80" t="s">
        <v>98</v>
      </c>
      <c r="F80" t="s">
        <v>97</v>
      </c>
      <c r="G80" t="s">
        <v>76</v>
      </c>
    </row>
    <row r="81" spans="2:7" x14ac:dyDescent="0.25">
      <c r="B81" s="2" t="s">
        <v>80</v>
      </c>
      <c r="C81" s="2">
        <f>+'[46]VR A PAGAR'!$K$14</f>
        <v>12895293.880000001</v>
      </c>
      <c r="D81" s="48">
        <f>+'[47]VR A PAGAR'!$K$18</f>
        <v>41629523.39908544</v>
      </c>
      <c r="E81" s="18">
        <f>+SUM(C81:D81)</f>
        <v>54524817.279085442</v>
      </c>
      <c r="F81" s="50">
        <f>+E81/C60/100</f>
        <v>319.41896472809282</v>
      </c>
      <c r="G81" s="29">
        <f>+C60</f>
        <v>1707</v>
      </c>
    </row>
    <row r="82" spans="2:7" x14ac:dyDescent="0.25">
      <c r="B82" s="2" t="s">
        <v>60</v>
      </c>
      <c r="C82" s="2">
        <f>+'[48]VR A PAGAR'!$K$15</f>
        <v>12662850.640000001</v>
      </c>
      <c r="D82" s="48">
        <f>+'[49]VR A PAGAR'!$K$19</f>
        <v>43140712.46575211</v>
      </c>
      <c r="E82" s="18">
        <f t="shared" ref="E82:E83" si="13">+SUM(C82:D82)</f>
        <v>55803563.10575211</v>
      </c>
      <c r="F82" s="50">
        <f t="shared" ref="F82:F83" si="14">+E82/C61/100</f>
        <v>279.85738769183604</v>
      </c>
      <c r="G82" s="29">
        <f t="shared" ref="G82:G83" si="15">+C61</f>
        <v>1994</v>
      </c>
    </row>
    <row r="83" spans="2:7" x14ac:dyDescent="0.25">
      <c r="B83" s="2" t="s">
        <v>56</v>
      </c>
      <c r="C83" s="2">
        <f>+'[50]VR A PAGAR'!$H$15</f>
        <v>11023536</v>
      </c>
      <c r="D83" s="49">
        <v>39966941</v>
      </c>
      <c r="E83" s="18">
        <f t="shared" si="13"/>
        <v>50990477</v>
      </c>
      <c r="F83" s="50">
        <f t="shared" si="14"/>
        <v>264.33632452047692</v>
      </c>
      <c r="G83" s="29">
        <f t="shared" si="15"/>
        <v>1929</v>
      </c>
    </row>
  </sheetData>
  <sortState xmlns:xlrd2="http://schemas.microsoft.com/office/spreadsheetml/2017/richdata2" ref="AL2:AN15">
    <sortCondition descending="1" ref="AM2:AM15"/>
  </sortState>
  <mergeCells count="16">
    <mergeCell ref="BH2:BH21"/>
    <mergeCell ref="BO2:BO21"/>
    <mergeCell ref="BV2:BV21"/>
    <mergeCell ref="AS2:AS21"/>
    <mergeCell ref="BA2:BA21"/>
    <mergeCell ref="A58:C58"/>
    <mergeCell ref="B79:F79"/>
    <mergeCell ref="E1:E38"/>
    <mergeCell ref="J1:J38"/>
    <mergeCell ref="A2:A17"/>
    <mergeCell ref="F2:F18"/>
    <mergeCell ref="AD2:AD18"/>
    <mergeCell ref="AK2:AK18"/>
    <mergeCell ref="K2:K22"/>
    <mergeCell ref="Q2:Q21"/>
    <mergeCell ref="W2:W2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D308B-066D-4422-91A4-FE08C48BF0D7}">
  <sheetPr>
    <tabColor theme="5" tint="-0.249977111117893"/>
  </sheetPr>
  <dimension ref="B13:T93"/>
  <sheetViews>
    <sheetView topLeftCell="A6" zoomScale="90" zoomScaleNormal="90" workbookViewId="0">
      <selection activeCell="H100" sqref="H100"/>
    </sheetView>
  </sheetViews>
  <sheetFormatPr baseColWidth="10" defaultColWidth="11" defaultRowHeight="15" x14ac:dyDescent="0.25"/>
  <cols>
    <col min="1" max="1" width="11" style="52"/>
    <col min="2" max="2" width="31.42578125" style="52" customWidth="1"/>
    <col min="3" max="3" width="15.5703125" style="61" customWidth="1"/>
    <col min="4" max="4" width="9.5703125" style="52" customWidth="1"/>
    <col min="5" max="5" width="14" style="62" customWidth="1"/>
    <col min="6" max="6" width="10.85546875" style="52" customWidth="1"/>
    <col min="7" max="8" width="13.28515625" style="52" customWidth="1"/>
    <col min="9" max="9" width="12.42578125" style="52" bestFit="1" customWidth="1"/>
    <col min="10" max="10" width="11" style="52"/>
    <col min="11" max="11" width="33.5703125" style="62" customWidth="1"/>
    <col min="12" max="12" width="19.7109375" style="52" customWidth="1"/>
    <col min="13" max="16384" width="11" style="52"/>
  </cols>
  <sheetData>
    <row r="13" spans="2:8" x14ac:dyDescent="0.25">
      <c r="C13" s="195" t="s">
        <v>167</v>
      </c>
      <c r="D13" s="195"/>
      <c r="E13" s="195"/>
      <c r="F13" s="195"/>
      <c r="G13" s="195"/>
      <c r="H13" s="195"/>
    </row>
    <row r="14" spans="2:8" x14ac:dyDescent="0.25">
      <c r="C14" s="53"/>
      <c r="D14" s="53"/>
      <c r="E14" s="53"/>
      <c r="F14" s="53"/>
      <c r="G14" s="53"/>
      <c r="H14" s="53"/>
    </row>
    <row r="15" spans="2:8" ht="30" x14ac:dyDescent="0.25">
      <c r="C15" s="54" t="s">
        <v>99</v>
      </c>
      <c r="D15" s="55" t="s">
        <v>100</v>
      </c>
      <c r="E15" s="55" t="s">
        <v>101</v>
      </c>
      <c r="F15" s="89" t="s">
        <v>106</v>
      </c>
    </row>
    <row r="16" spans="2:8" x14ac:dyDescent="0.25">
      <c r="B16" s="56"/>
      <c r="C16" s="57">
        <f>+'PRODUC ACUMULADA'!B5</f>
        <v>1698.66</v>
      </c>
      <c r="D16" s="58">
        <v>290000</v>
      </c>
      <c r="E16" s="59">
        <f>+C16*D16</f>
        <v>492611400</v>
      </c>
      <c r="F16" s="59">
        <v>71</v>
      </c>
      <c r="G16" s="60"/>
    </row>
    <row r="18" spans="2:20" ht="21.75" thickBot="1" x14ac:dyDescent="0.4">
      <c r="B18" s="98" t="s">
        <v>126</v>
      </c>
      <c r="K18" s="99" t="s">
        <v>114</v>
      </c>
      <c r="L18" s="61"/>
      <c r="N18" s="62"/>
      <c r="P18" s="62"/>
    </row>
    <row r="19" spans="2:20" ht="45.75" thickBot="1" x14ac:dyDescent="0.3">
      <c r="B19" s="63" t="s">
        <v>102</v>
      </c>
      <c r="C19" s="64" t="s">
        <v>98</v>
      </c>
      <c r="D19" s="64" t="s">
        <v>68</v>
      </c>
      <c r="E19" s="65" t="s">
        <v>103</v>
      </c>
      <c r="F19" s="76" t="s">
        <v>107</v>
      </c>
      <c r="G19" s="77" t="s">
        <v>108</v>
      </c>
      <c r="H19" s="77" t="s">
        <v>119</v>
      </c>
      <c r="K19" s="63" t="s">
        <v>102</v>
      </c>
      <c r="L19" s="64" t="s">
        <v>98</v>
      </c>
      <c r="M19" s="64" t="s">
        <v>68</v>
      </c>
      <c r="N19" s="65" t="s">
        <v>103</v>
      </c>
      <c r="O19" s="74" t="s">
        <v>106</v>
      </c>
      <c r="P19" s="76" t="s">
        <v>107</v>
      </c>
      <c r="Q19" s="77" t="s">
        <v>119</v>
      </c>
    </row>
    <row r="20" spans="2:20" x14ac:dyDescent="0.25">
      <c r="B20" s="73" t="s">
        <v>105</v>
      </c>
      <c r="C20" s="66">
        <f>+'[52]2026 OPERATIVA'!$E$22</f>
        <v>108866744.07059583</v>
      </c>
      <c r="D20" s="67">
        <f>+C20*100%/C25</f>
        <v>0.6247842251333654</v>
      </c>
      <c r="E20" s="68">
        <f>+C20/C16</f>
        <v>64089.779043832095</v>
      </c>
      <c r="F20" s="78">
        <f>+F16-G21-G22-G23-H24</f>
        <v>57</v>
      </c>
      <c r="G20" s="75"/>
      <c r="H20" s="75"/>
      <c r="K20" s="100" t="s">
        <v>115</v>
      </c>
      <c r="L20" s="66">
        <f>+O20*457363</f>
        <v>26069691</v>
      </c>
      <c r="M20" s="67">
        <f>+L20*100%/L25</f>
        <v>0.67751411588934451</v>
      </c>
      <c r="N20" s="68">
        <f>+L20/C16</f>
        <v>15347.209565186677</v>
      </c>
      <c r="O20" s="118">
        <f>+F20</f>
        <v>57</v>
      </c>
      <c r="P20" s="78"/>
      <c r="Q20" s="75"/>
    </row>
    <row r="21" spans="2:20" x14ac:dyDescent="0.25">
      <c r="B21" s="79" t="s">
        <v>109</v>
      </c>
      <c r="C21" s="80">
        <f>+'[53]ADMINISTRATIVA RRHH'!$F$24</f>
        <v>12363140.9552</v>
      </c>
      <c r="D21" s="67">
        <f>+C21*100%/C25</f>
        <v>7.0951836649953484E-2</v>
      </c>
      <c r="E21" s="68">
        <f>+C21/C16</f>
        <v>7278.1727686529375</v>
      </c>
      <c r="F21" s="82"/>
      <c r="G21" s="83">
        <v>3</v>
      </c>
      <c r="H21" s="83"/>
      <c r="K21" s="100" t="s">
        <v>116</v>
      </c>
      <c r="L21" s="80">
        <f>+P21*457363</f>
        <v>1372089</v>
      </c>
      <c r="M21" s="67">
        <f>+L21*100%/L25</f>
        <v>3.5658637678386555E-2</v>
      </c>
      <c r="N21" s="68">
        <f>+L21/C16</f>
        <v>807.74787185193031</v>
      </c>
      <c r="O21" s="81"/>
      <c r="P21" s="83">
        <v>3</v>
      </c>
      <c r="Q21" s="83"/>
    </row>
    <row r="22" spans="2:20" ht="30" customHeight="1" x14ac:dyDescent="0.25">
      <c r="B22" s="70" t="s">
        <v>110</v>
      </c>
      <c r="C22" s="68">
        <f>+'[53]ADMINISTRATIVA RRHH'!$F$31</f>
        <v>3318380.3183999998</v>
      </c>
      <c r="D22" s="71">
        <f>+C22*100%/C25</f>
        <v>1.9044123103240038E-2</v>
      </c>
      <c r="E22" s="68">
        <f>+C22/C16</f>
        <v>1953.5282625128041</v>
      </c>
      <c r="F22" s="82"/>
      <c r="G22" s="83">
        <v>1</v>
      </c>
      <c r="H22" s="83"/>
      <c r="K22" s="97" t="s">
        <v>117</v>
      </c>
      <c r="L22" s="68">
        <f>+P22*457363</f>
        <v>457363</v>
      </c>
      <c r="M22" s="71">
        <f>+L22*100%/L25</f>
        <v>1.1886212559462183E-2</v>
      </c>
      <c r="N22" s="68">
        <f>+L22/C16</f>
        <v>269.24929061731012</v>
      </c>
      <c r="O22" s="72"/>
      <c r="P22" s="83">
        <v>1</v>
      </c>
      <c r="Q22" s="83"/>
      <c r="T22" s="119"/>
    </row>
    <row r="23" spans="2:20" x14ac:dyDescent="0.25">
      <c r="B23" s="70" t="s">
        <v>111</v>
      </c>
      <c r="C23" s="68">
        <f>+'[53]ADMINISTRATIVA RRHH'!$F$37</f>
        <v>28117260.401999999</v>
      </c>
      <c r="D23" s="71">
        <f>+C23*100%/C25</f>
        <v>0.16136443597270597</v>
      </c>
      <c r="E23" s="68">
        <f>+C23/C16</f>
        <v>16552.612295574156</v>
      </c>
      <c r="F23" s="82"/>
      <c r="G23" s="83">
        <v>8</v>
      </c>
      <c r="H23" s="83"/>
      <c r="K23" s="96" t="s">
        <v>118</v>
      </c>
      <c r="L23" s="68">
        <f>+P23*457363</f>
        <v>3658904</v>
      </c>
      <c r="M23" s="71">
        <f>+L23*100%/L25</f>
        <v>9.5089700475697467E-2</v>
      </c>
      <c r="N23" s="68">
        <f>+L23/C16</f>
        <v>2153.994324938481</v>
      </c>
      <c r="O23" s="72"/>
      <c r="P23" s="83">
        <v>8</v>
      </c>
      <c r="Q23" s="83"/>
    </row>
    <row r="24" spans="2:20" x14ac:dyDescent="0.25">
      <c r="B24" s="70" t="s">
        <v>112</v>
      </c>
      <c r="C24" s="68">
        <f>+'[53]ADMINISTRATIVA RRHH'!$F$42</f>
        <v>21581421.745728001</v>
      </c>
      <c r="D24" s="71">
        <f>+C24*100%/C25</f>
        <v>0.12385537914073519</v>
      </c>
      <c r="E24" s="68">
        <f>+C24/C16</f>
        <v>12704.968472636077</v>
      </c>
      <c r="F24" s="82"/>
      <c r="G24" s="83"/>
      <c r="H24" s="83">
        <v>2</v>
      </c>
      <c r="K24" s="96" t="s">
        <v>112</v>
      </c>
      <c r="L24" s="68">
        <v>6920400</v>
      </c>
      <c r="M24" s="71">
        <f>+L24*100%/L25</f>
        <v>0.17985133339710929</v>
      </c>
      <c r="N24" s="68">
        <f>+L24/C16</f>
        <v>4074.0348274522266</v>
      </c>
      <c r="O24" s="72"/>
      <c r="P24" s="82"/>
      <c r="Q24" s="83">
        <v>2</v>
      </c>
    </row>
    <row r="25" spans="2:20" x14ac:dyDescent="0.25">
      <c r="B25" s="90" t="s">
        <v>113</v>
      </c>
      <c r="C25" s="91">
        <f>SUM(C20:C24)</f>
        <v>174246947.49192381</v>
      </c>
      <c r="D25" s="92">
        <f>SUM(D20:D24)</f>
        <v>1</v>
      </c>
      <c r="E25" s="93">
        <f>SUM(E20:E24)</f>
        <v>102579.06084320806</v>
      </c>
      <c r="F25" s="94"/>
      <c r="G25" s="94"/>
      <c r="H25" s="94"/>
      <c r="K25" s="90" t="s">
        <v>113</v>
      </c>
      <c r="L25" s="91">
        <f>SUM(L20:L24)</f>
        <v>38478447</v>
      </c>
      <c r="M25" s="92">
        <f>SUM(M20:M24)</f>
        <v>1</v>
      </c>
      <c r="N25" s="93">
        <f>SUM(N20:N24)</f>
        <v>22652.235880046625</v>
      </c>
      <c r="O25" s="90"/>
      <c r="P25" s="94"/>
      <c r="Q25" s="94"/>
    </row>
    <row r="26" spans="2:20" x14ac:dyDescent="0.25">
      <c r="C26" s="84"/>
      <c r="D26" s="85"/>
      <c r="E26" s="86">
        <f>+G25/(340000-H26)</f>
        <v>0</v>
      </c>
      <c r="G26" s="87"/>
      <c r="H26" s="88"/>
      <c r="K26" s="52"/>
    </row>
    <row r="27" spans="2:20" x14ac:dyDescent="0.25">
      <c r="C27" s="84"/>
      <c r="D27" s="85"/>
      <c r="E27" s="86"/>
      <c r="G27" s="87"/>
      <c r="H27" s="88"/>
    </row>
    <row r="28" spans="2:20" x14ac:dyDescent="0.25">
      <c r="C28" s="84"/>
      <c r="D28" s="85"/>
      <c r="E28" s="86"/>
      <c r="G28" s="87"/>
      <c r="H28" s="88"/>
    </row>
    <row r="29" spans="2:20" x14ac:dyDescent="0.25">
      <c r="C29" s="84"/>
      <c r="D29" s="85"/>
      <c r="E29" s="86"/>
      <c r="G29" s="87"/>
      <c r="H29" s="88"/>
    </row>
    <row r="30" spans="2:20" x14ac:dyDescent="0.25">
      <c r="C30" s="84"/>
      <c r="D30" s="85"/>
      <c r="E30" s="86"/>
      <c r="G30" s="87"/>
      <c r="H30" s="88"/>
    </row>
    <row r="31" spans="2:20" x14ac:dyDescent="0.25">
      <c r="C31" s="84"/>
      <c r="D31" s="85"/>
      <c r="E31" s="86"/>
      <c r="G31" s="87"/>
      <c r="H31" s="88"/>
    </row>
    <row r="32" spans="2:20" x14ac:dyDescent="0.25">
      <c r="C32" s="84"/>
      <c r="D32" s="85"/>
      <c r="E32" s="86"/>
      <c r="G32" s="87"/>
      <c r="H32" s="88"/>
    </row>
    <row r="33" spans="3:8" x14ac:dyDescent="0.25">
      <c r="C33" s="84"/>
      <c r="D33" s="85"/>
      <c r="E33" s="86"/>
      <c r="G33" s="87"/>
      <c r="H33" s="88"/>
    </row>
    <row r="34" spans="3:8" x14ac:dyDescent="0.25">
      <c r="C34" s="84"/>
      <c r="D34" s="85"/>
      <c r="E34" s="86"/>
      <c r="G34" s="87"/>
      <c r="H34" s="88"/>
    </row>
    <row r="35" spans="3:8" x14ac:dyDescent="0.25">
      <c r="C35" s="84"/>
      <c r="D35" s="85"/>
      <c r="E35" s="86"/>
      <c r="G35" s="87"/>
      <c r="H35" s="88"/>
    </row>
    <row r="36" spans="3:8" x14ac:dyDescent="0.25">
      <c r="C36" s="84"/>
      <c r="D36" s="85"/>
      <c r="E36" s="86"/>
      <c r="G36" s="87"/>
      <c r="H36" s="88"/>
    </row>
    <row r="37" spans="3:8" x14ac:dyDescent="0.25">
      <c r="C37" s="84"/>
      <c r="D37" s="85"/>
      <c r="E37" s="86"/>
      <c r="G37" s="87"/>
      <c r="H37" s="88"/>
    </row>
    <row r="38" spans="3:8" x14ac:dyDescent="0.25">
      <c r="C38" s="84"/>
      <c r="D38" s="85"/>
      <c r="E38" s="86"/>
      <c r="G38" s="87"/>
      <c r="H38" s="88"/>
    </row>
    <row r="39" spans="3:8" x14ac:dyDescent="0.25">
      <c r="C39" s="84"/>
      <c r="D39" s="85"/>
      <c r="E39" s="86"/>
      <c r="G39" s="87"/>
      <c r="H39" s="88"/>
    </row>
    <row r="40" spans="3:8" x14ac:dyDescent="0.25">
      <c r="C40" s="84"/>
      <c r="D40" s="85"/>
      <c r="E40" s="86"/>
      <c r="G40" s="87"/>
      <c r="H40" s="88"/>
    </row>
    <row r="41" spans="3:8" x14ac:dyDescent="0.25">
      <c r="C41" s="84"/>
      <c r="D41" s="85"/>
      <c r="E41" s="86"/>
      <c r="G41" s="87"/>
      <c r="H41" s="88"/>
    </row>
    <row r="42" spans="3:8" x14ac:dyDescent="0.25">
      <c r="C42" s="84"/>
      <c r="D42" s="85"/>
      <c r="E42" s="86"/>
      <c r="G42" s="87"/>
      <c r="H42" s="88"/>
    </row>
    <row r="43" spans="3:8" x14ac:dyDescent="0.25">
      <c r="C43" s="84"/>
      <c r="D43" s="85"/>
      <c r="E43" s="86"/>
      <c r="G43" s="87"/>
      <c r="H43" s="88"/>
    </row>
    <row r="44" spans="3:8" x14ac:dyDescent="0.25">
      <c r="C44" s="84"/>
      <c r="D44" s="85"/>
      <c r="E44" s="86"/>
      <c r="G44" s="87"/>
      <c r="H44" s="88"/>
    </row>
    <row r="45" spans="3:8" x14ac:dyDescent="0.25">
      <c r="C45" s="84"/>
      <c r="D45" s="85"/>
      <c r="E45" s="86"/>
      <c r="G45" s="87"/>
      <c r="H45" s="88"/>
    </row>
    <row r="46" spans="3:8" x14ac:dyDescent="0.25">
      <c r="C46" s="84"/>
      <c r="D46" s="85"/>
      <c r="E46" s="86"/>
      <c r="G46" s="87"/>
      <c r="H46" s="88"/>
    </row>
    <row r="47" spans="3:8" x14ac:dyDescent="0.25">
      <c r="C47" s="84"/>
      <c r="D47" s="85"/>
      <c r="E47" s="86"/>
      <c r="G47" s="87"/>
      <c r="H47" s="88"/>
    </row>
    <row r="48" spans="3:8" x14ac:dyDescent="0.25">
      <c r="C48" s="84"/>
      <c r="D48" s="85"/>
      <c r="E48" s="86"/>
      <c r="G48" s="87"/>
      <c r="H48" s="88"/>
    </row>
    <row r="49" spans="2:8" x14ac:dyDescent="0.25">
      <c r="C49" s="84"/>
      <c r="D49" s="85"/>
      <c r="E49" s="86"/>
      <c r="G49" s="87"/>
      <c r="H49" s="88"/>
    </row>
    <row r="50" spans="2:8" x14ac:dyDescent="0.25">
      <c r="C50" s="52"/>
      <c r="E50" s="52"/>
    </row>
    <row r="52" spans="2:8" ht="15.75" thickBot="1" x14ac:dyDescent="0.3">
      <c r="B52" s="52" t="s">
        <v>120</v>
      </c>
      <c r="G52" s="62"/>
    </row>
    <row r="53" spans="2:8" ht="34.5" thickBot="1" x14ac:dyDescent="0.3">
      <c r="B53" s="63" t="s">
        <v>102</v>
      </c>
      <c r="C53" s="64" t="s">
        <v>98</v>
      </c>
      <c r="D53" s="64" t="s">
        <v>68</v>
      </c>
      <c r="E53" s="65" t="s">
        <v>103</v>
      </c>
      <c r="F53" s="76" t="s">
        <v>107</v>
      </c>
      <c r="G53" s="77" t="s">
        <v>108</v>
      </c>
      <c r="H53" s="77" t="s">
        <v>119</v>
      </c>
    </row>
    <row r="54" spans="2:8" ht="28.5" customHeight="1" x14ac:dyDescent="0.25">
      <c r="B54" s="95" t="s">
        <v>121</v>
      </c>
      <c r="C54" s="66">
        <v>24059257</v>
      </c>
      <c r="D54" s="67">
        <f>+C54*100%/C59</f>
        <v>0.75269456394456669</v>
      </c>
      <c r="E54" s="68">
        <f>+C54/C16</f>
        <v>14163.668420990663</v>
      </c>
      <c r="F54" s="118">
        <f>+F20</f>
        <v>57</v>
      </c>
      <c r="G54" s="78"/>
      <c r="H54" s="75"/>
    </row>
    <row r="55" spans="2:8" ht="25.5" customHeight="1" x14ac:dyDescent="0.25">
      <c r="B55" s="95" t="s">
        <v>122</v>
      </c>
      <c r="C55" s="80">
        <v>1146647</v>
      </c>
      <c r="D55" s="67">
        <f>+C55*100%/C59</f>
        <v>3.5872885171115032E-2</v>
      </c>
      <c r="E55" s="68">
        <f>+C55/C16</f>
        <v>675.03031801537679</v>
      </c>
      <c r="F55" s="81"/>
      <c r="G55" s="83">
        <f>+G21</f>
        <v>3</v>
      </c>
      <c r="H55" s="83"/>
    </row>
    <row r="56" spans="2:8" ht="24.75" customHeight="1" x14ac:dyDescent="0.25">
      <c r="B56" s="97" t="s">
        <v>123</v>
      </c>
      <c r="C56" s="68">
        <v>282216</v>
      </c>
      <c r="D56" s="71">
        <f>+C56*100%/C59</f>
        <v>8.8291358730728815E-3</v>
      </c>
      <c r="E56" s="68">
        <f>+C56/C16</f>
        <v>166.14036946769806</v>
      </c>
      <c r="F56" s="72"/>
      <c r="G56" s="83">
        <f>+G22</f>
        <v>1</v>
      </c>
      <c r="H56" s="83"/>
    </row>
    <row r="57" spans="2:8" ht="29.25" customHeight="1" x14ac:dyDescent="0.25">
      <c r="B57" s="97" t="s">
        <v>124</v>
      </c>
      <c r="C57" s="68">
        <v>1764912</v>
      </c>
      <c r="D57" s="71">
        <f>+C57*100%/C59</f>
        <v>5.5215323907988223E-2</v>
      </c>
      <c r="E57" s="68">
        <f>+C57/C16</f>
        <v>1039.0025078591359</v>
      </c>
      <c r="F57" s="72"/>
      <c r="G57" s="83">
        <f>+G23</f>
        <v>8</v>
      </c>
      <c r="H57" s="83"/>
    </row>
    <row r="58" spans="2:8" ht="22.5" customHeight="1" x14ac:dyDescent="0.25">
      <c r="B58" s="96" t="s">
        <v>125</v>
      </c>
      <c r="C58" s="68">
        <v>4711138</v>
      </c>
      <c r="D58" s="71">
        <f>+C58*100%/C59</f>
        <v>0.14738809110325718</v>
      </c>
      <c r="E58" s="68">
        <f>+C58/C16</f>
        <v>2773.4437733272107</v>
      </c>
      <c r="F58" s="72"/>
      <c r="G58" s="82"/>
      <c r="H58" s="83">
        <f>+H24</f>
        <v>2</v>
      </c>
    </row>
    <row r="59" spans="2:8" x14ac:dyDescent="0.25">
      <c r="B59" s="90" t="s">
        <v>113</v>
      </c>
      <c r="C59" s="91">
        <f>SUM(C54:C58)</f>
        <v>31964170</v>
      </c>
      <c r="D59" s="92">
        <f>SUM(D54:D58)</f>
        <v>1</v>
      </c>
      <c r="E59" s="93">
        <f>SUM(E54:E58)</f>
        <v>18817.285389660083</v>
      </c>
      <c r="F59" s="90"/>
      <c r="G59" s="94"/>
      <c r="H59" s="94"/>
    </row>
    <row r="84" spans="2:11" ht="15.75" thickBot="1" x14ac:dyDescent="0.3"/>
    <row r="85" spans="2:11" ht="30" x14ac:dyDescent="0.25">
      <c r="C85" s="128" t="s">
        <v>99</v>
      </c>
      <c r="D85" s="129" t="s">
        <v>100</v>
      </c>
      <c r="E85" s="129" t="s">
        <v>101</v>
      </c>
      <c r="F85" s="130" t="s">
        <v>106</v>
      </c>
    </row>
    <row r="86" spans="2:11" ht="15.75" thickBot="1" x14ac:dyDescent="0.3">
      <c r="C86" s="131">
        <f>+C16</f>
        <v>1698.66</v>
      </c>
      <c r="D86" s="132">
        <v>290000</v>
      </c>
      <c r="E86" s="133">
        <f>+C86*D86</f>
        <v>492611400</v>
      </c>
      <c r="F86" s="134">
        <v>84</v>
      </c>
    </row>
    <row r="87" spans="2:11" x14ac:dyDescent="0.25">
      <c r="C87" s="126"/>
      <c r="D87" s="124"/>
      <c r="E87" s="125"/>
      <c r="F87" s="125"/>
      <c r="K87" s="127"/>
    </row>
    <row r="88" spans="2:11" ht="15.75" thickBot="1" x14ac:dyDescent="0.3">
      <c r="C88" s="126"/>
      <c r="D88" s="124"/>
      <c r="E88" s="125"/>
      <c r="F88" s="125"/>
      <c r="K88" s="127"/>
    </row>
    <row r="89" spans="2:11" x14ac:dyDescent="0.25">
      <c r="B89" s="196" t="s">
        <v>135</v>
      </c>
      <c r="C89" s="197"/>
      <c r="D89" s="198"/>
    </row>
    <row r="90" spans="2:11" x14ac:dyDescent="0.25">
      <c r="B90" s="135" t="s">
        <v>136</v>
      </c>
      <c r="C90" s="137">
        <f>+C25</f>
        <v>174246947.49192381</v>
      </c>
      <c r="D90" s="139">
        <f>+C90/C93</f>
        <v>0.71211433905541555</v>
      </c>
    </row>
    <row r="91" spans="2:11" x14ac:dyDescent="0.25">
      <c r="B91" s="135" t="s">
        <v>120</v>
      </c>
      <c r="C91" s="137">
        <f>+C59</f>
        <v>31964170</v>
      </c>
      <c r="D91" s="139">
        <f>+C91/C93</f>
        <v>0.13063152107189682</v>
      </c>
    </row>
    <row r="92" spans="2:11" ht="15.75" thickBot="1" x14ac:dyDescent="0.3">
      <c r="B92" s="136" t="s">
        <v>114</v>
      </c>
      <c r="C92" s="138">
        <f>+L25</f>
        <v>38478447</v>
      </c>
      <c r="D92" s="140">
        <f>+C92/C93</f>
        <v>0.1572541398726876</v>
      </c>
    </row>
    <row r="93" spans="2:11" ht="15.75" thickBot="1" x14ac:dyDescent="0.3">
      <c r="B93" s="141" t="s">
        <v>137</v>
      </c>
      <c r="C93" s="142">
        <f>SUM(C90:C92)</f>
        <v>244689564.49192381</v>
      </c>
      <c r="D93" s="143">
        <f>SUM(D90:D92)</f>
        <v>1</v>
      </c>
    </row>
  </sheetData>
  <autoFilter ref="B19:H26" xr:uid="{00000000-0001-0000-0000-000000000000}"/>
  <mergeCells count="2">
    <mergeCell ref="C13:H13"/>
    <mergeCell ref="B89:D89"/>
  </mergeCells>
  <pageMargins left="0.19685039370078741" right="0.19685039370078741" top="0.19685039370078741" bottom="0.19685039370078741" header="0.31496062992125984" footer="0.31496062992125984"/>
  <pageSetup paperSize="9" scale="70" orientation="landscape" horizontalDpi="0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5DB8A-2AA3-4447-9013-B41C40EB5695}">
  <sheetPr>
    <tabColor theme="5" tint="-0.249977111117893"/>
  </sheetPr>
  <dimension ref="B13:Q95"/>
  <sheetViews>
    <sheetView zoomScale="90" zoomScaleNormal="90" workbookViewId="0">
      <selection activeCell="L20" sqref="L20"/>
    </sheetView>
  </sheetViews>
  <sheetFormatPr baseColWidth="10" defaultColWidth="11" defaultRowHeight="15" x14ac:dyDescent="0.25"/>
  <cols>
    <col min="1" max="1" width="11" style="52"/>
    <col min="2" max="2" width="31.42578125" style="52" customWidth="1"/>
    <col min="3" max="3" width="15.5703125" style="61" customWidth="1"/>
    <col min="4" max="4" width="9.5703125" style="52" customWidth="1"/>
    <col min="5" max="5" width="14" style="62" customWidth="1"/>
    <col min="6" max="6" width="10.85546875" style="52" customWidth="1"/>
    <col min="7" max="8" width="13.28515625" style="52" customWidth="1"/>
    <col min="9" max="9" width="12.42578125" style="52" bestFit="1" customWidth="1"/>
    <col min="10" max="10" width="11" style="52"/>
    <col min="11" max="11" width="33.5703125" style="62" customWidth="1"/>
    <col min="12" max="12" width="19.7109375" style="52" customWidth="1"/>
    <col min="13" max="14" width="11" style="52"/>
    <col min="15" max="15" width="12.140625" style="52" customWidth="1"/>
    <col min="16" max="16384" width="11" style="52"/>
  </cols>
  <sheetData>
    <row r="13" spans="2:8" x14ac:dyDescent="0.25">
      <c r="C13" s="195" t="s">
        <v>167</v>
      </c>
      <c r="D13" s="195"/>
      <c r="E13" s="195"/>
      <c r="F13" s="195"/>
      <c r="G13" s="195"/>
      <c r="H13" s="195"/>
    </row>
    <row r="14" spans="2:8" x14ac:dyDescent="0.25">
      <c r="C14" s="53"/>
      <c r="D14" s="53"/>
      <c r="E14" s="53"/>
      <c r="F14" s="53"/>
      <c r="G14" s="53"/>
      <c r="H14" s="53"/>
    </row>
    <row r="15" spans="2:8" ht="30" x14ac:dyDescent="0.25">
      <c r="C15" s="108" t="s">
        <v>99</v>
      </c>
      <c r="D15" s="109" t="s">
        <v>100</v>
      </c>
      <c r="E15" s="109" t="s">
        <v>101</v>
      </c>
      <c r="F15" s="89" t="s">
        <v>106</v>
      </c>
    </row>
    <row r="16" spans="2:8" x14ac:dyDescent="0.25">
      <c r="B16" s="56"/>
      <c r="C16" s="110">
        <f>+'PRODUC ACUMULADA'!B6</f>
        <v>1830.15</v>
      </c>
      <c r="D16" s="111">
        <v>290000</v>
      </c>
      <c r="E16" s="112">
        <f>+C16*D16</f>
        <v>530743500</v>
      </c>
      <c r="F16" s="59">
        <v>75</v>
      </c>
      <c r="G16" s="60"/>
    </row>
    <row r="18" spans="2:17" ht="21.75" thickBot="1" x14ac:dyDescent="0.4">
      <c r="B18" s="98" t="s">
        <v>126</v>
      </c>
      <c r="K18" s="99" t="s">
        <v>114</v>
      </c>
      <c r="L18" s="61"/>
      <c r="N18" s="62"/>
      <c r="P18" s="62"/>
    </row>
    <row r="19" spans="2:17" ht="45.75" thickBot="1" x14ac:dyDescent="0.3">
      <c r="B19" s="63" t="s">
        <v>102</v>
      </c>
      <c r="C19" s="64" t="s">
        <v>98</v>
      </c>
      <c r="D19" s="64" t="s">
        <v>68</v>
      </c>
      <c r="E19" s="65" t="s">
        <v>103</v>
      </c>
      <c r="F19" s="76" t="s">
        <v>107</v>
      </c>
      <c r="G19" s="77" t="s">
        <v>108</v>
      </c>
      <c r="H19" s="77" t="s">
        <v>119</v>
      </c>
      <c r="K19" s="63" t="s">
        <v>102</v>
      </c>
      <c r="L19" s="64" t="s">
        <v>98</v>
      </c>
      <c r="M19" s="64" t="s">
        <v>68</v>
      </c>
      <c r="N19" s="65" t="s">
        <v>103</v>
      </c>
      <c r="O19" s="74" t="s">
        <v>107</v>
      </c>
      <c r="P19" s="76" t="s">
        <v>166</v>
      </c>
      <c r="Q19" s="77" t="s">
        <v>119</v>
      </c>
    </row>
    <row r="20" spans="2:17" x14ac:dyDescent="0.25">
      <c r="B20" s="73" t="s">
        <v>105</v>
      </c>
      <c r="C20" s="66">
        <f>+'RESUMEN 2026'!H18</f>
        <v>134161457.14583333</v>
      </c>
      <c r="D20" s="67">
        <f>+C20*100%/C25</f>
        <v>0.674966216023421</v>
      </c>
      <c r="E20" s="68">
        <f>+C20/C16</f>
        <v>73306.262954311576</v>
      </c>
      <c r="F20" s="78">
        <f>+F16-G21-G22-G23-H24</f>
        <v>61</v>
      </c>
      <c r="G20" s="75"/>
      <c r="H20" s="75"/>
      <c r="K20" s="100" t="s">
        <v>115</v>
      </c>
      <c r="L20" s="66">
        <f>+O20*478132.87</f>
        <v>29166105.07</v>
      </c>
      <c r="M20" s="67">
        <f>+L20*100%/L25</f>
        <v>0.69735165638238028</v>
      </c>
      <c r="N20" s="68">
        <f>+L20/C16</f>
        <v>15936.456066442641</v>
      </c>
      <c r="O20" s="118">
        <f>+F20</f>
        <v>61</v>
      </c>
      <c r="P20" s="78"/>
      <c r="Q20" s="75"/>
    </row>
    <row r="21" spans="2:17" x14ac:dyDescent="0.25">
      <c r="B21" s="79" t="s">
        <v>109</v>
      </c>
      <c r="C21" s="80">
        <f>+'[54]ADMINISTRATIVA RRHH'!$F$26</f>
        <v>11080140.9552</v>
      </c>
      <c r="D21" s="67">
        <f>+C21*100%/C25</f>
        <v>5.5744182961639403E-2</v>
      </c>
      <c r="E21" s="68">
        <f>+C21/C16</f>
        <v>6054.2255854438154</v>
      </c>
      <c r="F21" s="82"/>
      <c r="G21" s="83">
        <v>3</v>
      </c>
      <c r="H21" s="83"/>
      <c r="K21" s="100" t="s">
        <v>116</v>
      </c>
      <c r="L21" s="80">
        <f>+P21*478132.87</f>
        <v>1434398.6099999999</v>
      </c>
      <c r="M21" s="67">
        <f>+L21*100%/L25</f>
        <v>3.4295983100772802E-2</v>
      </c>
      <c r="N21" s="68">
        <f>+L21/C16</f>
        <v>783.76013441521172</v>
      </c>
      <c r="O21" s="81"/>
      <c r="P21" s="83">
        <f>+G21</f>
        <v>3</v>
      </c>
      <c r="Q21" s="83"/>
    </row>
    <row r="22" spans="2:17" ht="30" customHeight="1" x14ac:dyDescent="0.25">
      <c r="B22" s="70" t="s">
        <v>110</v>
      </c>
      <c r="C22" s="68">
        <f>+'[54]ADMINISTRATIVA RRHH'!$F$33</f>
        <v>4977570.4775999999</v>
      </c>
      <c r="D22" s="71">
        <f>+C22*100%/C25</f>
        <v>2.5042154294758319E-2</v>
      </c>
      <c r="E22" s="68">
        <f>+C22/C16</f>
        <v>2719.7609363166953</v>
      </c>
      <c r="F22" s="82"/>
      <c r="G22" s="83">
        <v>1</v>
      </c>
      <c r="H22" s="83"/>
      <c r="K22" s="97" t="s">
        <v>117</v>
      </c>
      <c r="L22" s="68">
        <f>+P22*478132.87</f>
        <v>478132.87</v>
      </c>
      <c r="M22" s="71">
        <f>+L22*100%/L25</f>
        <v>1.1431994366924268E-2</v>
      </c>
      <c r="N22" s="68">
        <f>+L22/C16</f>
        <v>261.25337813840395</v>
      </c>
      <c r="O22" s="72"/>
      <c r="P22" s="83">
        <f>+G22</f>
        <v>1</v>
      </c>
      <c r="Q22" s="83"/>
    </row>
    <row r="23" spans="2:17" x14ac:dyDescent="0.25">
      <c r="B23" s="70" t="s">
        <v>111</v>
      </c>
      <c r="C23" s="68">
        <f>+'[54]ADMINISTRATIVA RRHH'!$F$39</f>
        <v>26967072.354000002</v>
      </c>
      <c r="D23" s="71">
        <f>+C23*100%/C25</f>
        <v>0.13567132596229772</v>
      </c>
      <c r="E23" s="68">
        <f>+C23/C16</f>
        <v>14734.897333005492</v>
      </c>
      <c r="F23" s="82"/>
      <c r="G23" s="83">
        <v>8</v>
      </c>
      <c r="H23" s="83"/>
      <c r="K23" s="96" t="s">
        <v>118</v>
      </c>
      <c r="L23" s="68">
        <f>+P23*478132.87</f>
        <v>3825062.96</v>
      </c>
      <c r="M23" s="71">
        <f>+L23*100%/L25</f>
        <v>9.1455954935394143E-2</v>
      </c>
      <c r="N23" s="68">
        <f>+L23/C16</f>
        <v>2090.0270251072316</v>
      </c>
      <c r="O23" s="72"/>
      <c r="P23" s="83">
        <f>+G23</f>
        <v>8</v>
      </c>
      <c r="Q23" s="83"/>
    </row>
    <row r="24" spans="2:17" x14ac:dyDescent="0.25">
      <c r="B24" s="70" t="s">
        <v>112</v>
      </c>
      <c r="C24" s="68">
        <f>+'[54]ADMINISTRATIVA RRHH'!$F$44</f>
        <v>21581421.745728001</v>
      </c>
      <c r="D24" s="71">
        <f>+C24*100%/C25</f>
        <v>0.10857612075788342</v>
      </c>
      <c r="E24" s="68">
        <f>+C24/C16</f>
        <v>11792.160066512581</v>
      </c>
      <c r="F24" s="82"/>
      <c r="G24" s="83"/>
      <c r="H24" s="83">
        <v>2</v>
      </c>
      <c r="K24" s="96" t="s">
        <v>112</v>
      </c>
      <c r="L24" s="68">
        <f>+'ENERO 2026'!L24</f>
        <v>6920400</v>
      </c>
      <c r="M24" s="71">
        <f>+L24*100%/L25</f>
        <v>0.16546441121452851</v>
      </c>
      <c r="N24" s="68">
        <f>+L24/C16</f>
        <v>3781.3293992295712</v>
      </c>
      <c r="O24" s="72"/>
      <c r="P24" s="82"/>
      <c r="Q24" s="83">
        <f>+H24</f>
        <v>2</v>
      </c>
    </row>
    <row r="25" spans="2:17" x14ac:dyDescent="0.25">
      <c r="B25" s="90" t="s">
        <v>113</v>
      </c>
      <c r="C25" s="91">
        <f>SUM(C20:C24)</f>
        <v>198767662.67836136</v>
      </c>
      <c r="D25" s="92">
        <f>SUM(D20:D24)</f>
        <v>0.99999999999999978</v>
      </c>
      <c r="E25" s="93">
        <f>SUM(E20:E24)</f>
        <v>108607.30687559015</v>
      </c>
      <c r="F25" s="94"/>
      <c r="G25" s="94"/>
      <c r="H25" s="94"/>
      <c r="K25" s="90" t="s">
        <v>113</v>
      </c>
      <c r="L25" s="91">
        <f>SUM(L20:L24)</f>
        <v>41824099.509999998</v>
      </c>
      <c r="M25" s="92">
        <f>SUM(M20:M24)</f>
        <v>0.99999999999999989</v>
      </c>
      <c r="N25" s="93">
        <f>SUM(N20:N24)</f>
        <v>22852.826003333059</v>
      </c>
      <c r="O25" s="90"/>
      <c r="P25" s="94"/>
      <c r="Q25" s="94"/>
    </row>
    <row r="26" spans="2:17" x14ac:dyDescent="0.25">
      <c r="C26" s="84"/>
      <c r="D26" s="85"/>
      <c r="E26" s="86">
        <f>+G25/(340000-H26)</f>
        <v>0</v>
      </c>
      <c r="G26" s="87"/>
      <c r="H26" s="88"/>
      <c r="K26" s="52"/>
    </row>
    <row r="27" spans="2:17" x14ac:dyDescent="0.25">
      <c r="C27" s="84"/>
      <c r="D27" s="85"/>
      <c r="E27" s="86"/>
      <c r="G27" s="87"/>
      <c r="H27" s="88"/>
    </row>
    <row r="28" spans="2:17" x14ac:dyDescent="0.25">
      <c r="C28" s="84"/>
      <c r="D28" s="85"/>
      <c r="E28" s="86"/>
      <c r="G28" s="87"/>
      <c r="H28" s="88"/>
    </row>
    <row r="29" spans="2:17" x14ac:dyDescent="0.25">
      <c r="C29" s="84"/>
      <c r="D29" s="85"/>
      <c r="E29" s="86"/>
      <c r="G29" s="87"/>
      <c r="H29" s="88"/>
    </row>
    <row r="30" spans="2:17" x14ac:dyDescent="0.25">
      <c r="C30" s="84"/>
      <c r="D30" s="85"/>
      <c r="E30" s="86"/>
      <c r="G30" s="87"/>
      <c r="H30" s="88"/>
    </row>
    <row r="31" spans="2:17" x14ac:dyDescent="0.25">
      <c r="C31" s="84"/>
      <c r="D31" s="85"/>
      <c r="E31" s="86"/>
      <c r="G31" s="87"/>
      <c r="H31" s="88"/>
    </row>
    <row r="32" spans="2:17" x14ac:dyDescent="0.25">
      <c r="C32" s="84"/>
      <c r="D32" s="85"/>
      <c r="E32" s="86"/>
      <c r="G32" s="87"/>
      <c r="H32" s="88"/>
    </row>
    <row r="33" spans="3:8" x14ac:dyDescent="0.25">
      <c r="C33" s="84"/>
      <c r="D33" s="85"/>
      <c r="E33" s="86"/>
      <c r="G33" s="87"/>
      <c r="H33" s="88"/>
    </row>
    <row r="34" spans="3:8" x14ac:dyDescent="0.25">
      <c r="C34" s="84"/>
      <c r="D34" s="85"/>
      <c r="E34" s="86"/>
      <c r="G34" s="87"/>
      <c r="H34" s="88"/>
    </row>
    <row r="35" spans="3:8" x14ac:dyDescent="0.25">
      <c r="C35" s="84"/>
      <c r="D35" s="85"/>
      <c r="E35" s="86"/>
      <c r="G35" s="87"/>
      <c r="H35" s="88"/>
    </row>
    <row r="36" spans="3:8" x14ac:dyDescent="0.25">
      <c r="C36" s="84"/>
      <c r="D36" s="85"/>
      <c r="E36" s="86"/>
      <c r="G36" s="87"/>
      <c r="H36" s="88"/>
    </row>
    <row r="37" spans="3:8" x14ac:dyDescent="0.25">
      <c r="C37" s="84"/>
      <c r="D37" s="85"/>
      <c r="E37" s="86"/>
      <c r="G37" s="87"/>
      <c r="H37" s="88"/>
    </row>
    <row r="38" spans="3:8" x14ac:dyDescent="0.25">
      <c r="C38" s="84"/>
      <c r="D38" s="85"/>
      <c r="E38" s="86"/>
      <c r="G38" s="87"/>
      <c r="H38" s="88"/>
    </row>
    <row r="39" spans="3:8" x14ac:dyDescent="0.25">
      <c r="C39" s="84"/>
      <c r="D39" s="85"/>
      <c r="E39" s="86"/>
      <c r="G39" s="87"/>
      <c r="H39" s="88"/>
    </row>
    <row r="40" spans="3:8" x14ac:dyDescent="0.25">
      <c r="C40" s="84"/>
      <c r="D40" s="85"/>
      <c r="E40" s="86"/>
      <c r="G40" s="87"/>
      <c r="H40" s="88"/>
    </row>
    <row r="41" spans="3:8" x14ac:dyDescent="0.25">
      <c r="C41" s="84"/>
      <c r="D41" s="85"/>
      <c r="E41" s="86"/>
      <c r="G41" s="87"/>
      <c r="H41" s="88"/>
    </row>
    <row r="42" spans="3:8" x14ac:dyDescent="0.25">
      <c r="C42" s="84"/>
      <c r="D42" s="85"/>
      <c r="E42" s="86"/>
      <c r="G42" s="87"/>
      <c r="H42" s="88"/>
    </row>
    <row r="43" spans="3:8" x14ac:dyDescent="0.25">
      <c r="C43" s="84"/>
      <c r="D43" s="85"/>
      <c r="E43" s="86"/>
      <c r="G43" s="87"/>
      <c r="H43" s="88"/>
    </row>
    <row r="44" spans="3:8" x14ac:dyDescent="0.25">
      <c r="C44" s="84"/>
      <c r="D44" s="85"/>
      <c r="E44" s="86"/>
      <c r="G44" s="87"/>
      <c r="H44" s="88"/>
    </row>
    <row r="45" spans="3:8" x14ac:dyDescent="0.25">
      <c r="C45" s="84"/>
      <c r="D45" s="85"/>
      <c r="E45" s="86"/>
      <c r="G45" s="87"/>
      <c r="H45" s="88"/>
    </row>
    <row r="46" spans="3:8" x14ac:dyDescent="0.25">
      <c r="C46" s="84"/>
      <c r="D46" s="85"/>
      <c r="E46" s="86"/>
      <c r="G46" s="87"/>
      <c r="H46" s="88"/>
    </row>
    <row r="47" spans="3:8" x14ac:dyDescent="0.25">
      <c r="C47" s="84"/>
      <c r="D47" s="85"/>
      <c r="E47" s="86"/>
      <c r="G47" s="87"/>
      <c r="H47" s="88"/>
    </row>
    <row r="48" spans="3:8" x14ac:dyDescent="0.25">
      <c r="C48" s="84"/>
      <c r="D48" s="85"/>
      <c r="E48" s="86"/>
      <c r="G48" s="87"/>
      <c r="H48" s="88"/>
    </row>
    <row r="49" spans="2:8" x14ac:dyDescent="0.25">
      <c r="C49" s="84"/>
      <c r="D49" s="85"/>
      <c r="E49" s="86"/>
      <c r="G49" s="87"/>
      <c r="H49" s="88"/>
    </row>
    <row r="50" spans="2:8" x14ac:dyDescent="0.25">
      <c r="C50" s="52"/>
      <c r="E50" s="52"/>
    </row>
    <row r="52" spans="2:8" ht="15.75" thickBot="1" x14ac:dyDescent="0.3">
      <c r="B52" s="52" t="s">
        <v>120</v>
      </c>
      <c r="G52" s="62"/>
    </row>
    <row r="53" spans="2:8" ht="34.5" thickBot="1" x14ac:dyDescent="0.3">
      <c r="B53" s="63" t="s">
        <v>102</v>
      </c>
      <c r="C53" s="64" t="s">
        <v>98</v>
      </c>
      <c r="D53" s="64" t="s">
        <v>68</v>
      </c>
      <c r="E53" s="65" t="s">
        <v>103</v>
      </c>
      <c r="F53" s="76" t="s">
        <v>107</v>
      </c>
      <c r="G53" s="77" t="s">
        <v>108</v>
      </c>
      <c r="H53" s="77" t="s">
        <v>119</v>
      </c>
    </row>
    <row r="54" spans="2:8" ht="28.5" customHeight="1" x14ac:dyDescent="0.25">
      <c r="B54" s="95" t="s">
        <v>121</v>
      </c>
      <c r="C54" s="66">
        <f>+[55]COSTOS!$AH$72</f>
        <v>19773244.694527984</v>
      </c>
      <c r="D54" s="67">
        <f>+C54*100%/C59</f>
        <v>0.67638695853199859</v>
      </c>
      <c r="E54" s="68">
        <f>+C54/C16</f>
        <v>10804.166158253685</v>
      </c>
      <c r="F54" s="118">
        <f>+F20</f>
        <v>61</v>
      </c>
      <c r="G54" s="78"/>
      <c r="H54" s="75"/>
    </row>
    <row r="55" spans="2:8" ht="25.5" customHeight="1" x14ac:dyDescent="0.25">
      <c r="B55" s="95" t="s">
        <v>122</v>
      </c>
      <c r="C55" s="80">
        <f>+[55]COSTOS!$AH$115</f>
        <v>1146646.6736399999</v>
      </c>
      <c r="D55" s="67">
        <f>+C55*100%/C59</f>
        <v>3.922355021019007E-2</v>
      </c>
      <c r="E55" s="68">
        <f>+C55/C16</f>
        <v>626.53152672731733</v>
      </c>
      <c r="F55" s="81"/>
      <c r="G55" s="83">
        <f>+G21</f>
        <v>3</v>
      </c>
      <c r="H55" s="83"/>
    </row>
    <row r="56" spans="2:8" ht="24.75" customHeight="1" x14ac:dyDescent="0.25">
      <c r="B56" s="97" t="s">
        <v>123</v>
      </c>
      <c r="C56" s="68">
        <f>+[55]COSTOS!$AH$105</f>
        <v>382215.55787999998</v>
      </c>
      <c r="D56" s="71">
        <f>+C56*100%/C59</f>
        <v>1.3074516736730022E-2</v>
      </c>
      <c r="E56" s="68">
        <f>+C56/C16</f>
        <v>208.84384224243911</v>
      </c>
      <c r="F56" s="72"/>
      <c r="G56" s="83">
        <f>+G22</f>
        <v>1</v>
      </c>
      <c r="H56" s="83"/>
    </row>
    <row r="57" spans="2:8" ht="29.25" customHeight="1" x14ac:dyDescent="0.25">
      <c r="B57" s="97" t="s">
        <v>124</v>
      </c>
      <c r="C57" s="68">
        <f>+[55]COSTOS!$AH$84</f>
        <v>3220382.9249280002</v>
      </c>
      <c r="D57" s="71">
        <f>+C57*100%/C59</f>
        <v>0.11016022132691404</v>
      </c>
      <c r="E57" s="68">
        <f>+C57/C16</f>
        <v>1759.6278583329236</v>
      </c>
      <c r="F57" s="72"/>
      <c r="G57" s="83">
        <f>+G23</f>
        <v>8</v>
      </c>
      <c r="H57" s="83"/>
    </row>
    <row r="58" spans="2:8" ht="22.5" customHeight="1" x14ac:dyDescent="0.25">
      <c r="B58" s="96" t="s">
        <v>125</v>
      </c>
      <c r="C58" s="68">
        <f>+[55]COSTOS!$AH$125</f>
        <v>4711138.0969120003</v>
      </c>
      <c r="D58" s="71">
        <f>+C58*100%/C59</f>
        <v>0.16115475319416733</v>
      </c>
      <c r="E58" s="68">
        <f>+C58/C16</f>
        <v>2574.1814042083984</v>
      </c>
      <c r="F58" s="72"/>
      <c r="G58" s="82"/>
      <c r="H58" s="83">
        <f>+H24</f>
        <v>2</v>
      </c>
    </row>
    <row r="59" spans="2:8" x14ac:dyDescent="0.25">
      <c r="B59" s="90" t="s">
        <v>113</v>
      </c>
      <c r="C59" s="91">
        <f>SUM(C54:C58)</f>
        <v>29233627.947887983</v>
      </c>
      <c r="D59" s="92">
        <f>SUM(D54:D58)</f>
        <v>1</v>
      </c>
      <c r="E59" s="93">
        <f>SUM(E54:E58)</f>
        <v>15973.350789764765</v>
      </c>
      <c r="F59" s="90"/>
      <c r="G59" s="94"/>
      <c r="H59" s="94"/>
    </row>
    <row r="86" spans="2:11" ht="15.75" thickBot="1" x14ac:dyDescent="0.3"/>
    <row r="87" spans="2:11" ht="30" x14ac:dyDescent="0.25">
      <c r="C87" s="128" t="s">
        <v>99</v>
      </c>
      <c r="D87" s="129" t="s">
        <v>100</v>
      </c>
      <c r="E87" s="129" t="s">
        <v>101</v>
      </c>
      <c r="F87" s="130" t="s">
        <v>106</v>
      </c>
    </row>
    <row r="88" spans="2:11" ht="15.75" thickBot="1" x14ac:dyDescent="0.3">
      <c r="C88" s="131">
        <f>+C16</f>
        <v>1830.15</v>
      </c>
      <c r="D88" s="132">
        <f>+D16</f>
        <v>290000</v>
      </c>
      <c r="E88" s="133">
        <f>+C88*D88</f>
        <v>530743500</v>
      </c>
      <c r="F88" s="134">
        <f>+F16</f>
        <v>75</v>
      </c>
    </row>
    <row r="89" spans="2:11" x14ac:dyDescent="0.25">
      <c r="C89" s="126"/>
      <c r="D89" s="124"/>
      <c r="E89" s="125"/>
      <c r="F89" s="125"/>
      <c r="K89" s="127"/>
    </row>
    <row r="90" spans="2:11" ht="15.75" thickBot="1" x14ac:dyDescent="0.3">
      <c r="C90" s="126"/>
      <c r="D90" s="124"/>
      <c r="E90" s="125"/>
      <c r="F90" s="125"/>
      <c r="K90" s="127"/>
    </row>
    <row r="91" spans="2:11" x14ac:dyDescent="0.25">
      <c r="B91" s="196" t="s">
        <v>138</v>
      </c>
      <c r="C91" s="197"/>
      <c r="D91" s="198"/>
    </row>
    <row r="92" spans="2:11" x14ac:dyDescent="0.25">
      <c r="B92" s="135" t="s">
        <v>139</v>
      </c>
      <c r="C92" s="137">
        <f>+C25</f>
        <v>198767662.67836136</v>
      </c>
      <c r="D92" s="139">
        <f>+C92/C95</f>
        <v>0.73665292424109108</v>
      </c>
    </row>
    <row r="93" spans="2:11" x14ac:dyDescent="0.25">
      <c r="B93" s="135" t="s">
        <v>120</v>
      </c>
      <c r="C93" s="137">
        <f>+C59</f>
        <v>29233627.947887983</v>
      </c>
      <c r="D93" s="139">
        <f>+C93/C95</f>
        <v>0.10834276171388597</v>
      </c>
    </row>
    <row r="94" spans="2:11" ht="15.75" thickBot="1" x14ac:dyDescent="0.3">
      <c r="B94" s="136" t="s">
        <v>114</v>
      </c>
      <c r="C94" s="138">
        <f>+L25</f>
        <v>41824099.509999998</v>
      </c>
      <c r="D94" s="140">
        <f>+C94/C95</f>
        <v>0.15500431404502282</v>
      </c>
    </row>
    <row r="95" spans="2:11" ht="15.75" thickBot="1" x14ac:dyDescent="0.3">
      <c r="B95" s="141" t="s">
        <v>137</v>
      </c>
      <c r="C95" s="142">
        <f>SUM(C92:C94)</f>
        <v>269825390.13624936</v>
      </c>
      <c r="D95" s="143">
        <f>SUM(D92:D94)</f>
        <v>0.99999999999999989</v>
      </c>
    </row>
  </sheetData>
  <autoFilter ref="B19:H26" xr:uid="{00000000-0001-0000-0000-000000000000}"/>
  <mergeCells count="2">
    <mergeCell ref="C13:H13"/>
    <mergeCell ref="B91:D91"/>
  </mergeCells>
  <pageMargins left="0.19685039370078741" right="0.19685039370078741" top="0.19685039370078741" bottom="0.19685039370078741" header="0.31496062992125984" footer="0.31496062992125984"/>
  <pageSetup paperSize="9" scale="70" orientation="landscape" horizontalDpi="0" verticalDpi="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60343-5C4C-4D50-A699-E0257284C27F}">
  <sheetPr>
    <tabColor theme="5" tint="-0.249977111117893"/>
  </sheetPr>
  <dimension ref="B13:Q96"/>
  <sheetViews>
    <sheetView topLeftCell="A7" zoomScale="90" zoomScaleNormal="90" workbookViewId="0">
      <selection activeCell="C14" sqref="C14"/>
    </sheetView>
  </sheetViews>
  <sheetFormatPr baseColWidth="10" defaultColWidth="11" defaultRowHeight="15" x14ac:dyDescent="0.25"/>
  <cols>
    <col min="1" max="1" width="11" style="52"/>
    <col min="2" max="2" width="31.42578125" style="52" customWidth="1"/>
    <col min="3" max="3" width="15.5703125" style="61" customWidth="1"/>
    <col min="4" max="4" width="9.5703125" style="52" customWidth="1"/>
    <col min="5" max="5" width="14" style="62" customWidth="1"/>
    <col min="6" max="6" width="10.85546875" style="52" customWidth="1"/>
    <col min="7" max="8" width="13.28515625" style="52" customWidth="1"/>
    <col min="9" max="9" width="12.42578125" style="52" bestFit="1" customWidth="1"/>
    <col min="10" max="10" width="11" style="52"/>
    <col min="11" max="11" width="33.5703125" style="62" customWidth="1"/>
    <col min="12" max="12" width="19.7109375" style="52" customWidth="1"/>
    <col min="13" max="16384" width="11" style="52"/>
  </cols>
  <sheetData>
    <row r="13" spans="2:8" x14ac:dyDescent="0.25">
      <c r="C13" s="195" t="s">
        <v>167</v>
      </c>
      <c r="D13" s="195"/>
      <c r="E13" s="195"/>
      <c r="F13" s="195"/>
      <c r="G13" s="195"/>
      <c r="H13" s="195"/>
    </row>
    <row r="14" spans="2:8" x14ac:dyDescent="0.25">
      <c r="C14" s="53"/>
      <c r="D14" s="53"/>
      <c r="E14" s="53"/>
      <c r="F14" s="53"/>
      <c r="G14" s="53"/>
      <c r="H14" s="53"/>
    </row>
    <row r="15" spans="2:8" ht="30" x14ac:dyDescent="0.25">
      <c r="C15" s="108" t="s">
        <v>99</v>
      </c>
      <c r="D15" s="109" t="s">
        <v>100</v>
      </c>
      <c r="E15" s="109" t="s">
        <v>101</v>
      </c>
      <c r="F15" s="89" t="s">
        <v>106</v>
      </c>
    </row>
    <row r="16" spans="2:8" x14ac:dyDescent="0.25">
      <c r="B16" s="56"/>
      <c r="C16" s="110">
        <f>+'PRODUC ACUMULADA'!B7</f>
        <v>1898.77</v>
      </c>
      <c r="D16" s="111">
        <v>290000</v>
      </c>
      <c r="E16" s="112">
        <f>+C16*D16</f>
        <v>550643300</v>
      </c>
      <c r="F16" s="59">
        <v>86</v>
      </c>
      <c r="G16" s="60"/>
    </row>
    <row r="18" spans="2:17" ht="21.75" thickBot="1" x14ac:dyDescent="0.4">
      <c r="B18" s="98" t="s">
        <v>126</v>
      </c>
      <c r="K18" s="99" t="s">
        <v>114</v>
      </c>
      <c r="L18" s="61"/>
      <c r="N18" s="62"/>
      <c r="P18" s="62"/>
    </row>
    <row r="19" spans="2:17" ht="45.75" thickBot="1" x14ac:dyDescent="0.3">
      <c r="B19" s="63" t="s">
        <v>102</v>
      </c>
      <c r="C19" s="64" t="s">
        <v>98</v>
      </c>
      <c r="D19" s="64" t="s">
        <v>68</v>
      </c>
      <c r="E19" s="65" t="s">
        <v>103</v>
      </c>
      <c r="F19" s="76" t="s">
        <v>107</v>
      </c>
      <c r="G19" s="77" t="s">
        <v>108</v>
      </c>
      <c r="H19" s="77" t="s">
        <v>119</v>
      </c>
      <c r="K19" s="63" t="s">
        <v>102</v>
      </c>
      <c r="L19" s="64" t="s">
        <v>98</v>
      </c>
      <c r="M19" s="64" t="s">
        <v>68</v>
      </c>
      <c r="N19" s="65" t="s">
        <v>103</v>
      </c>
      <c r="O19" s="74" t="s">
        <v>106</v>
      </c>
      <c r="P19" s="76" t="s">
        <v>107</v>
      </c>
      <c r="Q19" s="77" t="s">
        <v>119</v>
      </c>
    </row>
    <row r="20" spans="2:17" x14ac:dyDescent="0.25">
      <c r="B20" s="73" t="s">
        <v>105</v>
      </c>
      <c r="C20" s="66">
        <f>+'RESUMEN 2026'!M22</f>
        <v>148779917.94822499</v>
      </c>
      <c r="D20" s="67">
        <f>+C20*100%/C25</f>
        <v>0.69606719395680516</v>
      </c>
      <c r="E20" s="68">
        <f>+C20/C16</f>
        <v>78355.945137233575</v>
      </c>
      <c r="F20" s="78">
        <f>+F16-G21-G22-G23-H24</f>
        <v>71</v>
      </c>
      <c r="G20" s="75"/>
      <c r="H20" s="75"/>
      <c r="K20" s="100" t="s">
        <v>115</v>
      </c>
      <c r="L20" s="66">
        <f>+O20*463092.85</f>
        <v>32879592.349999998</v>
      </c>
      <c r="M20" s="67">
        <f>+L20*100%/L25</f>
        <v>0.71784958552209033</v>
      </c>
      <c r="N20" s="68">
        <f>+L20/C16</f>
        <v>17316.258604254333</v>
      </c>
      <c r="O20" s="118">
        <f>+F20</f>
        <v>71</v>
      </c>
      <c r="P20" s="78"/>
      <c r="Q20" s="75"/>
    </row>
    <row r="21" spans="2:17" x14ac:dyDescent="0.25">
      <c r="B21" s="79" t="s">
        <v>109</v>
      </c>
      <c r="C21" s="80">
        <f>+'[56]ADMINISTRATIVA RRHH'!$F$28</f>
        <v>11055140.9552</v>
      </c>
      <c r="D21" s="67">
        <f>+C21*100%/C25</f>
        <v>5.1721502804974659E-2</v>
      </c>
      <c r="E21" s="68">
        <f>+C21/C16</f>
        <v>5822.2643896838481</v>
      </c>
      <c r="F21" s="82"/>
      <c r="G21" s="83">
        <v>3</v>
      </c>
      <c r="H21" s="83"/>
      <c r="K21" s="100" t="s">
        <v>116</v>
      </c>
      <c r="L21" s="66">
        <f>+P21*463092.85</f>
        <v>1389278.5499999998</v>
      </c>
      <c r="M21" s="67">
        <f>+L21*100%/L25</f>
        <v>3.0331672627693956E-2</v>
      </c>
      <c r="N21" s="68">
        <f>+L21/C16</f>
        <v>731.67289877130975</v>
      </c>
      <c r="O21" s="81"/>
      <c r="P21" s="83">
        <v>3</v>
      </c>
      <c r="Q21" s="83"/>
    </row>
    <row r="22" spans="2:17" ht="30" customHeight="1" x14ac:dyDescent="0.25">
      <c r="B22" s="70" t="s">
        <v>110</v>
      </c>
      <c r="C22" s="68">
        <f>+'[56]ADMINISTRATIVA RRHH'!$F$36</f>
        <v>4396061.4638399994</v>
      </c>
      <c r="D22" s="71">
        <f>+C22*100%/C25</f>
        <v>2.0566983836229898E-2</v>
      </c>
      <c r="E22" s="68">
        <f>+C22/C16</f>
        <v>2315.2153572259936</v>
      </c>
      <c r="F22" s="82"/>
      <c r="G22" s="83">
        <v>2</v>
      </c>
      <c r="H22" s="83"/>
      <c r="K22" s="97" t="s">
        <v>117</v>
      </c>
      <c r="L22" s="66">
        <f>+P22*463092.85</f>
        <v>926185.7</v>
      </c>
      <c r="M22" s="71">
        <f>+L22*100%/L25</f>
        <v>2.0221115085129304E-2</v>
      </c>
      <c r="N22" s="68">
        <f>+L22/C16</f>
        <v>487.78193251420657</v>
      </c>
      <c r="O22" s="72"/>
      <c r="P22" s="83">
        <v>2</v>
      </c>
      <c r="Q22" s="83"/>
    </row>
    <row r="23" spans="2:17" x14ac:dyDescent="0.25">
      <c r="B23" s="70" t="s">
        <v>111</v>
      </c>
      <c r="C23" s="68">
        <f>+'[56]ADMINISTRATIVA RRHH'!$F$42</f>
        <v>27931072.354000002</v>
      </c>
      <c r="D23" s="71">
        <f>+C23*100%/C25</f>
        <v>0.13067558730889345</v>
      </c>
      <c r="E23" s="68">
        <f>+C23/C16</f>
        <v>14710.087242794021</v>
      </c>
      <c r="F23" s="82"/>
      <c r="G23" s="83">
        <v>8</v>
      </c>
      <c r="H23" s="83"/>
      <c r="K23" s="96" t="s">
        <v>118</v>
      </c>
      <c r="L23" s="66">
        <f>+P23*463092.85</f>
        <v>3704742.8</v>
      </c>
      <c r="M23" s="71">
        <f>+L23*100%/L25</f>
        <v>8.0884460340517217E-2</v>
      </c>
      <c r="N23" s="68">
        <f>+L23/C16</f>
        <v>1951.1277300568263</v>
      </c>
      <c r="O23" s="72"/>
      <c r="P23" s="83">
        <v>8</v>
      </c>
      <c r="Q23" s="83"/>
    </row>
    <row r="24" spans="2:17" x14ac:dyDescent="0.25">
      <c r="B24" s="70" t="s">
        <v>112</v>
      </c>
      <c r="C24" s="68">
        <f>+'[56]ADMINISTRATIVA RRHH'!$F$47</f>
        <v>21581421.745728001</v>
      </c>
      <c r="D24" s="71">
        <f>+C24*100%/C25</f>
        <v>0.10096873209309688</v>
      </c>
      <c r="E24" s="68">
        <f>+C24/C16</f>
        <v>11366.001014197613</v>
      </c>
      <c r="F24" s="82"/>
      <c r="G24" s="83"/>
      <c r="H24" s="83">
        <v>2</v>
      </c>
      <c r="K24" s="96" t="s">
        <v>112</v>
      </c>
      <c r="L24" s="68">
        <v>6903100</v>
      </c>
      <c r="M24" s="71">
        <f>+L24*100%/L25</f>
        <v>0.15071316642456919</v>
      </c>
      <c r="N24" s="68">
        <f>+L24/C16</f>
        <v>3635.5640756911052</v>
      </c>
      <c r="O24" s="72"/>
      <c r="P24" s="82"/>
      <c r="Q24" s="83">
        <v>2</v>
      </c>
    </row>
    <row r="25" spans="2:17" x14ac:dyDescent="0.25">
      <c r="B25" s="90" t="s">
        <v>113</v>
      </c>
      <c r="C25" s="91">
        <f>SUM(C20:C24)</f>
        <v>213743614.46699297</v>
      </c>
      <c r="D25" s="92">
        <f>SUM(D20:D24)</f>
        <v>1.0000000000000002</v>
      </c>
      <c r="E25" s="93">
        <f>SUM(E20:E24)</f>
        <v>112569.51314113504</v>
      </c>
      <c r="F25" s="94"/>
      <c r="G25" s="94"/>
      <c r="H25" s="94"/>
      <c r="K25" s="90" t="s">
        <v>113</v>
      </c>
      <c r="L25" s="91">
        <f>SUM(L20:L24)</f>
        <v>45802899.399999999</v>
      </c>
      <c r="M25" s="92">
        <f>SUM(M20:M24)</f>
        <v>1</v>
      </c>
      <c r="N25" s="93">
        <f>SUM(N20:N24)</f>
        <v>24122.405241287783</v>
      </c>
      <c r="O25" s="90"/>
      <c r="P25" s="94"/>
      <c r="Q25" s="94"/>
    </row>
    <row r="26" spans="2:17" x14ac:dyDescent="0.25">
      <c r="C26" s="84"/>
      <c r="D26" s="85"/>
      <c r="E26" s="86">
        <f>+G25/(340000-H26)</f>
        <v>0</v>
      </c>
      <c r="G26" s="87"/>
      <c r="H26" s="88"/>
      <c r="K26" s="52"/>
    </row>
    <row r="27" spans="2:17" x14ac:dyDescent="0.25">
      <c r="C27" s="84"/>
      <c r="D27" s="85"/>
      <c r="E27" s="86"/>
      <c r="G27" s="87"/>
      <c r="H27" s="88"/>
    </row>
    <row r="28" spans="2:17" x14ac:dyDescent="0.25">
      <c r="C28" s="84"/>
      <c r="D28" s="85"/>
      <c r="E28" s="86"/>
      <c r="G28" s="87"/>
      <c r="H28" s="88"/>
    </row>
    <row r="29" spans="2:17" x14ac:dyDescent="0.25">
      <c r="C29" s="84"/>
      <c r="D29" s="85"/>
      <c r="E29" s="86"/>
      <c r="G29" s="87"/>
      <c r="H29" s="88"/>
    </row>
    <row r="30" spans="2:17" x14ac:dyDescent="0.25">
      <c r="C30" s="84"/>
      <c r="D30" s="85"/>
      <c r="E30" s="86"/>
      <c r="G30" s="87"/>
      <c r="H30" s="88"/>
    </row>
    <row r="31" spans="2:17" x14ac:dyDescent="0.25">
      <c r="C31" s="84"/>
      <c r="D31" s="85"/>
      <c r="E31" s="86"/>
      <c r="G31" s="87"/>
      <c r="H31" s="88"/>
    </row>
    <row r="32" spans="2:17" x14ac:dyDescent="0.25">
      <c r="C32" s="84"/>
      <c r="D32" s="85"/>
      <c r="E32" s="86"/>
      <c r="G32" s="87"/>
      <c r="H32" s="88"/>
    </row>
    <row r="33" spans="3:8" x14ac:dyDescent="0.25">
      <c r="C33" s="84"/>
      <c r="D33" s="85"/>
      <c r="E33" s="86"/>
      <c r="G33" s="87"/>
      <c r="H33" s="88"/>
    </row>
    <row r="34" spans="3:8" x14ac:dyDescent="0.25">
      <c r="C34" s="84"/>
      <c r="D34" s="85"/>
      <c r="E34" s="86"/>
      <c r="G34" s="87"/>
      <c r="H34" s="88"/>
    </row>
    <row r="35" spans="3:8" x14ac:dyDescent="0.25">
      <c r="C35" s="84"/>
      <c r="D35" s="85"/>
      <c r="E35" s="86"/>
      <c r="G35" s="87"/>
      <c r="H35" s="88"/>
    </row>
    <row r="36" spans="3:8" x14ac:dyDescent="0.25">
      <c r="C36" s="84"/>
      <c r="D36" s="85"/>
      <c r="E36" s="86"/>
      <c r="G36" s="87"/>
      <c r="H36" s="88"/>
    </row>
    <row r="37" spans="3:8" x14ac:dyDescent="0.25">
      <c r="C37" s="84"/>
      <c r="D37" s="85"/>
      <c r="E37" s="86"/>
      <c r="G37" s="87"/>
      <c r="H37" s="88"/>
    </row>
    <row r="38" spans="3:8" x14ac:dyDescent="0.25">
      <c r="C38" s="84"/>
      <c r="D38" s="85"/>
      <c r="E38" s="86"/>
      <c r="G38" s="87"/>
      <c r="H38" s="88"/>
    </row>
    <row r="39" spans="3:8" x14ac:dyDescent="0.25">
      <c r="C39" s="84"/>
      <c r="D39" s="85"/>
      <c r="E39" s="86"/>
      <c r="G39" s="87"/>
      <c r="H39" s="88"/>
    </row>
    <row r="40" spans="3:8" x14ac:dyDescent="0.25">
      <c r="C40" s="84"/>
      <c r="D40" s="85"/>
      <c r="E40" s="86"/>
      <c r="G40" s="87"/>
      <c r="H40" s="88"/>
    </row>
    <row r="41" spans="3:8" x14ac:dyDescent="0.25">
      <c r="C41" s="84"/>
      <c r="D41" s="85"/>
      <c r="E41" s="86"/>
      <c r="G41" s="87"/>
      <c r="H41" s="88"/>
    </row>
    <row r="42" spans="3:8" x14ac:dyDescent="0.25">
      <c r="C42" s="84"/>
      <c r="D42" s="85"/>
      <c r="E42" s="86"/>
      <c r="G42" s="87"/>
      <c r="H42" s="88"/>
    </row>
    <row r="43" spans="3:8" x14ac:dyDescent="0.25">
      <c r="C43" s="84"/>
      <c r="D43" s="85"/>
      <c r="E43" s="86"/>
      <c r="G43" s="87"/>
      <c r="H43" s="88"/>
    </row>
    <row r="44" spans="3:8" x14ac:dyDescent="0.25">
      <c r="C44" s="84"/>
      <c r="D44" s="85"/>
      <c r="E44" s="86"/>
      <c r="G44" s="87"/>
      <c r="H44" s="88"/>
    </row>
    <row r="45" spans="3:8" x14ac:dyDescent="0.25">
      <c r="C45" s="84"/>
      <c r="D45" s="85"/>
      <c r="E45" s="86"/>
      <c r="G45" s="87"/>
      <c r="H45" s="88"/>
    </row>
    <row r="46" spans="3:8" x14ac:dyDescent="0.25">
      <c r="C46" s="84"/>
      <c r="D46" s="85"/>
      <c r="E46" s="86"/>
      <c r="G46" s="87"/>
      <c r="H46" s="88"/>
    </row>
    <row r="47" spans="3:8" x14ac:dyDescent="0.25">
      <c r="C47" s="84"/>
      <c r="D47" s="85"/>
      <c r="E47" s="86"/>
      <c r="G47" s="87"/>
      <c r="H47" s="88"/>
    </row>
    <row r="48" spans="3:8" x14ac:dyDescent="0.25">
      <c r="C48" s="84"/>
      <c r="D48" s="85"/>
      <c r="E48" s="86"/>
      <c r="G48" s="87"/>
      <c r="H48" s="88"/>
    </row>
    <row r="49" spans="2:8" x14ac:dyDescent="0.25">
      <c r="C49" s="84"/>
      <c r="D49" s="85"/>
      <c r="E49" s="86"/>
      <c r="G49" s="87"/>
      <c r="H49" s="88"/>
    </row>
    <row r="50" spans="2:8" x14ac:dyDescent="0.25">
      <c r="C50" s="52"/>
      <c r="E50" s="52"/>
    </row>
    <row r="52" spans="2:8" ht="15.75" thickBot="1" x14ac:dyDescent="0.3">
      <c r="B52" s="52" t="s">
        <v>120</v>
      </c>
      <c r="G52" s="62"/>
    </row>
    <row r="53" spans="2:8" ht="34.5" thickBot="1" x14ac:dyDescent="0.3">
      <c r="B53" s="63" t="s">
        <v>102</v>
      </c>
      <c r="C53" s="64" t="s">
        <v>98</v>
      </c>
      <c r="D53" s="64" t="s">
        <v>68</v>
      </c>
      <c r="E53" s="65" t="s">
        <v>103</v>
      </c>
      <c r="F53" s="76" t="s">
        <v>107</v>
      </c>
      <c r="G53" s="77" t="s">
        <v>108</v>
      </c>
      <c r="H53" s="77" t="s">
        <v>119</v>
      </c>
    </row>
    <row r="54" spans="2:8" ht="28.5" customHeight="1" x14ac:dyDescent="0.25">
      <c r="B54" s="95" t="s">
        <v>121</v>
      </c>
      <c r="C54" s="66">
        <f>+[57]COSTOS!$AH$80</f>
        <v>20476099.747791987</v>
      </c>
      <c r="D54" s="67">
        <f>+C54*100%/C59</f>
        <v>0.66643019923974545</v>
      </c>
      <c r="E54" s="68">
        <f>+C54/C16</f>
        <v>10783.875744714729</v>
      </c>
      <c r="F54" s="118">
        <f>+F20</f>
        <v>71</v>
      </c>
      <c r="G54" s="78"/>
      <c r="H54" s="75"/>
    </row>
    <row r="55" spans="2:8" ht="25.5" customHeight="1" x14ac:dyDescent="0.25">
      <c r="B55" s="95" t="s">
        <v>122</v>
      </c>
      <c r="C55" s="80">
        <f>+[57]COSTOS!$AH$142</f>
        <v>1146646.6736399999</v>
      </c>
      <c r="D55" s="67">
        <f>+C55*100%/C59</f>
        <v>3.7319605812815924E-2</v>
      </c>
      <c r="E55" s="68">
        <f>+C55/C16</f>
        <v>603.88918807438495</v>
      </c>
      <c r="F55" s="81"/>
      <c r="G55" s="83">
        <v>3</v>
      </c>
      <c r="H55" s="83"/>
    </row>
    <row r="56" spans="2:8" ht="24.75" customHeight="1" x14ac:dyDescent="0.25">
      <c r="B56" s="97" t="s">
        <v>123</v>
      </c>
      <c r="C56" s="68">
        <f>+[57]COSTOS!$AH$126</f>
        <v>598804.48316000006</v>
      </c>
      <c r="D56" s="71">
        <f>+C56*100%/C59</f>
        <v>1.9489131032437167E-2</v>
      </c>
      <c r="E56" s="68">
        <f>+C56/C16</f>
        <v>315.36441125570769</v>
      </c>
      <c r="F56" s="72"/>
      <c r="G56" s="83">
        <v>2</v>
      </c>
      <c r="H56" s="83"/>
    </row>
    <row r="57" spans="2:8" ht="29.25" customHeight="1" x14ac:dyDescent="0.25">
      <c r="B57" s="97" t="s">
        <v>124</v>
      </c>
      <c r="C57" s="68">
        <f>+[57]COSTOS!$AH$95</f>
        <v>3792358.8296880005</v>
      </c>
      <c r="D57" s="71">
        <f>+C57*100%/C59</f>
        <v>0.12342889913544765</v>
      </c>
      <c r="E57" s="68">
        <f>+C57/C16</f>
        <v>1997.2713017837866</v>
      </c>
      <c r="F57" s="72"/>
      <c r="G57" s="83">
        <v>8</v>
      </c>
      <c r="H57" s="83"/>
    </row>
    <row r="58" spans="2:8" ht="22.5" customHeight="1" x14ac:dyDescent="0.25">
      <c r="B58" s="96" t="s">
        <v>125</v>
      </c>
      <c r="C58" s="68">
        <f>+[57]COSTOS!$AH$108</f>
        <v>4711138.0969120003</v>
      </c>
      <c r="D58" s="71">
        <f>+C58*100%/C59</f>
        <v>0.15333216477955372</v>
      </c>
      <c r="E58" s="68">
        <f>+C58/C16</f>
        <v>2481.1525866281859</v>
      </c>
      <c r="F58" s="72"/>
      <c r="G58" s="82"/>
      <c r="H58" s="83">
        <v>2</v>
      </c>
    </row>
    <row r="59" spans="2:8" x14ac:dyDescent="0.25">
      <c r="B59" s="90" t="s">
        <v>113</v>
      </c>
      <c r="C59" s="91">
        <f>SUM(C54:C58)</f>
        <v>30725047.831191991</v>
      </c>
      <c r="D59" s="92">
        <f>SUM(D54:D58)</f>
        <v>0.99999999999999989</v>
      </c>
      <c r="E59" s="93">
        <f>SUM(E54:E58)</f>
        <v>16181.553232456796</v>
      </c>
      <c r="F59" s="90"/>
      <c r="G59" s="94"/>
      <c r="H59" s="94"/>
    </row>
    <row r="87" spans="2:11" ht="15.75" thickBot="1" x14ac:dyDescent="0.3"/>
    <row r="88" spans="2:11" ht="30" x14ac:dyDescent="0.25">
      <c r="C88" s="128" t="s">
        <v>99</v>
      </c>
      <c r="D88" s="129" t="s">
        <v>100</v>
      </c>
      <c r="E88" s="129" t="s">
        <v>101</v>
      </c>
      <c r="F88" s="130" t="s">
        <v>106</v>
      </c>
    </row>
    <row r="89" spans="2:11" ht="15.75" thickBot="1" x14ac:dyDescent="0.3">
      <c r="C89" s="131">
        <f>+C16</f>
        <v>1898.77</v>
      </c>
      <c r="D89" s="132">
        <f>+D16</f>
        <v>290000</v>
      </c>
      <c r="E89" s="133">
        <f>+C89*D89</f>
        <v>550643300</v>
      </c>
      <c r="F89" s="134">
        <f>+F16</f>
        <v>86</v>
      </c>
    </row>
    <row r="90" spans="2:11" x14ac:dyDescent="0.25">
      <c r="C90" s="126"/>
      <c r="D90" s="124"/>
      <c r="E90" s="125"/>
      <c r="F90" s="125"/>
      <c r="K90" s="127"/>
    </row>
    <row r="91" spans="2:11" ht="15.75" thickBot="1" x14ac:dyDescent="0.3">
      <c r="C91" s="126"/>
      <c r="D91" s="124"/>
      <c r="E91" s="125"/>
      <c r="F91" s="125"/>
      <c r="K91" s="127"/>
    </row>
    <row r="92" spans="2:11" x14ac:dyDescent="0.25">
      <c r="B92" s="196" t="s">
        <v>141</v>
      </c>
      <c r="C92" s="197"/>
      <c r="D92" s="198"/>
    </row>
    <row r="93" spans="2:11" x14ac:dyDescent="0.25">
      <c r="B93" s="135" t="s">
        <v>140</v>
      </c>
      <c r="C93" s="137">
        <f>+C25</f>
        <v>213743614.46699297</v>
      </c>
      <c r="D93" s="139">
        <f>+C93/C96</f>
        <v>0.73635740689346862</v>
      </c>
    </row>
    <row r="94" spans="2:11" x14ac:dyDescent="0.25">
      <c r="B94" s="135" t="s">
        <v>120</v>
      </c>
      <c r="C94" s="137">
        <f>+C59</f>
        <v>30725047.831191991</v>
      </c>
      <c r="D94" s="139">
        <f>+C94/C96</f>
        <v>0.10584932141281862</v>
      </c>
    </row>
    <row r="95" spans="2:11" ht="15.75" thickBot="1" x14ac:dyDescent="0.3">
      <c r="B95" s="136" t="s">
        <v>114</v>
      </c>
      <c r="C95" s="138">
        <f>+L25</f>
        <v>45802899.399999999</v>
      </c>
      <c r="D95" s="140">
        <f>+C95/C96</f>
        <v>0.15779327169371274</v>
      </c>
    </row>
    <row r="96" spans="2:11" ht="15.75" thickBot="1" x14ac:dyDescent="0.3">
      <c r="B96" s="141" t="s">
        <v>137</v>
      </c>
      <c r="C96" s="142">
        <f>SUM(C93:C95)</f>
        <v>290271561.69818497</v>
      </c>
      <c r="D96" s="143">
        <f>SUM(D93:D95)</f>
        <v>1</v>
      </c>
    </row>
  </sheetData>
  <autoFilter ref="B19:H26" xr:uid="{00000000-0001-0000-0000-000000000000}"/>
  <mergeCells count="2">
    <mergeCell ref="C13:H13"/>
    <mergeCell ref="B92:D92"/>
  </mergeCells>
  <pageMargins left="0.19685039370078741" right="0.19685039370078741" top="0.19685039370078741" bottom="0.19685039370078741" header="0.31496062992125984" footer="0.31496062992125984"/>
  <pageSetup paperSize="9" scale="70" orientation="landscape" horizontalDpi="0" verticalDpi="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AF5A-1C8B-4D78-8739-6A9F281664E0}">
  <sheetPr>
    <tabColor theme="5" tint="-0.249977111117893"/>
  </sheetPr>
  <dimension ref="B13:Q95"/>
  <sheetViews>
    <sheetView zoomScale="90" zoomScaleNormal="90" workbookViewId="0">
      <selection activeCell="L20" sqref="L20"/>
    </sheetView>
  </sheetViews>
  <sheetFormatPr baseColWidth="10" defaultColWidth="11" defaultRowHeight="15" x14ac:dyDescent="0.25"/>
  <cols>
    <col min="1" max="1" width="11" style="52"/>
    <col min="2" max="2" width="31.42578125" style="52" customWidth="1"/>
    <col min="3" max="3" width="15.5703125" style="61" customWidth="1"/>
    <col min="4" max="4" width="9.5703125" style="52" customWidth="1"/>
    <col min="5" max="5" width="14" style="62" customWidth="1"/>
    <col min="6" max="6" width="10.85546875" style="52" customWidth="1"/>
    <col min="7" max="8" width="13.28515625" style="52" customWidth="1"/>
    <col min="9" max="9" width="12.42578125" style="52" bestFit="1" customWidth="1"/>
    <col min="10" max="10" width="11" style="52"/>
    <col min="11" max="11" width="33.5703125" style="62" customWidth="1"/>
    <col min="12" max="12" width="19.7109375" style="52" customWidth="1"/>
    <col min="13" max="16384" width="11" style="52"/>
  </cols>
  <sheetData>
    <row r="13" spans="2:8" x14ac:dyDescent="0.25">
      <c r="C13" s="195" t="s">
        <v>167</v>
      </c>
      <c r="D13" s="195"/>
      <c r="E13" s="195"/>
      <c r="F13" s="195"/>
      <c r="G13" s="195"/>
      <c r="H13" s="195"/>
    </row>
    <row r="14" spans="2:8" ht="15.75" thickBot="1" x14ac:dyDescent="0.3">
      <c r="C14" s="53"/>
      <c r="D14" s="53"/>
      <c r="E14" s="53"/>
      <c r="F14" s="53"/>
      <c r="G14" s="53"/>
      <c r="H14" s="53"/>
    </row>
    <row r="15" spans="2:8" ht="30" x14ac:dyDescent="0.25">
      <c r="C15" s="113" t="s">
        <v>99</v>
      </c>
      <c r="D15" s="114" t="s">
        <v>100</v>
      </c>
      <c r="E15" s="114" t="s">
        <v>101</v>
      </c>
      <c r="F15" s="89" t="s">
        <v>106</v>
      </c>
    </row>
    <row r="16" spans="2:8" ht="15.75" thickBot="1" x14ac:dyDescent="0.3">
      <c r="B16" s="56"/>
      <c r="C16" s="115">
        <f>+'PRODUC ACUMULADA'!B8</f>
        <v>1800.91</v>
      </c>
      <c r="D16" s="116">
        <v>290000</v>
      </c>
      <c r="E16" s="117">
        <f>+C16*D16</f>
        <v>522263900</v>
      </c>
      <c r="F16" s="59">
        <v>84</v>
      </c>
      <c r="G16" s="60"/>
    </row>
    <row r="18" spans="2:17" ht="21.75" thickBot="1" x14ac:dyDescent="0.4">
      <c r="B18" s="98" t="s">
        <v>126</v>
      </c>
      <c r="K18" s="99" t="s">
        <v>114</v>
      </c>
      <c r="L18" s="61"/>
      <c r="N18" s="62"/>
      <c r="P18" s="62"/>
    </row>
    <row r="19" spans="2:17" ht="45.75" thickBot="1" x14ac:dyDescent="0.3">
      <c r="B19" s="63" t="s">
        <v>102</v>
      </c>
      <c r="C19" s="64" t="s">
        <v>98</v>
      </c>
      <c r="D19" s="64" t="s">
        <v>68</v>
      </c>
      <c r="E19" s="65" t="s">
        <v>103</v>
      </c>
      <c r="F19" s="76" t="s">
        <v>107</v>
      </c>
      <c r="G19" s="77" t="s">
        <v>108</v>
      </c>
      <c r="H19" s="77" t="s">
        <v>119</v>
      </c>
      <c r="K19" s="63" t="s">
        <v>102</v>
      </c>
      <c r="L19" s="64" t="s">
        <v>98</v>
      </c>
      <c r="M19" s="64" t="s">
        <v>68</v>
      </c>
      <c r="N19" s="65" t="s">
        <v>103</v>
      </c>
      <c r="O19" s="74" t="s">
        <v>106</v>
      </c>
      <c r="P19" s="76" t="s">
        <v>107</v>
      </c>
      <c r="Q19" s="77" t="s">
        <v>119</v>
      </c>
    </row>
    <row r="20" spans="2:17" x14ac:dyDescent="0.25">
      <c r="B20" s="73" t="s">
        <v>105</v>
      </c>
      <c r="C20" s="66">
        <f>+'RESUMEN 2026'!S22</f>
        <v>152908604.62312499</v>
      </c>
      <c r="D20" s="67">
        <f>+C20*100%/C25</f>
        <v>0.7274510763944233</v>
      </c>
      <c r="E20" s="68">
        <f>+C20/C16</f>
        <v>84906.299938989163</v>
      </c>
      <c r="F20" s="78">
        <f>+F16-G21-G22-G23-H24</f>
        <v>69</v>
      </c>
      <c r="G20" s="75"/>
      <c r="H20" s="75"/>
      <c r="K20" s="100" t="s">
        <v>115</v>
      </c>
      <c r="L20" s="66">
        <f>+O20*503419</f>
        <v>34735911</v>
      </c>
      <c r="M20" s="67">
        <f>+L20*100%/L25</f>
        <v>0.72090946648121434</v>
      </c>
      <c r="N20" s="68">
        <f>+L20/C16</f>
        <v>19287.977189309848</v>
      </c>
      <c r="O20" s="118">
        <f>+F20</f>
        <v>69</v>
      </c>
      <c r="P20" s="78"/>
      <c r="Q20" s="75"/>
    </row>
    <row r="21" spans="2:17" x14ac:dyDescent="0.25">
      <c r="B21" s="79" t="s">
        <v>109</v>
      </c>
      <c r="C21" s="80">
        <f>+'[58]ADMINISTRATIVA RRHH'!$C$24</f>
        <v>12040239.53696</v>
      </c>
      <c r="D21" s="67">
        <f>+C21*100%/C25</f>
        <v>5.728052540140461E-2</v>
      </c>
      <c r="E21" s="68">
        <f>+C21/C16</f>
        <v>6685.6420015214526</v>
      </c>
      <c r="F21" s="82"/>
      <c r="G21" s="83">
        <v>3</v>
      </c>
      <c r="H21" s="83"/>
      <c r="K21" s="100" t="s">
        <v>116</v>
      </c>
      <c r="L21" s="80">
        <f>+P21*503419</f>
        <v>1510257</v>
      </c>
      <c r="M21" s="67">
        <f>+L21*100%/L25</f>
        <v>3.1343889847009317E-2</v>
      </c>
      <c r="N21" s="68">
        <f>+L21/C16</f>
        <v>838.60770388303683</v>
      </c>
      <c r="O21" s="81"/>
      <c r="P21" s="83">
        <v>3</v>
      </c>
      <c r="Q21" s="83"/>
    </row>
    <row r="22" spans="2:17" ht="30" customHeight="1" x14ac:dyDescent="0.25">
      <c r="B22" s="70" t="s">
        <v>110</v>
      </c>
      <c r="C22" s="68">
        <f>+'[58]ADMINISTRATIVA RRHH'!$C$31</f>
        <v>4138742.3183999993</v>
      </c>
      <c r="D22" s="71">
        <f>+C22*100%/C25</f>
        <v>1.9689752331857359E-2</v>
      </c>
      <c r="E22" s="68">
        <f>+C22/C16</f>
        <v>2298.1394508331896</v>
      </c>
      <c r="F22" s="82"/>
      <c r="G22" s="83">
        <v>2</v>
      </c>
      <c r="H22" s="83"/>
      <c r="K22" s="97" t="s">
        <v>117</v>
      </c>
      <c r="L22" s="80">
        <f t="shared" ref="L22:L23" si="0">+P22*503419</f>
        <v>1006838</v>
      </c>
      <c r="M22" s="71">
        <f>+L22*100%/L25</f>
        <v>2.089592656467288E-2</v>
      </c>
      <c r="N22" s="68">
        <f>+L22/C16</f>
        <v>559.0718025886913</v>
      </c>
      <c r="O22" s="72"/>
      <c r="P22" s="83">
        <v>2</v>
      </c>
      <c r="Q22" s="83"/>
    </row>
    <row r="23" spans="2:17" x14ac:dyDescent="0.25">
      <c r="B23" s="70" t="s">
        <v>111</v>
      </c>
      <c r="C23" s="68">
        <f>+'[58]ADMINISTRATIVA RRHH'!$C$38</f>
        <v>21255290.06064</v>
      </c>
      <c r="D23" s="71">
        <f>+C23*100%/C25</f>
        <v>0.10112042858410759</v>
      </c>
      <c r="E23" s="68">
        <f>+C23/C16</f>
        <v>11802.527644712951</v>
      </c>
      <c r="F23" s="82"/>
      <c r="G23" s="83">
        <v>8</v>
      </c>
      <c r="H23" s="83"/>
      <c r="K23" s="96" t="s">
        <v>118</v>
      </c>
      <c r="L23" s="80">
        <f t="shared" si="0"/>
        <v>4027352</v>
      </c>
      <c r="M23" s="71">
        <f>+L23*100%/L25</f>
        <v>8.358370625869152E-2</v>
      </c>
      <c r="N23" s="68">
        <f>+L23/C16</f>
        <v>2236.2872103547652</v>
      </c>
      <c r="O23" s="72"/>
      <c r="P23" s="83">
        <v>8</v>
      </c>
      <c r="Q23" s="83"/>
    </row>
    <row r="24" spans="2:17" x14ac:dyDescent="0.25">
      <c r="B24" s="70" t="s">
        <v>112</v>
      </c>
      <c r="C24" s="68">
        <f>+'[58]ADMINISTRATIVA RRHH'!$C$44</f>
        <v>19854908.006069757</v>
      </c>
      <c r="D24" s="71">
        <f>+C24*100%/C25</f>
        <v>9.445821728820715E-2</v>
      </c>
      <c r="E24" s="68">
        <f>+C24/C16</f>
        <v>11024.930732834931</v>
      </c>
      <c r="F24" s="82"/>
      <c r="G24" s="83"/>
      <c r="H24" s="83">
        <v>2</v>
      </c>
      <c r="K24" s="96" t="s">
        <v>112</v>
      </c>
      <c r="L24" s="68">
        <v>6903100</v>
      </c>
      <c r="M24" s="71">
        <f>+L24*100%/L25</f>
        <v>0.14326701084841192</v>
      </c>
      <c r="N24" s="68">
        <f>+L24/C16</f>
        <v>3833.1177016064098</v>
      </c>
      <c r="O24" s="72"/>
      <c r="P24" s="82"/>
      <c r="Q24" s="83">
        <v>2</v>
      </c>
    </row>
    <row r="25" spans="2:17" x14ac:dyDescent="0.25">
      <c r="B25" s="90" t="s">
        <v>113</v>
      </c>
      <c r="C25" s="91">
        <f>SUM(C20:C24)</f>
        <v>210197784.54519475</v>
      </c>
      <c r="D25" s="92">
        <f>SUM(D20:D24)</f>
        <v>1</v>
      </c>
      <c r="E25" s="93">
        <f>SUM(E20:E24)</f>
        <v>116717.5397688917</v>
      </c>
      <c r="F25" s="94"/>
      <c r="G25" s="94"/>
      <c r="H25" s="94"/>
      <c r="K25" s="90" t="s">
        <v>113</v>
      </c>
      <c r="L25" s="91">
        <f>SUM(L20:L24)</f>
        <v>48183458</v>
      </c>
      <c r="M25" s="92">
        <f>SUM(M20:M24)</f>
        <v>1</v>
      </c>
      <c r="N25" s="93">
        <f>SUM(N20:N24)</f>
        <v>26755.061607742755</v>
      </c>
      <c r="O25" s="90"/>
      <c r="P25" s="94"/>
      <c r="Q25" s="94"/>
    </row>
    <row r="26" spans="2:17" x14ac:dyDescent="0.25">
      <c r="C26" s="84"/>
      <c r="D26" s="85"/>
      <c r="E26" s="86">
        <f>+G25/(340000-H26)</f>
        <v>0</v>
      </c>
      <c r="G26" s="87"/>
      <c r="H26" s="88"/>
      <c r="K26" s="52"/>
    </row>
    <row r="27" spans="2:17" x14ac:dyDescent="0.25">
      <c r="C27" s="84"/>
      <c r="D27" s="85"/>
      <c r="E27" s="86"/>
      <c r="G27" s="87"/>
      <c r="H27" s="88"/>
    </row>
    <row r="28" spans="2:17" x14ac:dyDescent="0.25">
      <c r="C28" s="84"/>
      <c r="D28" s="85"/>
      <c r="E28" s="86"/>
      <c r="G28" s="87"/>
      <c r="H28" s="88"/>
    </row>
    <row r="29" spans="2:17" x14ac:dyDescent="0.25">
      <c r="C29" s="84"/>
      <c r="D29" s="85"/>
      <c r="E29" s="86"/>
      <c r="G29" s="87"/>
      <c r="H29" s="88"/>
    </row>
    <row r="30" spans="2:17" x14ac:dyDescent="0.25">
      <c r="C30" s="84"/>
      <c r="D30" s="85"/>
      <c r="E30" s="86"/>
      <c r="G30" s="87"/>
      <c r="H30" s="88"/>
    </row>
    <row r="31" spans="2:17" x14ac:dyDescent="0.25">
      <c r="C31" s="84"/>
      <c r="D31" s="85"/>
      <c r="E31" s="86"/>
      <c r="G31" s="87"/>
      <c r="H31" s="88"/>
      <c r="Q31" s="119">
        <f>+P23+P22+P21+O20</f>
        <v>82</v>
      </c>
    </row>
    <row r="32" spans="2:17" x14ac:dyDescent="0.25">
      <c r="C32" s="84"/>
      <c r="D32" s="85"/>
      <c r="E32" s="86"/>
      <c r="G32" s="87"/>
      <c r="H32" s="88"/>
    </row>
    <row r="33" spans="3:8" x14ac:dyDescent="0.25">
      <c r="C33" s="84"/>
      <c r="D33" s="85"/>
      <c r="E33" s="86"/>
      <c r="G33" s="87"/>
      <c r="H33" s="88"/>
    </row>
    <row r="34" spans="3:8" x14ac:dyDescent="0.25">
      <c r="C34" s="84"/>
      <c r="D34" s="85"/>
      <c r="E34" s="86"/>
      <c r="G34" s="87"/>
      <c r="H34" s="88"/>
    </row>
    <row r="35" spans="3:8" x14ac:dyDescent="0.25">
      <c r="C35" s="84"/>
      <c r="D35" s="85"/>
      <c r="E35" s="86"/>
      <c r="G35" s="87"/>
      <c r="H35" s="88"/>
    </row>
    <row r="36" spans="3:8" x14ac:dyDescent="0.25">
      <c r="C36" s="84"/>
      <c r="D36" s="85"/>
      <c r="E36" s="86"/>
      <c r="G36" s="87"/>
      <c r="H36" s="88"/>
    </row>
    <row r="37" spans="3:8" x14ac:dyDescent="0.25">
      <c r="C37" s="84"/>
      <c r="D37" s="85"/>
      <c r="E37" s="86"/>
      <c r="G37" s="87"/>
      <c r="H37" s="88"/>
    </row>
    <row r="38" spans="3:8" x14ac:dyDescent="0.25">
      <c r="C38" s="84"/>
      <c r="D38" s="85"/>
      <c r="E38" s="86"/>
      <c r="G38" s="87"/>
      <c r="H38" s="88"/>
    </row>
    <row r="39" spans="3:8" x14ac:dyDescent="0.25">
      <c r="C39" s="84"/>
      <c r="D39" s="85"/>
      <c r="E39" s="86"/>
      <c r="G39" s="87"/>
      <c r="H39" s="88"/>
    </row>
    <row r="40" spans="3:8" x14ac:dyDescent="0.25">
      <c r="C40" s="84"/>
      <c r="D40" s="85"/>
      <c r="E40" s="86"/>
      <c r="G40" s="87"/>
      <c r="H40" s="88"/>
    </row>
    <row r="41" spans="3:8" x14ac:dyDescent="0.25">
      <c r="C41" s="84"/>
      <c r="D41" s="85"/>
      <c r="E41" s="86"/>
      <c r="G41" s="87"/>
      <c r="H41" s="88"/>
    </row>
    <row r="42" spans="3:8" x14ac:dyDescent="0.25">
      <c r="C42" s="84"/>
      <c r="D42" s="85"/>
      <c r="E42" s="86"/>
      <c r="G42" s="87"/>
      <c r="H42" s="88"/>
    </row>
    <row r="43" spans="3:8" x14ac:dyDescent="0.25">
      <c r="C43" s="84"/>
      <c r="D43" s="85"/>
      <c r="E43" s="86"/>
      <c r="G43" s="87"/>
      <c r="H43" s="88"/>
    </row>
    <row r="44" spans="3:8" x14ac:dyDescent="0.25">
      <c r="C44" s="84"/>
      <c r="D44" s="85"/>
      <c r="E44" s="86"/>
      <c r="G44" s="87"/>
      <c r="H44" s="88"/>
    </row>
    <row r="45" spans="3:8" x14ac:dyDescent="0.25">
      <c r="C45" s="84"/>
      <c r="D45" s="85"/>
      <c r="E45" s="86"/>
      <c r="G45" s="87"/>
      <c r="H45" s="88"/>
    </row>
    <row r="46" spans="3:8" x14ac:dyDescent="0.25">
      <c r="C46" s="84"/>
      <c r="D46" s="85"/>
      <c r="E46" s="86"/>
      <c r="G46" s="87"/>
      <c r="H46" s="88"/>
    </row>
    <row r="47" spans="3:8" x14ac:dyDescent="0.25">
      <c r="C47" s="84"/>
      <c r="D47" s="85"/>
      <c r="E47" s="86"/>
      <c r="G47" s="87"/>
      <c r="H47" s="88"/>
    </row>
    <row r="48" spans="3:8" x14ac:dyDescent="0.25">
      <c r="C48" s="84"/>
      <c r="D48" s="85"/>
      <c r="E48" s="86"/>
      <c r="G48" s="87"/>
      <c r="H48" s="88"/>
    </row>
    <row r="49" spans="2:8" x14ac:dyDescent="0.25">
      <c r="C49" s="84"/>
      <c r="D49" s="85"/>
      <c r="E49" s="86"/>
      <c r="G49" s="87"/>
      <c r="H49" s="88"/>
    </row>
    <row r="50" spans="2:8" x14ac:dyDescent="0.25">
      <c r="C50" s="52"/>
      <c r="E50" s="52"/>
    </row>
    <row r="52" spans="2:8" ht="15.75" thickBot="1" x14ac:dyDescent="0.3">
      <c r="B52" s="52" t="s">
        <v>120</v>
      </c>
      <c r="G52" s="62"/>
    </row>
    <row r="53" spans="2:8" ht="34.5" thickBot="1" x14ac:dyDescent="0.3">
      <c r="B53" s="63" t="s">
        <v>102</v>
      </c>
      <c r="C53" s="64" t="s">
        <v>98</v>
      </c>
      <c r="D53" s="64" t="s">
        <v>68</v>
      </c>
      <c r="E53" s="65" t="s">
        <v>103</v>
      </c>
      <c r="F53" s="76" t="s">
        <v>107</v>
      </c>
      <c r="G53" s="77" t="s">
        <v>108</v>
      </c>
      <c r="H53" s="77" t="s">
        <v>119</v>
      </c>
    </row>
    <row r="54" spans="2:8" ht="28.5" customHeight="1" x14ac:dyDescent="0.25">
      <c r="B54" s="95" t="s">
        <v>121</v>
      </c>
      <c r="C54" s="66">
        <f>+[59]COSTOS!$AH$81</f>
        <v>22754567.303935982</v>
      </c>
      <c r="D54" s="67">
        <f>+C54*100%/C59</f>
        <v>0.69528478535517158</v>
      </c>
      <c r="E54" s="68">
        <f>+C54/C16</f>
        <v>12635.038566022722</v>
      </c>
      <c r="F54" s="118">
        <f>+F20</f>
        <v>69</v>
      </c>
      <c r="G54" s="78"/>
      <c r="H54" s="75"/>
    </row>
    <row r="55" spans="2:8" ht="25.5" customHeight="1" x14ac:dyDescent="0.25">
      <c r="B55" s="95" t="s">
        <v>122</v>
      </c>
      <c r="C55" s="80">
        <f>+[59]COSTOS!$AH$120</f>
        <v>1146646.6736399999</v>
      </c>
      <c r="D55" s="67">
        <f>+C55*100%/C59</f>
        <v>3.5036745621706673E-2</v>
      </c>
      <c r="E55" s="68">
        <f>+C55/C16</f>
        <v>636.70404053506275</v>
      </c>
      <c r="F55" s="81"/>
      <c r="G55" s="83">
        <v>3</v>
      </c>
      <c r="H55" s="83"/>
    </row>
    <row r="56" spans="2:8" ht="24.75" customHeight="1" x14ac:dyDescent="0.25">
      <c r="B56" s="97" t="s">
        <v>123</v>
      </c>
      <c r="C56" s="68">
        <f>+[59]COSTOS!$AH$105</f>
        <v>586063.85541599989</v>
      </c>
      <c r="D56" s="71">
        <f>+C56*100%/C59</f>
        <v>1.7907669984427853E-2</v>
      </c>
      <c r="E56" s="68">
        <f>+C56/C16</f>
        <v>325.42650960680982</v>
      </c>
      <c r="F56" s="72"/>
      <c r="G56" s="83">
        <v>2</v>
      </c>
      <c r="H56" s="83"/>
    </row>
    <row r="57" spans="2:8" ht="29.25" customHeight="1" x14ac:dyDescent="0.25">
      <c r="B57" s="97" t="s">
        <v>124</v>
      </c>
      <c r="C57" s="68">
        <f>+[59]COSTOS!$AH$94</f>
        <v>3528558.3735999996</v>
      </c>
      <c r="D57" s="71">
        <f>+C57*100%/C59</f>
        <v>0.10781804455483093</v>
      </c>
      <c r="E57" s="68">
        <f>+C57/C16</f>
        <v>1959.3196626150109</v>
      </c>
      <c r="F57" s="72"/>
      <c r="G57" s="83">
        <v>8</v>
      </c>
      <c r="H57" s="83"/>
    </row>
    <row r="58" spans="2:8" ht="22.5" customHeight="1" x14ac:dyDescent="0.25">
      <c r="B58" s="96" t="s">
        <v>125</v>
      </c>
      <c r="C58" s="68">
        <f>+[59]COSTOS!$AH$129</f>
        <v>4711138.0969120003</v>
      </c>
      <c r="D58" s="71">
        <f>+C58*100%/C59</f>
        <v>0.14395275448386294</v>
      </c>
      <c r="E58" s="68">
        <f>+C58/C16</f>
        <v>2615.9764213158905</v>
      </c>
      <c r="F58" s="72"/>
      <c r="G58" s="82"/>
      <c r="H58" s="83">
        <v>2</v>
      </c>
    </row>
    <row r="59" spans="2:8" x14ac:dyDescent="0.25">
      <c r="B59" s="90" t="s">
        <v>113</v>
      </c>
      <c r="C59" s="91">
        <f>SUM(C54:C58)</f>
        <v>32726974.303503983</v>
      </c>
      <c r="D59" s="92">
        <f>SUM(D54:D58)</f>
        <v>0.99999999999999989</v>
      </c>
      <c r="E59" s="93">
        <f>SUM(E54:E58)</f>
        <v>18172.465200095496</v>
      </c>
      <c r="F59" s="90"/>
      <c r="G59" s="94"/>
      <c r="H59" s="94"/>
    </row>
    <row r="86" spans="2:11" ht="15.75" thickBot="1" x14ac:dyDescent="0.3"/>
    <row r="87" spans="2:11" ht="30" x14ac:dyDescent="0.25">
      <c r="C87" s="128" t="s">
        <v>99</v>
      </c>
      <c r="D87" s="129" t="s">
        <v>100</v>
      </c>
      <c r="E87" s="129" t="s">
        <v>101</v>
      </c>
      <c r="F87" s="130" t="s">
        <v>106</v>
      </c>
    </row>
    <row r="88" spans="2:11" ht="15.75" thickBot="1" x14ac:dyDescent="0.3">
      <c r="C88" s="131">
        <f>+C16</f>
        <v>1800.91</v>
      </c>
      <c r="D88" s="132">
        <f>+D16</f>
        <v>290000</v>
      </c>
      <c r="E88" s="133">
        <f>+C88*D88</f>
        <v>522263900</v>
      </c>
      <c r="F88" s="134">
        <f>+F16</f>
        <v>84</v>
      </c>
    </row>
    <row r="89" spans="2:11" x14ac:dyDescent="0.25">
      <c r="C89" s="126"/>
      <c r="D89" s="124"/>
      <c r="E89" s="125"/>
      <c r="F89" s="125"/>
      <c r="K89" s="127"/>
    </row>
    <row r="90" spans="2:11" ht="15.75" thickBot="1" x14ac:dyDescent="0.3">
      <c r="C90" s="126"/>
      <c r="D90" s="124"/>
      <c r="E90" s="125"/>
      <c r="F90" s="125"/>
      <c r="K90" s="127"/>
    </row>
    <row r="91" spans="2:11" x14ac:dyDescent="0.25">
      <c r="B91" s="196" t="s">
        <v>142</v>
      </c>
      <c r="C91" s="197"/>
      <c r="D91" s="198"/>
    </row>
    <row r="92" spans="2:11" x14ac:dyDescent="0.25">
      <c r="B92" s="135" t="s">
        <v>143</v>
      </c>
      <c r="C92" s="137">
        <f>+C25</f>
        <v>210197784.54519475</v>
      </c>
      <c r="D92" s="139">
        <f>+C92/C95</f>
        <v>0.72206063717687308</v>
      </c>
    </row>
    <row r="93" spans="2:11" x14ac:dyDescent="0.25">
      <c r="B93" s="135" t="s">
        <v>120</v>
      </c>
      <c r="C93" s="137">
        <f>+C59</f>
        <v>32726974.303503983</v>
      </c>
      <c r="D93" s="139">
        <f>+C93/C95</f>
        <v>0.11242202180955124</v>
      </c>
    </row>
    <row r="94" spans="2:11" ht="15.75" thickBot="1" x14ac:dyDescent="0.3">
      <c r="B94" s="136" t="s">
        <v>114</v>
      </c>
      <c r="C94" s="138">
        <f>+L25</f>
        <v>48183458</v>
      </c>
      <c r="D94" s="140">
        <f>+C94/C95</f>
        <v>0.16551734101357565</v>
      </c>
    </row>
    <row r="95" spans="2:11" ht="15.75" thickBot="1" x14ac:dyDescent="0.3">
      <c r="B95" s="141" t="s">
        <v>137</v>
      </c>
      <c r="C95" s="142">
        <f>SUM(C92:C94)</f>
        <v>291108216.84869874</v>
      </c>
      <c r="D95" s="143">
        <f>SUM(D92:D94)</f>
        <v>0.99999999999999989</v>
      </c>
    </row>
  </sheetData>
  <autoFilter ref="B19:H26" xr:uid="{00000000-0001-0000-0000-000000000000}"/>
  <mergeCells count="2">
    <mergeCell ref="C13:H13"/>
    <mergeCell ref="B91:D91"/>
  </mergeCells>
  <pageMargins left="0.19685039370078741" right="0.19685039370078741" top="0.19685039370078741" bottom="0.19685039370078741" header="0.31496062992125984" footer="0.31496062992125984"/>
  <pageSetup paperSize="9" scale="70" orientation="landscape" horizontalDpi="0" verticalDpi="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E816-5FBC-4A43-96DD-3AA3C618F577}">
  <sheetPr>
    <tabColor theme="5" tint="-0.249977111117893"/>
  </sheetPr>
  <dimension ref="B13:Q96"/>
  <sheetViews>
    <sheetView tabSelected="1" topLeftCell="A16" zoomScale="90" zoomScaleNormal="90" workbookViewId="0">
      <selection activeCell="R38" sqref="R38"/>
    </sheetView>
  </sheetViews>
  <sheetFormatPr baseColWidth="10" defaultColWidth="11" defaultRowHeight="15" x14ac:dyDescent="0.25"/>
  <cols>
    <col min="1" max="1" width="11" style="52"/>
    <col min="2" max="2" width="31.42578125" style="52" customWidth="1"/>
    <col min="3" max="3" width="15.5703125" style="61" customWidth="1"/>
    <col min="4" max="4" width="9.5703125" style="52" customWidth="1"/>
    <col min="5" max="5" width="14" style="62" customWidth="1"/>
    <col min="6" max="6" width="10.85546875" style="52" customWidth="1"/>
    <col min="7" max="8" width="13.28515625" style="52" customWidth="1"/>
    <col min="9" max="9" width="12.42578125" style="52" bestFit="1" customWidth="1"/>
    <col min="10" max="10" width="11" style="52"/>
    <col min="11" max="11" width="33.5703125" style="62" customWidth="1"/>
    <col min="12" max="12" width="19.7109375" style="52" customWidth="1"/>
    <col min="13" max="16384" width="11" style="52"/>
  </cols>
  <sheetData>
    <row r="13" spans="2:8" x14ac:dyDescent="0.25">
      <c r="C13" s="195" t="s">
        <v>167</v>
      </c>
      <c r="D13" s="195"/>
      <c r="E13" s="195"/>
      <c r="F13" s="195"/>
      <c r="G13" s="195"/>
      <c r="H13" s="195"/>
    </row>
    <row r="14" spans="2:8" ht="15.75" thickBot="1" x14ac:dyDescent="0.3">
      <c r="C14" s="53"/>
      <c r="D14" s="53"/>
      <c r="E14" s="53"/>
      <c r="F14" s="53"/>
      <c r="G14" s="53"/>
      <c r="H14" s="53"/>
    </row>
    <row r="15" spans="2:8" ht="30" x14ac:dyDescent="0.25">
      <c r="C15" s="113" t="s">
        <v>99</v>
      </c>
      <c r="D15" s="114" t="s">
        <v>100</v>
      </c>
      <c r="E15" s="114" t="s">
        <v>101</v>
      </c>
      <c r="F15" s="89" t="s">
        <v>106</v>
      </c>
    </row>
    <row r="16" spans="2:8" ht="15.75" thickBot="1" x14ac:dyDescent="0.3">
      <c r="B16" s="56"/>
      <c r="C16" s="115">
        <f>+'PRODUC ACUMULADA'!B9</f>
        <v>1964.1099999999997</v>
      </c>
      <c r="D16" s="116">
        <v>290000</v>
      </c>
      <c r="E16" s="117">
        <f>+C16*D16</f>
        <v>569591899.99999988</v>
      </c>
      <c r="F16" s="59">
        <v>82</v>
      </c>
      <c r="G16" s="60"/>
    </row>
    <row r="18" spans="2:17" ht="21.75" thickBot="1" x14ac:dyDescent="0.4">
      <c r="B18" s="98" t="s">
        <v>126</v>
      </c>
      <c r="K18" s="99" t="s">
        <v>114</v>
      </c>
      <c r="L18" s="61"/>
      <c r="N18" s="62"/>
      <c r="P18" s="62"/>
    </row>
    <row r="19" spans="2:17" ht="45.75" thickBot="1" x14ac:dyDescent="0.3">
      <c r="B19" s="63" t="s">
        <v>102</v>
      </c>
      <c r="C19" s="64" t="s">
        <v>98</v>
      </c>
      <c r="D19" s="64" t="s">
        <v>68</v>
      </c>
      <c r="E19" s="65" t="s">
        <v>103</v>
      </c>
      <c r="F19" s="76" t="s">
        <v>107</v>
      </c>
      <c r="G19" s="77" t="s">
        <v>108</v>
      </c>
      <c r="H19" s="77" t="s">
        <v>119</v>
      </c>
      <c r="K19" s="63" t="s">
        <v>102</v>
      </c>
      <c r="L19" s="64" t="s">
        <v>98</v>
      </c>
      <c r="M19" s="64" t="s">
        <v>68</v>
      </c>
      <c r="N19" s="65" t="s">
        <v>103</v>
      </c>
      <c r="O19" s="74" t="s">
        <v>106</v>
      </c>
      <c r="P19" s="76" t="s">
        <v>107</v>
      </c>
      <c r="Q19" s="77" t="s">
        <v>119</v>
      </c>
    </row>
    <row r="20" spans="2:17" x14ac:dyDescent="0.25">
      <c r="B20" s="73" t="s">
        <v>105</v>
      </c>
      <c r="C20" s="66">
        <f>+'RESUMEN 2026'!Y21</f>
        <v>93487220.799999997</v>
      </c>
      <c r="D20" s="67">
        <f>+C20*100%/C25</f>
        <v>0.59450018162259466</v>
      </c>
      <c r="E20" s="68">
        <f>+C20/C16</f>
        <v>47597.752060729799</v>
      </c>
      <c r="F20" s="78">
        <f>+F16-G21-G22-G23-H24</f>
        <v>67</v>
      </c>
      <c r="G20" s="75"/>
      <c r="H20" s="75"/>
      <c r="K20" s="100" t="s">
        <v>115</v>
      </c>
      <c r="L20" s="66">
        <f>+O20*511273.75</f>
        <v>34255341.25</v>
      </c>
      <c r="M20" s="67">
        <f>+L20*100%/L25</f>
        <v>0.71603375494352051</v>
      </c>
      <c r="N20" s="68">
        <f>+L20/C16</f>
        <v>17440.642962970509</v>
      </c>
      <c r="O20" s="118">
        <f>+F20</f>
        <v>67</v>
      </c>
      <c r="P20" s="78"/>
      <c r="Q20" s="75"/>
    </row>
    <row r="21" spans="2:17" x14ac:dyDescent="0.25">
      <c r="B21" s="79" t="s">
        <v>109</v>
      </c>
      <c r="C21" s="80">
        <f>+'[60]ADMINISTRATIVA RRHH'!$F$31</f>
        <v>11615140.9552</v>
      </c>
      <c r="D21" s="67">
        <f>+C21*100%/C25</f>
        <v>7.3862538091820543E-2</v>
      </c>
      <c r="E21" s="68">
        <f>+C21/C16</f>
        <v>5913.691674702538</v>
      </c>
      <c r="F21" s="82"/>
      <c r="G21" s="83">
        <v>3</v>
      </c>
      <c r="H21" s="83"/>
      <c r="K21" s="100" t="s">
        <v>116</v>
      </c>
      <c r="L21" s="66">
        <f>+P21*511273.75</f>
        <v>1533821.25</v>
      </c>
      <c r="M21" s="67">
        <f>+L21*100%/L25</f>
        <v>3.2061212907918829E-2</v>
      </c>
      <c r="N21" s="68">
        <f>+L21/C16</f>
        <v>780.92431177479887</v>
      </c>
      <c r="O21" s="81"/>
      <c r="P21" s="83">
        <v>3</v>
      </c>
      <c r="Q21" s="83"/>
    </row>
    <row r="22" spans="2:17" ht="30" customHeight="1" x14ac:dyDescent="0.25">
      <c r="B22" s="70" t="s">
        <v>110</v>
      </c>
      <c r="C22" s="68">
        <f>+'[60]ADMINISTRATIVA RRHH'!$F$39</f>
        <v>4070378.8183999993</v>
      </c>
      <c r="D22" s="71">
        <f>+C22*100%/C25</f>
        <v>2.5884189583391295E-2</v>
      </c>
      <c r="E22" s="68">
        <f>+C22/C16</f>
        <v>2072.3782366568062</v>
      </c>
      <c r="F22" s="82"/>
      <c r="G22" s="83">
        <v>2</v>
      </c>
      <c r="H22" s="83"/>
      <c r="K22" s="97" t="s">
        <v>117</v>
      </c>
      <c r="L22" s="66">
        <f>+P22*511273.75</f>
        <v>1022547.5</v>
      </c>
      <c r="M22" s="71">
        <f>+L22*100%/L25</f>
        <v>2.1374141938612555E-2</v>
      </c>
      <c r="N22" s="68">
        <f>+L22/C16</f>
        <v>520.61620784986587</v>
      </c>
      <c r="O22" s="72"/>
      <c r="P22" s="83">
        <v>2</v>
      </c>
      <c r="Q22" s="83"/>
    </row>
    <row r="23" spans="2:17" x14ac:dyDescent="0.25">
      <c r="B23" s="70" t="s">
        <v>111</v>
      </c>
      <c r="C23" s="68">
        <f>+'[60]ADMINISTRATIVA RRHH'!$F$45</f>
        <v>26499314.954373337</v>
      </c>
      <c r="D23" s="71">
        <f>+C23*100%/C25</f>
        <v>0.16851337988698975</v>
      </c>
      <c r="E23" s="68">
        <f>+C23/C16</f>
        <v>13491.767240314108</v>
      </c>
      <c r="F23" s="82"/>
      <c r="G23" s="83">
        <v>8</v>
      </c>
      <c r="H23" s="83"/>
      <c r="K23" s="96" t="s">
        <v>118</v>
      </c>
      <c r="L23" s="66">
        <f>+P23*511273.75</f>
        <v>4090190</v>
      </c>
      <c r="M23" s="71">
        <f>+L23*100%/L25</f>
        <v>8.549656775445022E-2</v>
      </c>
      <c r="N23" s="68">
        <f>+L23/C16</f>
        <v>2082.4648313994635</v>
      </c>
      <c r="O23" s="72"/>
      <c r="P23" s="83">
        <v>8</v>
      </c>
      <c r="Q23" s="83"/>
    </row>
    <row r="24" spans="2:17" x14ac:dyDescent="0.25">
      <c r="B24" s="70" t="s">
        <v>112</v>
      </c>
      <c r="C24" s="68">
        <f>+'[60]ADMINISTRATIVA RRHH'!$F$50</f>
        <v>21581421.745728001</v>
      </c>
      <c r="D24" s="71">
        <f>+C24*100%/C25</f>
        <v>0.13723971081520386</v>
      </c>
      <c r="E24" s="68">
        <f>+C24/C16</f>
        <v>10987.888532581172</v>
      </c>
      <c r="F24" s="82"/>
      <c r="G24" s="83"/>
      <c r="H24" s="83">
        <v>2</v>
      </c>
      <c r="K24" s="96" t="s">
        <v>112</v>
      </c>
      <c r="L24" s="68">
        <v>6938500</v>
      </c>
      <c r="M24" s="71">
        <f>+L24*100%/L25</f>
        <v>0.14503432245549785</v>
      </c>
      <c r="N24" s="68">
        <f>+L24/C16</f>
        <v>3532.643283726472</v>
      </c>
      <c r="O24" s="72"/>
      <c r="P24" s="82"/>
      <c r="Q24" s="83">
        <v>2</v>
      </c>
    </row>
    <row r="25" spans="2:17" x14ac:dyDescent="0.25">
      <c r="B25" s="90" t="s">
        <v>113</v>
      </c>
      <c r="C25" s="91">
        <f>SUM(C20:C24)</f>
        <v>157253477.27370131</v>
      </c>
      <c r="D25" s="92">
        <f>SUM(D20:D24)</f>
        <v>1.0000000000000002</v>
      </c>
      <c r="E25" s="93">
        <f>SUM(E20:E24)</f>
        <v>80063.477744984426</v>
      </c>
      <c r="F25" s="94"/>
      <c r="G25" s="94"/>
      <c r="H25" s="94"/>
      <c r="K25" s="90" t="s">
        <v>113</v>
      </c>
      <c r="L25" s="91">
        <f>SUM(L20:L24)</f>
        <v>47840400</v>
      </c>
      <c r="M25" s="92">
        <f>SUM(M20:M24)</f>
        <v>1</v>
      </c>
      <c r="N25" s="93">
        <f>SUM(N20:N24)</f>
        <v>24357.291597721109</v>
      </c>
      <c r="O25" s="90"/>
      <c r="P25" s="94"/>
      <c r="Q25" s="94"/>
    </row>
    <row r="26" spans="2:17" x14ac:dyDescent="0.25">
      <c r="C26" s="84"/>
      <c r="D26" s="85"/>
      <c r="E26" s="86">
        <f>+G25/(340000-H26)</f>
        <v>0</v>
      </c>
      <c r="G26" s="87"/>
      <c r="H26" s="88"/>
      <c r="K26" s="52"/>
    </row>
    <row r="27" spans="2:17" x14ac:dyDescent="0.25">
      <c r="C27" s="84"/>
      <c r="D27" s="85"/>
      <c r="E27" s="86"/>
      <c r="G27" s="87"/>
      <c r="H27" s="88"/>
    </row>
    <row r="28" spans="2:17" x14ac:dyDescent="0.25">
      <c r="C28" s="84"/>
      <c r="D28" s="85"/>
      <c r="E28" s="86"/>
      <c r="G28" s="87"/>
      <c r="H28" s="88"/>
    </row>
    <row r="29" spans="2:17" x14ac:dyDescent="0.25">
      <c r="C29" s="84"/>
      <c r="D29" s="85"/>
      <c r="E29" s="86"/>
      <c r="G29" s="87"/>
      <c r="H29" s="88"/>
      <c r="P29" s="119">
        <f>+O20+13</f>
        <v>80</v>
      </c>
    </row>
    <row r="30" spans="2:17" x14ac:dyDescent="0.25">
      <c r="C30" s="84"/>
      <c r="D30" s="85"/>
      <c r="E30" s="86"/>
      <c r="G30" s="87"/>
      <c r="H30" s="88"/>
    </row>
    <row r="31" spans="2:17" x14ac:dyDescent="0.25">
      <c r="C31" s="84"/>
      <c r="D31" s="85"/>
      <c r="E31" s="86"/>
      <c r="G31" s="87"/>
      <c r="H31" s="88"/>
    </row>
    <row r="32" spans="2:17" x14ac:dyDescent="0.25">
      <c r="C32" s="84"/>
      <c r="D32" s="85"/>
      <c r="E32" s="86"/>
      <c r="G32" s="87"/>
      <c r="H32" s="88"/>
    </row>
    <row r="33" spans="3:8" x14ac:dyDescent="0.25">
      <c r="C33" s="84"/>
      <c r="D33" s="85"/>
      <c r="E33" s="86"/>
      <c r="G33" s="87"/>
      <c r="H33" s="88"/>
    </row>
    <row r="34" spans="3:8" x14ac:dyDescent="0.25">
      <c r="C34" s="84"/>
      <c r="D34" s="85"/>
      <c r="E34" s="86"/>
      <c r="G34" s="87"/>
      <c r="H34" s="88"/>
    </row>
    <row r="35" spans="3:8" x14ac:dyDescent="0.25">
      <c r="C35" s="84"/>
      <c r="D35" s="85"/>
      <c r="E35" s="86"/>
      <c r="G35" s="87"/>
      <c r="H35" s="88"/>
    </row>
    <row r="36" spans="3:8" x14ac:dyDescent="0.25">
      <c r="C36" s="84"/>
      <c r="D36" s="85"/>
      <c r="E36" s="86"/>
      <c r="G36" s="87"/>
      <c r="H36" s="88"/>
    </row>
    <row r="37" spans="3:8" x14ac:dyDescent="0.25">
      <c r="C37" s="84"/>
      <c r="D37" s="85"/>
      <c r="E37" s="86"/>
      <c r="G37" s="87"/>
      <c r="H37" s="88"/>
    </row>
    <row r="38" spans="3:8" x14ac:dyDescent="0.25">
      <c r="C38" s="84"/>
      <c r="D38" s="85"/>
      <c r="E38" s="86"/>
      <c r="G38" s="87"/>
      <c r="H38" s="88"/>
    </row>
    <row r="39" spans="3:8" x14ac:dyDescent="0.25">
      <c r="C39" s="84"/>
      <c r="D39" s="85"/>
      <c r="E39" s="86"/>
      <c r="G39" s="87"/>
      <c r="H39" s="88"/>
    </row>
    <row r="40" spans="3:8" x14ac:dyDescent="0.25">
      <c r="C40" s="84"/>
      <c r="D40" s="85"/>
      <c r="E40" s="86"/>
      <c r="G40" s="87"/>
      <c r="H40" s="88"/>
    </row>
    <row r="41" spans="3:8" x14ac:dyDescent="0.25">
      <c r="C41" s="84"/>
      <c r="D41" s="85"/>
      <c r="E41" s="86"/>
      <c r="G41" s="87"/>
      <c r="H41" s="88"/>
    </row>
    <row r="42" spans="3:8" x14ac:dyDescent="0.25">
      <c r="C42" s="84"/>
      <c r="D42" s="85"/>
      <c r="E42" s="86"/>
      <c r="G42" s="87"/>
      <c r="H42" s="88"/>
    </row>
    <row r="43" spans="3:8" x14ac:dyDescent="0.25">
      <c r="C43" s="84"/>
      <c r="D43" s="85"/>
      <c r="E43" s="86"/>
      <c r="G43" s="87"/>
      <c r="H43" s="88"/>
    </row>
    <row r="44" spans="3:8" x14ac:dyDescent="0.25">
      <c r="C44" s="84"/>
      <c r="D44" s="85"/>
      <c r="E44" s="86"/>
      <c r="G44" s="87"/>
      <c r="H44" s="88"/>
    </row>
    <row r="45" spans="3:8" x14ac:dyDescent="0.25">
      <c r="C45" s="84"/>
      <c r="D45" s="85"/>
      <c r="E45" s="86"/>
      <c r="G45" s="87"/>
      <c r="H45" s="88"/>
    </row>
    <row r="46" spans="3:8" x14ac:dyDescent="0.25">
      <c r="C46" s="84"/>
      <c r="D46" s="85"/>
      <c r="E46" s="86"/>
      <c r="G46" s="87"/>
      <c r="H46" s="88"/>
    </row>
    <row r="47" spans="3:8" x14ac:dyDescent="0.25">
      <c r="C47" s="84"/>
      <c r="D47" s="85"/>
      <c r="E47" s="86"/>
      <c r="G47" s="87"/>
      <c r="H47" s="88"/>
    </row>
    <row r="48" spans="3:8" x14ac:dyDescent="0.25">
      <c r="C48" s="84"/>
      <c r="D48" s="85"/>
      <c r="E48" s="86"/>
      <c r="G48" s="87"/>
      <c r="H48" s="88"/>
    </row>
    <row r="49" spans="2:8" x14ac:dyDescent="0.25">
      <c r="C49" s="84"/>
      <c r="D49" s="85"/>
      <c r="E49" s="86"/>
      <c r="G49" s="87"/>
      <c r="H49" s="88"/>
    </row>
    <row r="50" spans="2:8" x14ac:dyDescent="0.25">
      <c r="C50" s="52"/>
      <c r="E50" s="52"/>
    </row>
    <row r="52" spans="2:8" ht="15.75" thickBot="1" x14ac:dyDescent="0.3">
      <c r="B52" s="52" t="s">
        <v>120</v>
      </c>
      <c r="G52" s="62"/>
    </row>
    <row r="53" spans="2:8" ht="34.5" thickBot="1" x14ac:dyDescent="0.3">
      <c r="B53" s="63" t="s">
        <v>102</v>
      </c>
      <c r="C53" s="64" t="s">
        <v>98</v>
      </c>
      <c r="D53" s="64" t="s">
        <v>68</v>
      </c>
      <c r="E53" s="65" t="s">
        <v>103</v>
      </c>
      <c r="F53" s="76" t="s">
        <v>107</v>
      </c>
      <c r="G53" s="77" t="s">
        <v>108</v>
      </c>
      <c r="H53" s="77" t="s">
        <v>119</v>
      </c>
    </row>
    <row r="54" spans="2:8" ht="28.5" customHeight="1" x14ac:dyDescent="0.25">
      <c r="B54" s="95" t="s">
        <v>121</v>
      </c>
      <c r="C54" s="66">
        <f>+[61]COSTOS!$AH$77</f>
        <v>23014473.992442381</v>
      </c>
      <c r="D54" s="67">
        <f>+C54*100%/C59</f>
        <v>0.69109123629003488</v>
      </c>
      <c r="E54" s="68">
        <f>+C54/C16</f>
        <v>11717.507671384181</v>
      </c>
      <c r="F54" s="118">
        <f>+F20</f>
        <v>67</v>
      </c>
      <c r="G54" s="78"/>
      <c r="H54" s="75"/>
    </row>
    <row r="55" spans="2:8" ht="25.5" customHeight="1" x14ac:dyDescent="0.25">
      <c r="B55" s="95" t="s">
        <v>122</v>
      </c>
      <c r="C55" s="80">
        <f>+[61]COSTOS!$AH$106</f>
        <v>1146646.6736399999</v>
      </c>
      <c r="D55" s="67">
        <f>+C55*100%/C59</f>
        <v>3.4432134644222095E-2</v>
      </c>
      <c r="E55" s="68">
        <f>+C55/C16</f>
        <v>583.79962101918943</v>
      </c>
      <c r="F55" s="81"/>
      <c r="G55" s="83">
        <v>3</v>
      </c>
      <c r="H55" s="83"/>
    </row>
    <row r="56" spans="2:8" ht="24.75" customHeight="1" x14ac:dyDescent="0.25">
      <c r="B56" s="97" t="s">
        <v>123</v>
      </c>
      <c r="C56" s="68">
        <f>+[61]COSTOS!$AH$96</f>
        <v>764431.11575999996</v>
      </c>
      <c r="D56" s="71">
        <f>+C56*100%/C59</f>
        <v>2.2954756429481398E-2</v>
      </c>
      <c r="E56" s="68">
        <f>+C56/C16</f>
        <v>389.19974734612629</v>
      </c>
      <c r="F56" s="72"/>
      <c r="G56" s="83">
        <v>2</v>
      </c>
      <c r="H56" s="83"/>
    </row>
    <row r="57" spans="2:8" ht="29.25" customHeight="1" x14ac:dyDescent="0.25">
      <c r="B57" s="97" t="s">
        <v>124</v>
      </c>
      <c r="C57" s="68">
        <f>+[61]COSTOS!$AH$90</f>
        <v>3664953.6437280001</v>
      </c>
      <c r="D57" s="71">
        <f>+C57*100%/C59</f>
        <v>0.11005323629909561</v>
      </c>
      <c r="E57" s="68">
        <f>+C57/C16</f>
        <v>1865.9615009994352</v>
      </c>
      <c r="F57" s="72"/>
      <c r="G57" s="83">
        <v>8</v>
      </c>
      <c r="H57" s="83"/>
    </row>
    <row r="58" spans="2:8" ht="22.5" customHeight="1" x14ac:dyDescent="0.25">
      <c r="B58" s="96" t="s">
        <v>125</v>
      </c>
      <c r="C58" s="68">
        <f>+[61]COSTOS!$AH$120</f>
        <v>4711138.0969120003</v>
      </c>
      <c r="D58" s="71">
        <f>+C58*100%/C59</f>
        <v>0.14146863633716603</v>
      </c>
      <c r="E58" s="68">
        <f>+C58/C16</f>
        <v>2398.6121433687526</v>
      </c>
      <c r="F58" s="72"/>
      <c r="G58" s="82"/>
      <c r="H58" s="83">
        <v>2</v>
      </c>
    </row>
    <row r="59" spans="2:8" x14ac:dyDescent="0.25">
      <c r="B59" s="90" t="s">
        <v>113</v>
      </c>
      <c r="C59" s="91">
        <f>SUM(C54:C58)</f>
        <v>33301643.52248238</v>
      </c>
      <c r="D59" s="92">
        <f>SUM(D54:D58)</f>
        <v>1</v>
      </c>
      <c r="E59" s="93">
        <f>SUM(E54:E58)</f>
        <v>16955.080684117685</v>
      </c>
      <c r="F59" s="90"/>
      <c r="G59" s="94"/>
      <c r="H59" s="94"/>
    </row>
    <row r="87" spans="2:11" ht="15.75" thickBot="1" x14ac:dyDescent="0.3"/>
    <row r="88" spans="2:11" ht="30" x14ac:dyDescent="0.25">
      <c r="C88" s="128" t="s">
        <v>99</v>
      </c>
      <c r="D88" s="129" t="s">
        <v>100</v>
      </c>
      <c r="E88" s="129" t="s">
        <v>101</v>
      </c>
      <c r="F88" s="130" t="s">
        <v>106</v>
      </c>
    </row>
    <row r="89" spans="2:11" ht="15.75" thickBot="1" x14ac:dyDescent="0.3">
      <c r="C89" s="131">
        <f>+C16</f>
        <v>1964.1099999999997</v>
      </c>
      <c r="D89" s="132">
        <f>+D16</f>
        <v>290000</v>
      </c>
      <c r="E89" s="133">
        <f>+C89*D89</f>
        <v>569591899.99999988</v>
      </c>
      <c r="F89" s="134">
        <v>84</v>
      </c>
    </row>
    <row r="90" spans="2:11" x14ac:dyDescent="0.25">
      <c r="C90" s="126"/>
      <c r="D90" s="124"/>
      <c r="E90" s="125"/>
      <c r="F90" s="125"/>
      <c r="K90" s="127"/>
    </row>
    <row r="91" spans="2:11" ht="15.75" thickBot="1" x14ac:dyDescent="0.3">
      <c r="C91" s="126"/>
      <c r="D91" s="124"/>
      <c r="E91" s="125"/>
      <c r="F91" s="125"/>
      <c r="K91" s="127"/>
    </row>
    <row r="92" spans="2:11" x14ac:dyDescent="0.25">
      <c r="B92" s="196" t="s">
        <v>145</v>
      </c>
      <c r="C92" s="197"/>
      <c r="D92" s="198"/>
    </row>
    <row r="93" spans="2:11" x14ac:dyDescent="0.25">
      <c r="B93" s="135" t="s">
        <v>144</v>
      </c>
      <c r="C93" s="137">
        <f>+C25</f>
        <v>157253477.27370131</v>
      </c>
      <c r="D93" s="139">
        <f>+C93/C96</f>
        <v>0.65963268415661713</v>
      </c>
    </row>
    <row r="94" spans="2:11" x14ac:dyDescent="0.25">
      <c r="B94" s="135" t="s">
        <v>120</v>
      </c>
      <c r="C94" s="137">
        <f>+C59</f>
        <v>33301643.52248238</v>
      </c>
      <c r="D94" s="139">
        <f>+C94/C96</f>
        <v>0.13969072661794527</v>
      </c>
    </row>
    <row r="95" spans="2:11" ht="15.75" thickBot="1" x14ac:dyDescent="0.3">
      <c r="B95" s="136" t="s">
        <v>114</v>
      </c>
      <c r="C95" s="138">
        <f>+L25</f>
        <v>47840400</v>
      </c>
      <c r="D95" s="140">
        <f>+C95/C96</f>
        <v>0.20067658922543749</v>
      </c>
    </row>
    <row r="96" spans="2:11" ht="15.75" thickBot="1" x14ac:dyDescent="0.3">
      <c r="B96" s="141" t="s">
        <v>137</v>
      </c>
      <c r="C96" s="142">
        <f>SUM(C93:C95)</f>
        <v>238395520.79618371</v>
      </c>
      <c r="D96" s="143">
        <f>SUM(D93:D95)</f>
        <v>0.99999999999999989</v>
      </c>
    </row>
  </sheetData>
  <autoFilter ref="B19:H26" xr:uid="{00000000-0001-0000-0000-000000000000}"/>
  <mergeCells count="2">
    <mergeCell ref="C13:H13"/>
    <mergeCell ref="B92:D92"/>
  </mergeCells>
  <pageMargins left="0.19685039370078741" right="0.19685039370078741" top="0.19685039370078741" bottom="0.19685039370078741" header="0.31496062992125984" footer="0.31496062992125984"/>
  <pageSetup paperSize="9" scale="70" orientation="landscape" horizontalDpi="0" verticalDpi="0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3A954-47DA-40A3-96F8-F90424DA12C7}">
  <sheetPr>
    <tabColor theme="5" tint="-0.249977111117893"/>
  </sheetPr>
  <dimension ref="B13:Q94"/>
  <sheetViews>
    <sheetView topLeftCell="A55" zoomScale="90" zoomScaleNormal="90" workbookViewId="0">
      <selection activeCell="C59" sqref="C59"/>
    </sheetView>
  </sheetViews>
  <sheetFormatPr baseColWidth="10" defaultColWidth="11" defaultRowHeight="15" x14ac:dyDescent="0.25"/>
  <cols>
    <col min="1" max="1" width="11" style="52"/>
    <col min="2" max="2" width="31.42578125" style="52" customWidth="1"/>
    <col min="3" max="3" width="15.5703125" style="61" customWidth="1"/>
    <col min="4" max="4" width="9.5703125" style="52" customWidth="1"/>
    <col min="5" max="5" width="14" style="62" customWidth="1"/>
    <col min="6" max="6" width="10.85546875" style="52" customWidth="1"/>
    <col min="7" max="8" width="13.28515625" style="52" customWidth="1"/>
    <col min="9" max="9" width="12.42578125" style="52" bestFit="1" customWidth="1"/>
    <col min="10" max="10" width="11" style="52"/>
    <col min="11" max="11" width="33.5703125" style="62" customWidth="1"/>
    <col min="12" max="12" width="19.7109375" style="52" customWidth="1"/>
    <col min="13" max="16384" width="11" style="52"/>
  </cols>
  <sheetData>
    <row r="13" spans="2:8" x14ac:dyDescent="0.25">
      <c r="C13" s="195" t="s">
        <v>104</v>
      </c>
      <c r="D13" s="195"/>
      <c r="E13" s="195"/>
      <c r="F13" s="195"/>
      <c r="G13" s="195"/>
      <c r="H13" s="195"/>
    </row>
    <row r="14" spans="2:8" ht="15.75" thickBot="1" x14ac:dyDescent="0.3">
      <c r="C14" s="53"/>
      <c r="D14" s="53"/>
      <c r="E14" s="53"/>
      <c r="F14" s="53"/>
      <c r="G14" s="53"/>
      <c r="H14" s="53"/>
    </row>
    <row r="15" spans="2:8" ht="30" x14ac:dyDescent="0.25">
      <c r="C15" s="113" t="s">
        <v>99</v>
      </c>
      <c r="D15" s="114" t="s">
        <v>100</v>
      </c>
      <c r="E15" s="114" t="s">
        <v>101</v>
      </c>
      <c r="F15" s="89" t="s">
        <v>106</v>
      </c>
    </row>
    <row r="16" spans="2:8" ht="15.75" thickBot="1" x14ac:dyDescent="0.3">
      <c r="B16" s="56"/>
      <c r="C16" s="115">
        <f>+'PRODUC ACUMULADA'!B10</f>
        <v>0</v>
      </c>
      <c r="D16" s="116">
        <v>293653</v>
      </c>
      <c r="E16" s="117">
        <f>+C16*D16</f>
        <v>0</v>
      </c>
      <c r="F16" s="59">
        <v>79</v>
      </c>
      <c r="G16" s="60"/>
    </row>
    <row r="18" spans="2:17" ht="21.75" thickBot="1" x14ac:dyDescent="0.4">
      <c r="B18" s="98" t="s">
        <v>126</v>
      </c>
      <c r="K18" s="99" t="s">
        <v>114</v>
      </c>
      <c r="L18" s="61"/>
      <c r="N18" s="62"/>
      <c r="P18" s="62"/>
    </row>
    <row r="19" spans="2:17" ht="45.75" thickBot="1" x14ac:dyDescent="0.3">
      <c r="B19" s="63" t="s">
        <v>102</v>
      </c>
      <c r="C19" s="64" t="s">
        <v>98</v>
      </c>
      <c r="D19" s="64" t="s">
        <v>68</v>
      </c>
      <c r="E19" s="65" t="s">
        <v>103</v>
      </c>
      <c r="F19" s="76" t="s">
        <v>107</v>
      </c>
      <c r="G19" s="77" t="s">
        <v>108</v>
      </c>
      <c r="H19" s="77" t="s">
        <v>119</v>
      </c>
      <c r="K19" s="63" t="s">
        <v>102</v>
      </c>
      <c r="L19" s="64" t="s">
        <v>98</v>
      </c>
      <c r="M19" s="64" t="s">
        <v>68</v>
      </c>
      <c r="N19" s="65" t="s">
        <v>103</v>
      </c>
      <c r="O19" s="74" t="s">
        <v>106</v>
      </c>
      <c r="P19" s="76" t="s">
        <v>107</v>
      </c>
      <c r="Q19" s="77" t="s">
        <v>119</v>
      </c>
    </row>
    <row r="20" spans="2:17" x14ac:dyDescent="0.25">
      <c r="B20" s="73" t="s">
        <v>105</v>
      </c>
      <c r="C20" s="66">
        <f>+'RESUMEN 2026'!AF18</f>
        <v>0</v>
      </c>
      <c r="D20" s="67" t="e">
        <f>+C20*100%/C25</f>
        <v>#DIV/0!</v>
      </c>
      <c r="E20" s="68" t="e">
        <f>+C20/C16</f>
        <v>#DIV/0!</v>
      </c>
      <c r="F20" s="78">
        <f>+F16-G21-G22-G23-H24</f>
        <v>65</v>
      </c>
      <c r="G20" s="75"/>
      <c r="H20" s="75"/>
      <c r="K20" s="100" t="s">
        <v>115</v>
      </c>
      <c r="L20" s="66">
        <v>0</v>
      </c>
      <c r="M20" s="67" t="e">
        <f>+L20*100%/L25</f>
        <v>#DIV/0!</v>
      </c>
      <c r="N20" s="68" t="e">
        <f>+L20/C16</f>
        <v>#DIV/0!</v>
      </c>
      <c r="O20" s="118">
        <f>+F20</f>
        <v>65</v>
      </c>
      <c r="P20" s="78"/>
      <c r="Q20" s="75"/>
    </row>
    <row r="21" spans="2:17" x14ac:dyDescent="0.25">
      <c r="B21" s="79" t="s">
        <v>109</v>
      </c>
      <c r="C21" s="80">
        <v>0</v>
      </c>
      <c r="D21" s="67" t="e">
        <f>+C21*100%/C25</f>
        <v>#DIV/0!</v>
      </c>
      <c r="E21" s="68" t="e">
        <f>+C21/C16</f>
        <v>#DIV/0!</v>
      </c>
      <c r="F21" s="82"/>
      <c r="G21" s="83">
        <v>3</v>
      </c>
      <c r="H21" s="83"/>
      <c r="K21" s="100" t="s">
        <v>116</v>
      </c>
      <c r="L21" s="80">
        <v>0</v>
      </c>
      <c r="M21" s="67" t="e">
        <f>+L21*100%/L25</f>
        <v>#DIV/0!</v>
      </c>
      <c r="N21" s="68" t="e">
        <f>+L21/C16</f>
        <v>#DIV/0!</v>
      </c>
      <c r="O21" s="81"/>
      <c r="P21" s="83">
        <v>3</v>
      </c>
      <c r="Q21" s="83"/>
    </row>
    <row r="22" spans="2:17" ht="30" customHeight="1" x14ac:dyDescent="0.25">
      <c r="B22" s="70" t="s">
        <v>110</v>
      </c>
      <c r="C22" s="68">
        <v>0</v>
      </c>
      <c r="D22" s="71" t="e">
        <f>+C22*100%/C25</f>
        <v>#DIV/0!</v>
      </c>
      <c r="E22" s="68" t="e">
        <f>+C22/C16</f>
        <v>#DIV/0!</v>
      </c>
      <c r="F22" s="82"/>
      <c r="G22" s="83">
        <v>2</v>
      </c>
      <c r="H22" s="83"/>
      <c r="K22" s="97" t="s">
        <v>117</v>
      </c>
      <c r="L22" s="68">
        <v>0</v>
      </c>
      <c r="M22" s="71" t="e">
        <f>+L22*100%/L25</f>
        <v>#DIV/0!</v>
      </c>
      <c r="N22" s="68" t="e">
        <f>+L22/C16</f>
        <v>#DIV/0!</v>
      </c>
      <c r="O22" s="72"/>
      <c r="P22" s="83">
        <v>2</v>
      </c>
      <c r="Q22" s="83"/>
    </row>
    <row r="23" spans="2:17" x14ac:dyDescent="0.25">
      <c r="B23" s="70" t="s">
        <v>111</v>
      </c>
      <c r="C23" s="68">
        <v>0</v>
      </c>
      <c r="D23" s="71" t="e">
        <f>+C23*100%/C25</f>
        <v>#DIV/0!</v>
      </c>
      <c r="E23" s="68" t="e">
        <f>+C23/C16</f>
        <v>#DIV/0!</v>
      </c>
      <c r="F23" s="82"/>
      <c r="G23" s="83">
        <v>7</v>
      </c>
      <c r="H23" s="83"/>
      <c r="K23" s="96" t="s">
        <v>118</v>
      </c>
      <c r="L23" s="68">
        <v>0</v>
      </c>
      <c r="M23" s="71" t="e">
        <f>+L23*100%/L25</f>
        <v>#DIV/0!</v>
      </c>
      <c r="N23" s="68" t="e">
        <f>+L23/C16</f>
        <v>#DIV/0!</v>
      </c>
      <c r="O23" s="72"/>
      <c r="P23" s="83">
        <v>7</v>
      </c>
      <c r="Q23" s="83"/>
    </row>
    <row r="24" spans="2:17" x14ac:dyDescent="0.25">
      <c r="B24" s="70" t="s">
        <v>112</v>
      </c>
      <c r="C24" s="68">
        <v>0</v>
      </c>
      <c r="D24" s="71" t="e">
        <f>+C24*100%/C25</f>
        <v>#DIV/0!</v>
      </c>
      <c r="E24" s="68" t="e">
        <f>+C24/C16</f>
        <v>#DIV/0!</v>
      </c>
      <c r="F24" s="82"/>
      <c r="G24" s="83"/>
      <c r="H24" s="83">
        <v>2</v>
      </c>
      <c r="K24" s="96" t="s">
        <v>112</v>
      </c>
      <c r="L24" s="68">
        <v>0</v>
      </c>
      <c r="M24" s="71" t="e">
        <f>+L24*100%/L25</f>
        <v>#DIV/0!</v>
      </c>
      <c r="N24" s="68" t="e">
        <f>+L24/C16</f>
        <v>#DIV/0!</v>
      </c>
      <c r="O24" s="72"/>
      <c r="P24" s="82"/>
      <c r="Q24" s="83">
        <v>2</v>
      </c>
    </row>
    <row r="25" spans="2:17" x14ac:dyDescent="0.25">
      <c r="B25" s="90" t="s">
        <v>113</v>
      </c>
      <c r="C25" s="91">
        <f>SUM(C20:C24)</f>
        <v>0</v>
      </c>
      <c r="D25" s="92" t="e">
        <f>SUM(D20:D24)</f>
        <v>#DIV/0!</v>
      </c>
      <c r="E25" s="93" t="e">
        <f>SUM(E20:E24)</f>
        <v>#DIV/0!</v>
      </c>
      <c r="F25" s="94"/>
      <c r="G25" s="94"/>
      <c r="H25" s="94"/>
      <c r="K25" s="90" t="s">
        <v>113</v>
      </c>
      <c r="L25" s="91">
        <f>SUM(L20:L24)</f>
        <v>0</v>
      </c>
      <c r="M25" s="92" t="e">
        <f>SUM(M20:M24)</f>
        <v>#DIV/0!</v>
      </c>
      <c r="N25" s="93" t="e">
        <f>SUM(N20:N24)</f>
        <v>#DIV/0!</v>
      </c>
      <c r="O25" s="90"/>
      <c r="P25" s="94"/>
      <c r="Q25" s="94"/>
    </row>
    <row r="26" spans="2:17" x14ac:dyDescent="0.25">
      <c r="C26" s="84"/>
      <c r="D26" s="85"/>
      <c r="E26" s="86">
        <f>+G25/(340000-H26)</f>
        <v>0</v>
      </c>
      <c r="G26" s="87"/>
      <c r="H26" s="88"/>
      <c r="K26" s="52"/>
    </row>
    <row r="27" spans="2:17" x14ac:dyDescent="0.25">
      <c r="C27" s="84"/>
      <c r="D27" s="85"/>
      <c r="E27" s="86"/>
      <c r="G27" s="87"/>
      <c r="H27" s="88"/>
    </row>
    <row r="28" spans="2:17" x14ac:dyDescent="0.25">
      <c r="C28" s="84"/>
      <c r="D28" s="85"/>
      <c r="E28" s="86"/>
      <c r="G28" s="87"/>
      <c r="H28" s="88"/>
      <c r="Q28" s="119"/>
    </row>
    <row r="29" spans="2:17" x14ac:dyDescent="0.25">
      <c r="C29" s="84"/>
      <c r="D29" s="85"/>
      <c r="E29" s="86"/>
      <c r="G29" s="87"/>
      <c r="H29" s="88"/>
    </row>
    <row r="30" spans="2:17" x14ac:dyDescent="0.25">
      <c r="C30" s="84"/>
      <c r="D30" s="85"/>
      <c r="E30" s="86"/>
      <c r="G30" s="87"/>
      <c r="H30" s="88"/>
    </row>
    <row r="31" spans="2:17" x14ac:dyDescent="0.25">
      <c r="C31" s="84"/>
      <c r="D31" s="85"/>
      <c r="E31" s="86"/>
      <c r="G31" s="87"/>
      <c r="H31" s="88"/>
    </row>
    <row r="32" spans="2:17" x14ac:dyDescent="0.25">
      <c r="C32" s="84"/>
      <c r="D32" s="85"/>
      <c r="E32" s="86"/>
      <c r="G32" s="87"/>
      <c r="H32" s="88"/>
    </row>
    <row r="33" spans="3:8" x14ac:dyDescent="0.25">
      <c r="C33" s="84"/>
      <c r="D33" s="85"/>
      <c r="E33" s="86"/>
      <c r="G33" s="87"/>
      <c r="H33" s="88"/>
    </row>
    <row r="34" spans="3:8" x14ac:dyDescent="0.25">
      <c r="C34" s="84"/>
      <c r="D34" s="85"/>
      <c r="E34" s="86"/>
      <c r="G34" s="87"/>
      <c r="H34" s="88"/>
    </row>
    <row r="35" spans="3:8" x14ac:dyDescent="0.25">
      <c r="C35" s="84"/>
      <c r="D35" s="85"/>
      <c r="E35" s="86"/>
      <c r="G35" s="87"/>
      <c r="H35" s="88"/>
    </row>
    <row r="36" spans="3:8" x14ac:dyDescent="0.25">
      <c r="C36" s="84"/>
      <c r="D36" s="85"/>
      <c r="E36" s="86"/>
      <c r="G36" s="87"/>
      <c r="H36" s="88"/>
    </row>
    <row r="37" spans="3:8" x14ac:dyDescent="0.25">
      <c r="C37" s="84"/>
      <c r="D37" s="85"/>
      <c r="E37" s="86"/>
      <c r="G37" s="87"/>
      <c r="H37" s="88"/>
    </row>
    <row r="38" spans="3:8" x14ac:dyDescent="0.25">
      <c r="C38" s="84"/>
      <c r="D38" s="85"/>
      <c r="E38" s="86"/>
      <c r="G38" s="87"/>
      <c r="H38" s="88"/>
    </row>
    <row r="39" spans="3:8" x14ac:dyDescent="0.25">
      <c r="C39" s="84"/>
      <c r="D39" s="85"/>
      <c r="E39" s="86"/>
      <c r="G39" s="87"/>
      <c r="H39" s="88"/>
    </row>
    <row r="40" spans="3:8" x14ac:dyDescent="0.25">
      <c r="C40" s="84"/>
      <c r="D40" s="85"/>
      <c r="E40" s="86"/>
      <c r="G40" s="87"/>
      <c r="H40" s="88"/>
    </row>
    <row r="41" spans="3:8" x14ac:dyDescent="0.25">
      <c r="C41" s="84"/>
      <c r="D41" s="85"/>
      <c r="E41" s="86"/>
      <c r="G41" s="87"/>
      <c r="H41" s="88"/>
    </row>
    <row r="42" spans="3:8" x14ac:dyDescent="0.25">
      <c r="C42" s="84"/>
      <c r="D42" s="85"/>
      <c r="E42" s="86"/>
      <c r="G42" s="87"/>
      <c r="H42" s="88"/>
    </row>
    <row r="43" spans="3:8" x14ac:dyDescent="0.25">
      <c r="C43" s="84"/>
      <c r="D43" s="85"/>
      <c r="E43" s="86"/>
      <c r="G43" s="87"/>
      <c r="H43" s="88"/>
    </row>
    <row r="44" spans="3:8" x14ac:dyDescent="0.25">
      <c r="C44" s="84"/>
      <c r="D44" s="85"/>
      <c r="E44" s="86"/>
      <c r="G44" s="87"/>
      <c r="H44" s="88"/>
    </row>
    <row r="45" spans="3:8" x14ac:dyDescent="0.25">
      <c r="C45" s="84"/>
      <c r="D45" s="85"/>
      <c r="E45" s="86"/>
      <c r="G45" s="87"/>
      <c r="H45" s="88"/>
    </row>
    <row r="46" spans="3:8" x14ac:dyDescent="0.25">
      <c r="C46" s="84"/>
      <c r="D46" s="85"/>
      <c r="E46" s="86"/>
      <c r="G46" s="87"/>
      <c r="H46" s="88"/>
    </row>
    <row r="47" spans="3:8" x14ac:dyDescent="0.25">
      <c r="C47" s="84"/>
      <c r="D47" s="85"/>
      <c r="E47" s="86"/>
      <c r="G47" s="87"/>
      <c r="H47" s="88"/>
    </row>
    <row r="48" spans="3:8" x14ac:dyDescent="0.25">
      <c r="C48" s="84"/>
      <c r="D48" s="85"/>
      <c r="E48" s="86"/>
      <c r="G48" s="87"/>
      <c r="H48" s="88"/>
    </row>
    <row r="49" spans="2:8" x14ac:dyDescent="0.25">
      <c r="C49" s="84"/>
      <c r="D49" s="85"/>
      <c r="E49" s="86"/>
      <c r="G49" s="87"/>
      <c r="H49" s="88"/>
    </row>
    <row r="50" spans="2:8" x14ac:dyDescent="0.25">
      <c r="C50" s="52"/>
      <c r="E50" s="52"/>
    </row>
    <row r="52" spans="2:8" ht="15.75" thickBot="1" x14ac:dyDescent="0.3">
      <c r="B52" s="52" t="s">
        <v>120</v>
      </c>
      <c r="G52" s="62"/>
    </row>
    <row r="53" spans="2:8" ht="34.5" thickBot="1" x14ac:dyDescent="0.3">
      <c r="B53" s="63" t="s">
        <v>102</v>
      </c>
      <c r="C53" s="64" t="s">
        <v>98</v>
      </c>
      <c r="D53" s="64" t="s">
        <v>68</v>
      </c>
      <c r="E53" s="65" t="s">
        <v>103</v>
      </c>
      <c r="F53" s="76" t="s">
        <v>107</v>
      </c>
      <c r="G53" s="77" t="s">
        <v>108</v>
      </c>
      <c r="H53" s="77" t="s">
        <v>119</v>
      </c>
    </row>
    <row r="54" spans="2:8" ht="28.5" customHeight="1" x14ac:dyDescent="0.25">
      <c r="B54" s="95" t="s">
        <v>121</v>
      </c>
      <c r="C54" s="66">
        <v>0</v>
      </c>
      <c r="D54" s="67" t="e">
        <f>+C54*100%/C59</f>
        <v>#DIV/0!</v>
      </c>
      <c r="E54" s="68" t="e">
        <f>+C54/C16</f>
        <v>#DIV/0!</v>
      </c>
      <c r="F54" s="118">
        <f>+F20</f>
        <v>65</v>
      </c>
      <c r="G54" s="78"/>
      <c r="H54" s="75"/>
    </row>
    <row r="55" spans="2:8" ht="25.5" customHeight="1" x14ac:dyDescent="0.25">
      <c r="B55" s="95" t="s">
        <v>122</v>
      </c>
      <c r="C55" s="80">
        <v>0</v>
      </c>
      <c r="D55" s="67" t="e">
        <f>+C55*100%/C59</f>
        <v>#DIV/0!</v>
      </c>
      <c r="E55" s="68" t="e">
        <f>+C55/C16</f>
        <v>#DIV/0!</v>
      </c>
      <c r="F55" s="81"/>
      <c r="G55" s="83">
        <v>3</v>
      </c>
      <c r="H55" s="83"/>
    </row>
    <row r="56" spans="2:8" ht="24.75" customHeight="1" x14ac:dyDescent="0.25">
      <c r="B56" s="97" t="s">
        <v>123</v>
      </c>
      <c r="C56" s="68">
        <v>0</v>
      </c>
      <c r="D56" s="71" t="e">
        <f>+C56*100%/C59</f>
        <v>#DIV/0!</v>
      </c>
      <c r="E56" s="68" t="e">
        <f>+C56/C16</f>
        <v>#DIV/0!</v>
      </c>
      <c r="F56" s="72"/>
      <c r="G56" s="83">
        <v>2</v>
      </c>
      <c r="H56" s="83"/>
    </row>
    <row r="57" spans="2:8" ht="29.25" customHeight="1" x14ac:dyDescent="0.25">
      <c r="B57" s="97" t="s">
        <v>124</v>
      </c>
      <c r="C57" s="68">
        <v>0</v>
      </c>
      <c r="D57" s="71" t="e">
        <f>+C57*100%/C59</f>
        <v>#DIV/0!</v>
      </c>
      <c r="E57" s="68" t="e">
        <f>+C57/C16</f>
        <v>#DIV/0!</v>
      </c>
      <c r="F57" s="72"/>
      <c r="G57" s="83">
        <v>7</v>
      </c>
      <c r="H57" s="83"/>
    </row>
    <row r="58" spans="2:8" ht="22.5" customHeight="1" x14ac:dyDescent="0.25">
      <c r="B58" s="96" t="s">
        <v>125</v>
      </c>
      <c r="C58" s="68">
        <v>0</v>
      </c>
      <c r="D58" s="71" t="e">
        <f>+C58*100%/C59</f>
        <v>#DIV/0!</v>
      </c>
      <c r="E58" s="68" t="e">
        <f>+C58/C16</f>
        <v>#DIV/0!</v>
      </c>
      <c r="F58" s="72"/>
      <c r="G58" s="82"/>
      <c r="H58" s="83">
        <v>2</v>
      </c>
    </row>
    <row r="59" spans="2:8" x14ac:dyDescent="0.25">
      <c r="B59" s="90" t="s">
        <v>113</v>
      </c>
      <c r="C59" s="91">
        <f>SUM(C54:C58)</f>
        <v>0</v>
      </c>
      <c r="D59" s="92" t="e">
        <f>SUM(D54:D58)</f>
        <v>#DIV/0!</v>
      </c>
      <c r="E59" s="93" t="e">
        <f>SUM(E54:E58)</f>
        <v>#DIV/0!</v>
      </c>
      <c r="F59" s="90"/>
      <c r="G59" s="94"/>
      <c r="H59" s="94"/>
    </row>
    <row r="85" spans="2:11" ht="15.75" thickBot="1" x14ac:dyDescent="0.3"/>
    <row r="86" spans="2:11" ht="30" x14ac:dyDescent="0.25">
      <c r="C86" s="128" t="s">
        <v>99</v>
      </c>
      <c r="D86" s="129" t="s">
        <v>100</v>
      </c>
      <c r="E86" s="129" t="s">
        <v>101</v>
      </c>
      <c r="F86" s="130" t="s">
        <v>106</v>
      </c>
    </row>
    <row r="87" spans="2:11" ht="15.75" thickBot="1" x14ac:dyDescent="0.3">
      <c r="C87" s="131">
        <f>+C16</f>
        <v>0</v>
      </c>
      <c r="D87" s="132">
        <f>+D16</f>
        <v>293653</v>
      </c>
      <c r="E87" s="133">
        <f>+C87*D87</f>
        <v>0</v>
      </c>
      <c r="F87" s="134">
        <f>+F16</f>
        <v>79</v>
      </c>
    </row>
    <row r="88" spans="2:11" x14ac:dyDescent="0.25">
      <c r="C88" s="126"/>
      <c r="D88" s="124"/>
      <c r="E88" s="125"/>
      <c r="F88" s="125"/>
      <c r="K88" s="127"/>
    </row>
    <row r="89" spans="2:11" ht="15.75" thickBot="1" x14ac:dyDescent="0.3">
      <c r="C89" s="126"/>
      <c r="D89" s="124"/>
      <c r="E89" s="125"/>
      <c r="F89" s="125"/>
      <c r="K89" s="127"/>
    </row>
    <row r="90" spans="2:11" x14ac:dyDescent="0.25">
      <c r="B90" s="196" t="s">
        <v>146</v>
      </c>
      <c r="C90" s="197"/>
      <c r="D90" s="198"/>
    </row>
    <row r="91" spans="2:11" x14ac:dyDescent="0.25">
      <c r="B91" s="135" t="s">
        <v>147</v>
      </c>
      <c r="C91" s="137">
        <f>+C25</f>
        <v>0</v>
      </c>
      <c r="D91" s="139" t="e">
        <f>+C91/C94</f>
        <v>#DIV/0!</v>
      </c>
    </row>
    <row r="92" spans="2:11" x14ac:dyDescent="0.25">
      <c r="B92" s="135" t="s">
        <v>120</v>
      </c>
      <c r="C92" s="137">
        <f>+C59</f>
        <v>0</v>
      </c>
      <c r="D92" s="139" t="e">
        <f>+C92/C94</f>
        <v>#DIV/0!</v>
      </c>
    </row>
    <row r="93" spans="2:11" ht="15.75" thickBot="1" x14ac:dyDescent="0.3">
      <c r="B93" s="136" t="s">
        <v>114</v>
      </c>
      <c r="C93" s="138">
        <f>+L25</f>
        <v>0</v>
      </c>
      <c r="D93" s="140" t="e">
        <f>+C93/C94</f>
        <v>#DIV/0!</v>
      </c>
    </row>
    <row r="94" spans="2:11" ht="15.75" thickBot="1" x14ac:dyDescent="0.3">
      <c r="B94" s="141" t="s">
        <v>137</v>
      </c>
      <c r="C94" s="142">
        <f>SUM(C91:C93)</f>
        <v>0</v>
      </c>
      <c r="D94" s="143" t="e">
        <f>SUM(D91:D93)</f>
        <v>#DIV/0!</v>
      </c>
    </row>
  </sheetData>
  <autoFilter ref="B19:H26" xr:uid="{00000000-0001-0000-0000-000000000000}"/>
  <mergeCells count="2">
    <mergeCell ref="C13:H13"/>
    <mergeCell ref="B90:D90"/>
  </mergeCells>
  <pageMargins left="0.19685039370078741" right="0.19685039370078741" top="0.19685039370078741" bottom="0.19685039370078741" header="0.31496062992125984" footer="0.31496062992125984"/>
  <pageSetup paperSize="9" scale="70" orientation="landscape" horizontalDpi="0" verticalDpi="0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7A874-5253-4A34-9E05-94C906C967E6}">
  <sheetPr>
    <tabColor theme="5" tint="-0.249977111117893"/>
  </sheetPr>
  <dimension ref="B13:Q96"/>
  <sheetViews>
    <sheetView topLeftCell="A55" zoomScale="90" zoomScaleNormal="90" workbookViewId="0">
      <selection activeCell="C59" sqref="C59"/>
    </sheetView>
  </sheetViews>
  <sheetFormatPr baseColWidth="10" defaultColWidth="11" defaultRowHeight="15" x14ac:dyDescent="0.25"/>
  <cols>
    <col min="1" max="1" width="11" style="52"/>
    <col min="2" max="2" width="31.42578125" style="52" customWidth="1"/>
    <col min="3" max="3" width="15.5703125" style="61" customWidth="1"/>
    <col min="4" max="4" width="9.5703125" style="52" customWidth="1"/>
    <col min="5" max="5" width="14" style="62" customWidth="1"/>
    <col min="6" max="6" width="10.85546875" style="52" customWidth="1"/>
    <col min="7" max="8" width="13.28515625" style="52" customWidth="1"/>
    <col min="9" max="9" width="12.42578125" style="52" bestFit="1" customWidth="1"/>
    <col min="10" max="10" width="11" style="52"/>
    <col min="11" max="11" width="33.5703125" style="62" customWidth="1"/>
    <col min="12" max="12" width="19.7109375" style="52" customWidth="1"/>
    <col min="13" max="16384" width="11" style="52"/>
  </cols>
  <sheetData>
    <row r="13" spans="2:8" x14ac:dyDescent="0.25">
      <c r="C13" s="195" t="s">
        <v>104</v>
      </c>
      <c r="D13" s="195"/>
      <c r="E13" s="195"/>
      <c r="F13" s="195"/>
      <c r="G13" s="195"/>
      <c r="H13" s="195"/>
    </row>
    <row r="14" spans="2:8" ht="15.75" thickBot="1" x14ac:dyDescent="0.3">
      <c r="C14" s="53"/>
      <c r="D14" s="53"/>
      <c r="E14" s="53"/>
      <c r="F14" s="53"/>
      <c r="G14" s="53"/>
      <c r="H14" s="53"/>
    </row>
    <row r="15" spans="2:8" ht="30" x14ac:dyDescent="0.25">
      <c r="C15" s="113" t="s">
        <v>99</v>
      </c>
      <c r="D15" s="114" t="s">
        <v>100</v>
      </c>
      <c r="E15" s="114" t="s">
        <v>101</v>
      </c>
      <c r="F15" s="89" t="s">
        <v>106</v>
      </c>
    </row>
    <row r="16" spans="2:8" ht="15.75" thickBot="1" x14ac:dyDescent="0.3">
      <c r="B16" s="56"/>
      <c r="C16" s="115">
        <f>+'PRODUC ACUMULADA'!B11</f>
        <v>0</v>
      </c>
      <c r="D16" s="116">
        <v>279000</v>
      </c>
      <c r="E16" s="117">
        <f>+C16*D16</f>
        <v>0</v>
      </c>
      <c r="F16" s="59">
        <v>77</v>
      </c>
      <c r="G16" s="60"/>
    </row>
    <row r="18" spans="2:17" ht="21.75" thickBot="1" x14ac:dyDescent="0.4">
      <c r="B18" s="98" t="s">
        <v>126</v>
      </c>
      <c r="K18" s="99" t="s">
        <v>114</v>
      </c>
      <c r="L18" s="61"/>
      <c r="N18" s="62"/>
      <c r="P18" s="62"/>
    </row>
    <row r="19" spans="2:17" ht="45.75" thickBot="1" x14ac:dyDescent="0.3">
      <c r="B19" s="63" t="s">
        <v>102</v>
      </c>
      <c r="C19" s="64" t="s">
        <v>98</v>
      </c>
      <c r="D19" s="64" t="s">
        <v>68</v>
      </c>
      <c r="E19" s="65" t="s">
        <v>103</v>
      </c>
      <c r="F19" s="76" t="s">
        <v>107</v>
      </c>
      <c r="G19" s="77" t="s">
        <v>108</v>
      </c>
      <c r="H19" s="77" t="s">
        <v>119</v>
      </c>
      <c r="K19" s="63" t="s">
        <v>102</v>
      </c>
      <c r="L19" s="64" t="s">
        <v>98</v>
      </c>
      <c r="M19" s="64" t="s">
        <v>68</v>
      </c>
      <c r="N19" s="65" t="s">
        <v>103</v>
      </c>
      <c r="O19" s="74" t="s">
        <v>106</v>
      </c>
      <c r="P19" s="76" t="s">
        <v>107</v>
      </c>
      <c r="Q19" s="77" t="s">
        <v>119</v>
      </c>
    </row>
    <row r="20" spans="2:17" x14ac:dyDescent="0.25">
      <c r="B20" s="73" t="s">
        <v>105</v>
      </c>
      <c r="C20" s="66">
        <f>+'RESUMEN 2026'!AM18</f>
        <v>0</v>
      </c>
      <c r="D20" s="67" t="e">
        <f>+C20*100%/C25</f>
        <v>#DIV/0!</v>
      </c>
      <c r="E20" s="68" t="e">
        <f>+C20/C16</f>
        <v>#DIV/0!</v>
      </c>
      <c r="F20" s="78">
        <f>+F16-G21-G22-G23-H24</f>
        <v>63</v>
      </c>
      <c r="G20" s="75"/>
      <c r="H20" s="75"/>
      <c r="K20" s="100" t="s">
        <v>115</v>
      </c>
      <c r="L20" s="66">
        <v>0</v>
      </c>
      <c r="M20" s="67" t="e">
        <f>+L20*100%/L25</f>
        <v>#DIV/0!</v>
      </c>
      <c r="N20" s="68" t="e">
        <f>+L20/C16</f>
        <v>#DIV/0!</v>
      </c>
      <c r="O20" s="118">
        <f>+F20</f>
        <v>63</v>
      </c>
      <c r="P20" s="78"/>
      <c r="Q20" s="75"/>
    </row>
    <row r="21" spans="2:17" x14ac:dyDescent="0.25">
      <c r="B21" s="79" t="s">
        <v>109</v>
      </c>
      <c r="C21" s="80">
        <v>0</v>
      </c>
      <c r="D21" s="67" t="e">
        <f>+C21*100%/C25</f>
        <v>#DIV/0!</v>
      </c>
      <c r="E21" s="68" t="e">
        <f>+C21/C16</f>
        <v>#DIV/0!</v>
      </c>
      <c r="F21" s="82"/>
      <c r="G21" s="83">
        <v>3</v>
      </c>
      <c r="H21" s="83"/>
      <c r="K21" s="100" t="s">
        <v>116</v>
      </c>
      <c r="L21" s="80">
        <v>0</v>
      </c>
      <c r="M21" s="67" t="e">
        <f>+L21*100%/L25</f>
        <v>#DIV/0!</v>
      </c>
      <c r="N21" s="68" t="e">
        <f>+L21/C16</f>
        <v>#DIV/0!</v>
      </c>
      <c r="O21" s="81"/>
      <c r="P21" s="83">
        <v>3</v>
      </c>
      <c r="Q21" s="83"/>
    </row>
    <row r="22" spans="2:17" ht="30" customHeight="1" x14ac:dyDescent="0.25">
      <c r="B22" s="70" t="s">
        <v>110</v>
      </c>
      <c r="C22" s="68">
        <v>0</v>
      </c>
      <c r="D22" s="71" t="e">
        <f>+C22*100%/C25</f>
        <v>#DIV/0!</v>
      </c>
      <c r="E22" s="68" t="e">
        <f>+C22/C16</f>
        <v>#DIV/0!</v>
      </c>
      <c r="F22" s="82"/>
      <c r="G22" s="83">
        <v>2</v>
      </c>
      <c r="H22" s="83"/>
      <c r="K22" s="97" t="s">
        <v>117</v>
      </c>
      <c r="L22" s="68">
        <v>0</v>
      </c>
      <c r="M22" s="71" t="e">
        <f>+L22*100%/L25</f>
        <v>#DIV/0!</v>
      </c>
      <c r="N22" s="68" t="e">
        <f>+L22/C16</f>
        <v>#DIV/0!</v>
      </c>
      <c r="O22" s="72"/>
      <c r="P22" s="83">
        <v>2</v>
      </c>
      <c r="Q22" s="83"/>
    </row>
    <row r="23" spans="2:17" x14ac:dyDescent="0.25">
      <c r="B23" s="70" t="s">
        <v>111</v>
      </c>
      <c r="C23" s="68">
        <v>0</v>
      </c>
      <c r="D23" s="71" t="e">
        <f>+C23*100%/C25</f>
        <v>#DIV/0!</v>
      </c>
      <c r="E23" s="68" t="e">
        <f>+C23/C16</f>
        <v>#DIV/0!</v>
      </c>
      <c r="F23" s="82"/>
      <c r="G23" s="83">
        <v>7</v>
      </c>
      <c r="H23" s="83"/>
      <c r="K23" s="96" t="s">
        <v>118</v>
      </c>
      <c r="L23" s="68">
        <v>0</v>
      </c>
      <c r="M23" s="71" t="e">
        <f>+L23*100%/L25</f>
        <v>#DIV/0!</v>
      </c>
      <c r="N23" s="68" t="e">
        <f>+L23/C16</f>
        <v>#DIV/0!</v>
      </c>
      <c r="O23" s="72"/>
      <c r="P23" s="83">
        <v>7</v>
      </c>
      <c r="Q23" s="83"/>
    </row>
    <row r="24" spans="2:17" x14ac:dyDescent="0.25">
      <c r="B24" s="70" t="s">
        <v>112</v>
      </c>
      <c r="C24" s="68">
        <v>0</v>
      </c>
      <c r="D24" s="71" t="e">
        <f>+C24*100%/C25</f>
        <v>#DIV/0!</v>
      </c>
      <c r="E24" s="68" t="e">
        <f>+C24/C16</f>
        <v>#DIV/0!</v>
      </c>
      <c r="F24" s="82"/>
      <c r="G24" s="83"/>
      <c r="H24" s="83">
        <v>2</v>
      </c>
      <c r="K24" s="96" t="s">
        <v>112</v>
      </c>
      <c r="L24" s="68">
        <v>0</v>
      </c>
      <c r="M24" s="71" t="e">
        <f>+L24*100%/L25</f>
        <v>#DIV/0!</v>
      </c>
      <c r="N24" s="68" t="e">
        <f>+L24/C16</f>
        <v>#DIV/0!</v>
      </c>
      <c r="O24" s="72"/>
      <c r="P24" s="82"/>
      <c r="Q24" s="83">
        <v>2</v>
      </c>
    </row>
    <row r="25" spans="2:17" x14ac:dyDescent="0.25">
      <c r="B25" s="90" t="s">
        <v>113</v>
      </c>
      <c r="C25" s="91">
        <f>SUM(C20:C24)</f>
        <v>0</v>
      </c>
      <c r="D25" s="92" t="e">
        <f>SUM(D20:D24)</f>
        <v>#DIV/0!</v>
      </c>
      <c r="E25" s="93" t="e">
        <f>SUM(E20:E24)</f>
        <v>#DIV/0!</v>
      </c>
      <c r="F25" s="94"/>
      <c r="G25" s="94"/>
      <c r="H25" s="94"/>
      <c r="K25" s="90" t="s">
        <v>113</v>
      </c>
      <c r="L25" s="91">
        <f>SUM(L20:L24)</f>
        <v>0</v>
      </c>
      <c r="M25" s="92" t="e">
        <f>SUM(M20:M24)</f>
        <v>#DIV/0!</v>
      </c>
      <c r="N25" s="93" t="e">
        <f>SUM(N20:N24)</f>
        <v>#DIV/0!</v>
      </c>
      <c r="O25" s="90"/>
      <c r="P25" s="94"/>
      <c r="Q25" s="94"/>
    </row>
    <row r="26" spans="2:17" x14ac:dyDescent="0.25">
      <c r="C26" s="84"/>
      <c r="D26" s="85"/>
      <c r="E26" s="86">
        <f>+G25/(340000-H26)</f>
        <v>0</v>
      </c>
      <c r="G26" s="87"/>
      <c r="H26" s="88"/>
      <c r="K26" s="52"/>
    </row>
    <row r="27" spans="2:17" x14ac:dyDescent="0.25">
      <c r="C27" s="84"/>
      <c r="D27" s="85"/>
      <c r="E27" s="86"/>
      <c r="G27" s="87"/>
      <c r="H27" s="88"/>
    </row>
    <row r="28" spans="2:17" x14ac:dyDescent="0.25">
      <c r="C28" s="84"/>
      <c r="D28" s="85"/>
      <c r="E28" s="86"/>
      <c r="G28" s="87"/>
      <c r="H28" s="88"/>
    </row>
    <row r="29" spans="2:17" x14ac:dyDescent="0.25">
      <c r="C29" s="84"/>
      <c r="D29" s="85"/>
      <c r="E29" s="86"/>
      <c r="G29" s="87"/>
      <c r="H29" s="88"/>
      <c r="P29" s="119">
        <f>+O20+P21+P22+P23</f>
        <v>75</v>
      </c>
    </row>
    <row r="30" spans="2:17" x14ac:dyDescent="0.25">
      <c r="C30" s="84"/>
      <c r="D30" s="85"/>
      <c r="E30" s="86"/>
      <c r="G30" s="87"/>
      <c r="H30" s="88"/>
    </row>
    <row r="31" spans="2:17" x14ac:dyDescent="0.25">
      <c r="C31" s="84"/>
      <c r="D31" s="85"/>
      <c r="E31" s="86"/>
      <c r="G31" s="87"/>
      <c r="H31" s="88"/>
    </row>
    <row r="32" spans="2:17" x14ac:dyDescent="0.25">
      <c r="C32" s="84"/>
      <c r="D32" s="85"/>
      <c r="E32" s="86"/>
      <c r="G32" s="87"/>
      <c r="H32" s="88"/>
    </row>
    <row r="33" spans="3:8" x14ac:dyDescent="0.25">
      <c r="C33" s="84"/>
      <c r="D33" s="85"/>
      <c r="E33" s="86"/>
      <c r="G33" s="87"/>
      <c r="H33" s="88"/>
    </row>
    <row r="34" spans="3:8" x14ac:dyDescent="0.25">
      <c r="C34" s="84"/>
      <c r="D34" s="85"/>
      <c r="E34" s="86"/>
      <c r="G34" s="87"/>
      <c r="H34" s="88"/>
    </row>
    <row r="35" spans="3:8" x14ac:dyDescent="0.25">
      <c r="C35" s="84"/>
      <c r="D35" s="85"/>
      <c r="E35" s="86"/>
      <c r="G35" s="87"/>
      <c r="H35" s="88"/>
    </row>
    <row r="36" spans="3:8" x14ac:dyDescent="0.25">
      <c r="C36" s="84"/>
      <c r="D36" s="85"/>
      <c r="E36" s="86"/>
      <c r="G36" s="87"/>
      <c r="H36" s="88"/>
    </row>
    <row r="37" spans="3:8" x14ac:dyDescent="0.25">
      <c r="C37" s="84"/>
      <c r="D37" s="85"/>
      <c r="E37" s="86"/>
      <c r="G37" s="87"/>
      <c r="H37" s="88"/>
    </row>
    <row r="38" spans="3:8" x14ac:dyDescent="0.25">
      <c r="C38" s="84"/>
      <c r="D38" s="85"/>
      <c r="E38" s="86"/>
      <c r="G38" s="87"/>
      <c r="H38" s="88"/>
    </row>
    <row r="39" spans="3:8" x14ac:dyDescent="0.25">
      <c r="C39" s="84"/>
      <c r="D39" s="85"/>
      <c r="E39" s="86"/>
      <c r="G39" s="87"/>
      <c r="H39" s="88"/>
    </row>
    <row r="40" spans="3:8" x14ac:dyDescent="0.25">
      <c r="C40" s="84"/>
      <c r="D40" s="85"/>
      <c r="E40" s="86"/>
      <c r="G40" s="87"/>
      <c r="H40" s="88"/>
    </row>
    <row r="41" spans="3:8" x14ac:dyDescent="0.25">
      <c r="C41" s="84"/>
      <c r="D41" s="85"/>
      <c r="E41" s="86"/>
      <c r="G41" s="87"/>
      <c r="H41" s="88"/>
    </row>
    <row r="42" spans="3:8" x14ac:dyDescent="0.25">
      <c r="C42" s="84"/>
      <c r="D42" s="85"/>
      <c r="E42" s="86"/>
      <c r="G42" s="87"/>
      <c r="H42" s="88"/>
    </row>
    <row r="43" spans="3:8" x14ac:dyDescent="0.25">
      <c r="C43" s="84"/>
      <c r="D43" s="85"/>
      <c r="E43" s="86"/>
      <c r="G43" s="87"/>
      <c r="H43" s="88"/>
    </row>
    <row r="44" spans="3:8" x14ac:dyDescent="0.25">
      <c r="C44" s="84"/>
      <c r="D44" s="85"/>
      <c r="E44" s="86"/>
      <c r="G44" s="87"/>
      <c r="H44" s="88"/>
    </row>
    <row r="45" spans="3:8" x14ac:dyDescent="0.25">
      <c r="C45" s="84"/>
      <c r="D45" s="85"/>
      <c r="E45" s="86"/>
      <c r="G45" s="87"/>
      <c r="H45" s="88"/>
    </row>
    <row r="46" spans="3:8" x14ac:dyDescent="0.25">
      <c r="C46" s="84"/>
      <c r="D46" s="85"/>
      <c r="E46" s="86"/>
      <c r="G46" s="87"/>
      <c r="H46" s="88"/>
    </row>
    <row r="47" spans="3:8" x14ac:dyDescent="0.25">
      <c r="C47" s="84"/>
      <c r="D47" s="85"/>
      <c r="E47" s="86"/>
      <c r="G47" s="87"/>
      <c r="H47" s="88"/>
    </row>
    <row r="48" spans="3:8" x14ac:dyDescent="0.25">
      <c r="C48" s="84"/>
      <c r="D48" s="85"/>
      <c r="E48" s="86"/>
      <c r="G48" s="87"/>
      <c r="H48" s="88"/>
    </row>
    <row r="49" spans="2:8" x14ac:dyDescent="0.25">
      <c r="C49" s="84"/>
      <c r="D49" s="85"/>
      <c r="E49" s="86"/>
      <c r="G49" s="87"/>
      <c r="H49" s="88"/>
    </row>
    <row r="50" spans="2:8" x14ac:dyDescent="0.25">
      <c r="C50" s="52"/>
      <c r="E50" s="52"/>
    </row>
    <row r="52" spans="2:8" ht="15.75" thickBot="1" x14ac:dyDescent="0.3">
      <c r="B52" s="52" t="s">
        <v>120</v>
      </c>
      <c r="G52" s="62"/>
    </row>
    <row r="53" spans="2:8" ht="34.5" thickBot="1" x14ac:dyDescent="0.3">
      <c r="B53" s="63" t="s">
        <v>102</v>
      </c>
      <c r="C53" s="64" t="s">
        <v>98</v>
      </c>
      <c r="D53" s="64" t="s">
        <v>68</v>
      </c>
      <c r="E53" s="65" t="s">
        <v>103</v>
      </c>
      <c r="F53" s="76" t="s">
        <v>107</v>
      </c>
      <c r="G53" s="77" t="s">
        <v>108</v>
      </c>
      <c r="H53" s="77" t="s">
        <v>119</v>
      </c>
    </row>
    <row r="54" spans="2:8" ht="28.5" customHeight="1" x14ac:dyDescent="0.25">
      <c r="B54" s="95" t="s">
        <v>121</v>
      </c>
      <c r="C54" s="66">
        <v>0</v>
      </c>
      <c r="D54" s="67" t="e">
        <f>+C54*100%/C59</f>
        <v>#DIV/0!</v>
      </c>
      <c r="E54" s="68" t="e">
        <f>+C54/C16</f>
        <v>#DIV/0!</v>
      </c>
      <c r="F54" s="69">
        <v>69</v>
      </c>
      <c r="G54" s="78"/>
      <c r="H54" s="75"/>
    </row>
    <row r="55" spans="2:8" ht="25.5" customHeight="1" x14ac:dyDescent="0.25">
      <c r="B55" s="95" t="s">
        <v>122</v>
      </c>
      <c r="C55" s="80">
        <v>0</v>
      </c>
      <c r="D55" s="67" t="e">
        <f>+C55*100%/C59</f>
        <v>#DIV/0!</v>
      </c>
      <c r="E55" s="68" t="e">
        <f>+C55/C16</f>
        <v>#DIV/0!</v>
      </c>
      <c r="F55" s="81"/>
      <c r="G55" s="83">
        <v>3</v>
      </c>
      <c r="H55" s="83"/>
    </row>
    <row r="56" spans="2:8" ht="24.75" customHeight="1" x14ac:dyDescent="0.25">
      <c r="B56" s="97" t="s">
        <v>123</v>
      </c>
      <c r="C56" s="68">
        <v>0</v>
      </c>
      <c r="D56" s="71" t="e">
        <f>+C56*100%/C59</f>
        <v>#DIV/0!</v>
      </c>
      <c r="E56" s="68" t="e">
        <f>+C56/C16</f>
        <v>#DIV/0!</v>
      </c>
      <c r="F56" s="72"/>
      <c r="G56" s="83">
        <v>2</v>
      </c>
      <c r="H56" s="83"/>
    </row>
    <row r="57" spans="2:8" ht="29.25" customHeight="1" x14ac:dyDescent="0.25">
      <c r="B57" s="97" t="s">
        <v>124</v>
      </c>
      <c r="C57" s="68">
        <v>0</v>
      </c>
      <c r="D57" s="71" t="e">
        <f>+C57*100%/C59</f>
        <v>#DIV/0!</v>
      </c>
      <c r="E57" s="68" t="e">
        <f>+C57/C16</f>
        <v>#DIV/0!</v>
      </c>
      <c r="F57" s="72"/>
      <c r="G57" s="83">
        <v>7</v>
      </c>
      <c r="H57" s="83"/>
    </row>
    <row r="58" spans="2:8" ht="22.5" customHeight="1" x14ac:dyDescent="0.25">
      <c r="B58" s="96" t="s">
        <v>125</v>
      </c>
      <c r="C58" s="68">
        <v>0</v>
      </c>
      <c r="D58" s="71" t="e">
        <f>+C58*100%/C59</f>
        <v>#DIV/0!</v>
      </c>
      <c r="E58" s="68" t="e">
        <f>+C58/C16</f>
        <v>#DIV/0!</v>
      </c>
      <c r="F58" s="72"/>
      <c r="G58" s="82"/>
      <c r="H58" s="83">
        <v>2</v>
      </c>
    </row>
    <row r="59" spans="2:8" x14ac:dyDescent="0.25">
      <c r="B59" s="90" t="s">
        <v>113</v>
      </c>
      <c r="C59" s="91">
        <f>SUM(C54:C58)</f>
        <v>0</v>
      </c>
      <c r="D59" s="92" t="e">
        <f>SUM(D54:D58)</f>
        <v>#DIV/0!</v>
      </c>
      <c r="E59" s="93" t="e">
        <f>SUM(E54:E58)</f>
        <v>#DIV/0!</v>
      </c>
      <c r="F59" s="90"/>
      <c r="G59" s="94"/>
      <c r="H59" s="94"/>
    </row>
    <row r="87" spans="2:11" ht="15.75" thickBot="1" x14ac:dyDescent="0.3"/>
    <row r="88" spans="2:11" ht="30" x14ac:dyDescent="0.25">
      <c r="C88" s="128" t="s">
        <v>99</v>
      </c>
      <c r="D88" s="129" t="s">
        <v>100</v>
      </c>
      <c r="E88" s="129" t="s">
        <v>101</v>
      </c>
      <c r="F88" s="130" t="s">
        <v>106</v>
      </c>
    </row>
    <row r="89" spans="2:11" ht="15.75" thickBot="1" x14ac:dyDescent="0.3">
      <c r="C89" s="131">
        <f>+C16</f>
        <v>0</v>
      </c>
      <c r="D89" s="132">
        <f>+D16</f>
        <v>279000</v>
      </c>
      <c r="E89" s="133">
        <f>+C89*D89</f>
        <v>0</v>
      </c>
      <c r="F89" s="134">
        <f>+F16</f>
        <v>77</v>
      </c>
    </row>
    <row r="90" spans="2:11" x14ac:dyDescent="0.25">
      <c r="C90" s="126"/>
      <c r="D90" s="124"/>
      <c r="E90" s="125"/>
      <c r="F90" s="125"/>
      <c r="K90" s="127"/>
    </row>
    <row r="91" spans="2:11" ht="15.75" thickBot="1" x14ac:dyDescent="0.3">
      <c r="C91" s="126"/>
      <c r="D91" s="124"/>
      <c r="E91" s="125"/>
      <c r="F91" s="125"/>
      <c r="K91" s="127"/>
    </row>
    <row r="92" spans="2:11" x14ac:dyDescent="0.25">
      <c r="B92" s="196" t="s">
        <v>148</v>
      </c>
      <c r="C92" s="197"/>
      <c r="D92" s="198"/>
    </row>
    <row r="93" spans="2:11" x14ac:dyDescent="0.25">
      <c r="B93" s="135" t="s">
        <v>149</v>
      </c>
      <c r="C93" s="137">
        <f>+C25</f>
        <v>0</v>
      </c>
      <c r="D93" s="139" t="e">
        <f>+C93/C96</f>
        <v>#DIV/0!</v>
      </c>
    </row>
    <row r="94" spans="2:11" x14ac:dyDescent="0.25">
      <c r="B94" s="135" t="s">
        <v>120</v>
      </c>
      <c r="C94" s="137">
        <f>+C59</f>
        <v>0</v>
      </c>
      <c r="D94" s="139" t="e">
        <f>+C94/C96</f>
        <v>#DIV/0!</v>
      </c>
    </row>
    <row r="95" spans="2:11" ht="15.75" thickBot="1" x14ac:dyDescent="0.3">
      <c r="B95" s="136" t="s">
        <v>114</v>
      </c>
      <c r="C95" s="138">
        <f>+L25</f>
        <v>0</v>
      </c>
      <c r="D95" s="140" t="e">
        <f>+C95/C96</f>
        <v>#DIV/0!</v>
      </c>
    </row>
    <row r="96" spans="2:11" ht="15.75" thickBot="1" x14ac:dyDescent="0.3">
      <c r="B96" s="141" t="s">
        <v>137</v>
      </c>
      <c r="C96" s="142">
        <f>SUM(C93:C95)</f>
        <v>0</v>
      </c>
      <c r="D96" s="143" t="e">
        <f>SUM(D93:D95)</f>
        <v>#DIV/0!</v>
      </c>
    </row>
  </sheetData>
  <autoFilter ref="B19:H26" xr:uid="{00000000-0001-0000-0000-000000000000}"/>
  <mergeCells count="2">
    <mergeCell ref="C13:H13"/>
    <mergeCell ref="B92:D92"/>
  </mergeCells>
  <pageMargins left="0.19685039370078741" right="0.19685039370078741" top="0.19685039370078741" bottom="0.19685039370078741" header="0.31496062992125984" footer="0.31496062992125984"/>
  <pageSetup paperSize="9" scale="70" orientation="landscape" horizontalDpi="0" verticalDpi="0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F899A-B5F5-44D7-B7AC-B24E0386BD2B}">
  <sheetPr>
    <tabColor theme="5" tint="-0.249977111117893"/>
  </sheetPr>
  <dimension ref="B13:Q96"/>
  <sheetViews>
    <sheetView topLeftCell="A46" zoomScale="90" zoomScaleNormal="90" workbookViewId="0">
      <selection activeCell="C59" sqref="C59"/>
    </sheetView>
  </sheetViews>
  <sheetFormatPr baseColWidth="10" defaultColWidth="11" defaultRowHeight="15" x14ac:dyDescent="0.25"/>
  <cols>
    <col min="1" max="1" width="11" style="52"/>
    <col min="2" max="2" width="31.42578125" style="52" customWidth="1"/>
    <col min="3" max="3" width="15.5703125" style="61" customWidth="1"/>
    <col min="4" max="4" width="9.5703125" style="52" customWidth="1"/>
    <col min="5" max="5" width="14" style="62" customWidth="1"/>
    <col min="6" max="6" width="10.85546875" style="52" customWidth="1"/>
    <col min="7" max="8" width="13.28515625" style="52" customWidth="1"/>
    <col min="9" max="9" width="12.42578125" style="52" bestFit="1" customWidth="1"/>
    <col min="10" max="10" width="11" style="52"/>
    <col min="11" max="11" width="33.5703125" style="62" customWidth="1"/>
    <col min="12" max="12" width="19.7109375" style="52" customWidth="1"/>
    <col min="13" max="16384" width="11" style="52"/>
  </cols>
  <sheetData>
    <row r="13" spans="2:8" x14ac:dyDescent="0.25">
      <c r="C13" s="195" t="s">
        <v>104</v>
      </c>
      <c r="D13" s="195"/>
      <c r="E13" s="195"/>
      <c r="F13" s="195"/>
      <c r="G13" s="195"/>
      <c r="H13" s="195"/>
    </row>
    <row r="14" spans="2:8" ht="15.75" thickBot="1" x14ac:dyDescent="0.3">
      <c r="C14" s="53"/>
      <c r="D14" s="53"/>
      <c r="E14" s="53"/>
      <c r="F14" s="53"/>
      <c r="G14" s="53"/>
      <c r="H14" s="53"/>
    </row>
    <row r="15" spans="2:8" ht="30" x14ac:dyDescent="0.25">
      <c r="C15" s="113" t="s">
        <v>99</v>
      </c>
      <c r="D15" s="114" t="s">
        <v>100</v>
      </c>
      <c r="E15" s="114" t="s">
        <v>101</v>
      </c>
      <c r="F15" s="89" t="s">
        <v>106</v>
      </c>
    </row>
    <row r="16" spans="2:8" ht="15.75" thickBot="1" x14ac:dyDescent="0.3">
      <c r="B16" s="56"/>
      <c r="C16" s="115">
        <f>+'PRODUC ACUMULADA'!B12</f>
        <v>0</v>
      </c>
      <c r="D16" s="116">
        <v>275000</v>
      </c>
      <c r="E16" s="117">
        <f>+C16*D16</f>
        <v>0</v>
      </c>
      <c r="F16" s="59">
        <v>86</v>
      </c>
      <c r="G16" s="60"/>
    </row>
    <row r="18" spans="2:17" ht="21.75" thickBot="1" x14ac:dyDescent="0.4">
      <c r="B18" s="98" t="s">
        <v>126</v>
      </c>
      <c r="K18" s="99" t="s">
        <v>114</v>
      </c>
      <c r="L18" s="61"/>
      <c r="N18" s="62"/>
      <c r="P18" s="62"/>
    </row>
    <row r="19" spans="2:17" ht="45.75" thickBot="1" x14ac:dyDescent="0.3">
      <c r="B19" s="63" t="s">
        <v>102</v>
      </c>
      <c r="C19" s="64" t="s">
        <v>98</v>
      </c>
      <c r="D19" s="64" t="s">
        <v>68</v>
      </c>
      <c r="E19" s="65" t="s">
        <v>103</v>
      </c>
      <c r="F19" s="76" t="s">
        <v>107</v>
      </c>
      <c r="G19" s="77" t="s">
        <v>108</v>
      </c>
      <c r="H19" s="77" t="s">
        <v>119</v>
      </c>
      <c r="K19" s="63" t="s">
        <v>102</v>
      </c>
      <c r="L19" s="64" t="s">
        <v>98</v>
      </c>
      <c r="M19" s="64" t="s">
        <v>68</v>
      </c>
      <c r="N19" s="65" t="s">
        <v>103</v>
      </c>
      <c r="O19" s="74" t="s">
        <v>106</v>
      </c>
      <c r="P19" s="76" t="s">
        <v>107</v>
      </c>
      <c r="Q19" s="77" t="s">
        <v>119</v>
      </c>
    </row>
    <row r="20" spans="2:17" x14ac:dyDescent="0.25">
      <c r="B20" s="73" t="s">
        <v>105</v>
      </c>
      <c r="C20" s="66">
        <f>+'RESUMEN 2026'!AU21</f>
        <v>0</v>
      </c>
      <c r="D20" s="67" t="e">
        <f>+C20*100%/C25</f>
        <v>#DIV/0!</v>
      </c>
      <c r="E20" s="68" t="e">
        <f>+C20/C16</f>
        <v>#DIV/0!</v>
      </c>
      <c r="F20" s="78">
        <f>+F16-G21-G22-G23</f>
        <v>75</v>
      </c>
      <c r="G20" s="75"/>
      <c r="H20" s="75"/>
      <c r="K20" s="100" t="s">
        <v>115</v>
      </c>
      <c r="L20" s="66">
        <v>0</v>
      </c>
      <c r="M20" s="67" t="e">
        <f>+L20*100%/L25</f>
        <v>#DIV/0!</v>
      </c>
      <c r="N20" s="68" t="e">
        <f>+L20/C16</f>
        <v>#DIV/0!</v>
      </c>
      <c r="O20" s="118">
        <f>+F20</f>
        <v>75</v>
      </c>
      <c r="P20" s="78"/>
      <c r="Q20" s="75"/>
    </row>
    <row r="21" spans="2:17" x14ac:dyDescent="0.25">
      <c r="B21" s="79" t="s">
        <v>109</v>
      </c>
      <c r="C21" s="80">
        <v>0</v>
      </c>
      <c r="D21" s="67" t="e">
        <f>+C21*100%/C25</f>
        <v>#DIV/0!</v>
      </c>
      <c r="E21" s="68" t="e">
        <f>+C21/C16</f>
        <v>#DIV/0!</v>
      </c>
      <c r="F21" s="82"/>
      <c r="G21" s="83">
        <v>3</v>
      </c>
      <c r="H21" s="83"/>
      <c r="K21" s="100" t="s">
        <v>116</v>
      </c>
      <c r="L21" s="80">
        <v>0</v>
      </c>
      <c r="M21" s="67" t="e">
        <f>+L21*100%/L25</f>
        <v>#DIV/0!</v>
      </c>
      <c r="N21" s="68" t="e">
        <f>+L21/C16</f>
        <v>#DIV/0!</v>
      </c>
      <c r="O21" s="81"/>
      <c r="P21" s="83">
        <v>3</v>
      </c>
      <c r="Q21" s="83"/>
    </row>
    <row r="22" spans="2:17" ht="30" customHeight="1" x14ac:dyDescent="0.25">
      <c r="B22" s="70" t="s">
        <v>110</v>
      </c>
      <c r="C22" s="68">
        <v>0</v>
      </c>
      <c r="D22" s="71" t="e">
        <f>+C22*100%/C25</f>
        <v>#DIV/0!</v>
      </c>
      <c r="E22" s="68" t="e">
        <f>+C22/C16</f>
        <v>#DIV/0!</v>
      </c>
      <c r="F22" s="82"/>
      <c r="G22" s="83">
        <v>2</v>
      </c>
      <c r="H22" s="83"/>
      <c r="K22" s="97" t="s">
        <v>117</v>
      </c>
      <c r="L22" s="68">
        <v>0</v>
      </c>
      <c r="M22" s="71" t="e">
        <f>+L22*100%/L25</f>
        <v>#DIV/0!</v>
      </c>
      <c r="N22" s="68" t="e">
        <f>+L22/C16</f>
        <v>#DIV/0!</v>
      </c>
      <c r="O22" s="72"/>
      <c r="P22" s="83">
        <v>2</v>
      </c>
      <c r="Q22" s="83"/>
    </row>
    <row r="23" spans="2:17" x14ac:dyDescent="0.25">
      <c r="B23" s="70" t="s">
        <v>111</v>
      </c>
      <c r="C23" s="68">
        <v>0</v>
      </c>
      <c r="D23" s="71" t="e">
        <f>+C23*100%/C25</f>
        <v>#DIV/0!</v>
      </c>
      <c r="E23" s="68" t="e">
        <f>+C23/C16</f>
        <v>#DIV/0!</v>
      </c>
      <c r="F23" s="82"/>
      <c r="G23" s="83">
        <v>6</v>
      </c>
      <c r="H23" s="83"/>
      <c r="K23" s="96" t="s">
        <v>118</v>
      </c>
      <c r="L23" s="68">
        <v>0</v>
      </c>
      <c r="M23" s="71" t="e">
        <f>+L23*100%/L25</f>
        <v>#DIV/0!</v>
      </c>
      <c r="N23" s="68" t="e">
        <f>+L23/C16</f>
        <v>#DIV/0!</v>
      </c>
      <c r="O23" s="72"/>
      <c r="P23" s="83">
        <v>6</v>
      </c>
      <c r="Q23" s="83"/>
    </row>
    <row r="24" spans="2:17" x14ac:dyDescent="0.25">
      <c r="B24" s="70" t="s">
        <v>112</v>
      </c>
      <c r="C24" s="68">
        <v>0</v>
      </c>
      <c r="D24" s="71" t="e">
        <f>+C24*100%/C25</f>
        <v>#DIV/0!</v>
      </c>
      <c r="E24" s="68" t="e">
        <f>+C24/C16</f>
        <v>#DIV/0!</v>
      </c>
      <c r="F24" s="82"/>
      <c r="G24" s="83"/>
      <c r="H24" s="83">
        <v>2</v>
      </c>
      <c r="K24" s="96" t="s">
        <v>112</v>
      </c>
      <c r="L24" s="68">
        <v>0</v>
      </c>
      <c r="M24" s="71" t="e">
        <f>+L24*100%/L25</f>
        <v>#DIV/0!</v>
      </c>
      <c r="N24" s="68" t="e">
        <f>+L24/C16</f>
        <v>#DIV/0!</v>
      </c>
      <c r="O24" s="72"/>
      <c r="P24" s="82"/>
      <c r="Q24" s="83">
        <v>2</v>
      </c>
    </row>
    <row r="25" spans="2:17" x14ac:dyDescent="0.25">
      <c r="B25" s="90" t="s">
        <v>113</v>
      </c>
      <c r="C25" s="91">
        <f>SUM(C20:C24)</f>
        <v>0</v>
      </c>
      <c r="D25" s="92" t="e">
        <f>SUM(D20:D24)</f>
        <v>#DIV/0!</v>
      </c>
      <c r="E25" s="93" t="e">
        <f>SUM(E20:E24)</f>
        <v>#DIV/0!</v>
      </c>
      <c r="F25" s="94"/>
      <c r="G25" s="94"/>
      <c r="H25" s="94"/>
      <c r="K25" s="90" t="s">
        <v>113</v>
      </c>
      <c r="L25" s="91">
        <f>SUM(L20:L24)</f>
        <v>0</v>
      </c>
      <c r="M25" s="92" t="e">
        <f>SUM(M20:M24)</f>
        <v>#DIV/0!</v>
      </c>
      <c r="N25" s="93" t="e">
        <f>SUM(N20:N24)</f>
        <v>#DIV/0!</v>
      </c>
      <c r="O25" s="90"/>
      <c r="P25" s="94"/>
      <c r="Q25" s="94"/>
    </row>
    <row r="26" spans="2:17" x14ac:dyDescent="0.25">
      <c r="C26" s="84"/>
      <c r="D26" s="85"/>
      <c r="E26" s="86">
        <f>+G25/(340000-H26)</f>
        <v>0</v>
      </c>
      <c r="G26" s="87"/>
      <c r="H26" s="88"/>
      <c r="K26" s="52"/>
    </row>
    <row r="27" spans="2:17" x14ac:dyDescent="0.25">
      <c r="C27" s="84"/>
      <c r="D27" s="85"/>
      <c r="E27" s="86"/>
      <c r="G27" s="87"/>
      <c r="H27" s="88"/>
    </row>
    <row r="28" spans="2:17" x14ac:dyDescent="0.25">
      <c r="C28" s="84"/>
      <c r="D28" s="85"/>
      <c r="E28" s="86"/>
      <c r="G28" s="87"/>
      <c r="H28" s="88"/>
    </row>
    <row r="29" spans="2:17" x14ac:dyDescent="0.25">
      <c r="C29" s="84"/>
      <c r="D29" s="85"/>
      <c r="E29" s="86"/>
      <c r="G29" s="87"/>
      <c r="H29" s="88"/>
      <c r="P29" s="119"/>
    </row>
    <row r="30" spans="2:17" x14ac:dyDescent="0.25">
      <c r="C30" s="84"/>
      <c r="D30" s="85"/>
      <c r="E30" s="86"/>
      <c r="G30" s="87"/>
      <c r="H30" s="88"/>
    </row>
    <row r="31" spans="2:17" x14ac:dyDescent="0.25">
      <c r="C31" s="84"/>
      <c r="D31" s="85"/>
      <c r="E31" s="86"/>
      <c r="G31" s="87"/>
      <c r="H31" s="88"/>
    </row>
    <row r="32" spans="2:17" x14ac:dyDescent="0.25">
      <c r="C32" s="84"/>
      <c r="D32" s="85"/>
      <c r="E32" s="86"/>
      <c r="G32" s="87"/>
      <c r="H32" s="88"/>
      <c r="Q32" s="119">
        <f>+O20+P21+P22+P23</f>
        <v>86</v>
      </c>
    </row>
    <row r="33" spans="3:8" x14ac:dyDescent="0.25">
      <c r="C33" s="84"/>
      <c r="D33" s="85"/>
      <c r="E33" s="86"/>
      <c r="G33" s="87"/>
      <c r="H33" s="88"/>
    </row>
    <row r="34" spans="3:8" x14ac:dyDescent="0.25">
      <c r="C34" s="84"/>
      <c r="D34" s="85"/>
      <c r="E34" s="86"/>
      <c r="G34" s="87"/>
      <c r="H34" s="88"/>
    </row>
    <row r="35" spans="3:8" x14ac:dyDescent="0.25">
      <c r="C35" s="84"/>
      <c r="D35" s="85"/>
      <c r="E35" s="86"/>
      <c r="G35" s="87"/>
      <c r="H35" s="88"/>
    </row>
    <row r="36" spans="3:8" x14ac:dyDescent="0.25">
      <c r="C36" s="84"/>
      <c r="D36" s="85"/>
      <c r="E36" s="86"/>
      <c r="G36" s="87"/>
      <c r="H36" s="88"/>
    </row>
    <row r="37" spans="3:8" x14ac:dyDescent="0.25">
      <c r="C37" s="84"/>
      <c r="D37" s="85"/>
      <c r="E37" s="86"/>
      <c r="G37" s="87"/>
      <c r="H37" s="88"/>
    </row>
    <row r="38" spans="3:8" x14ac:dyDescent="0.25">
      <c r="C38" s="84"/>
      <c r="D38" s="85"/>
      <c r="E38" s="86"/>
      <c r="G38" s="87"/>
      <c r="H38" s="88"/>
    </row>
    <row r="39" spans="3:8" x14ac:dyDescent="0.25">
      <c r="C39" s="84"/>
      <c r="D39" s="85"/>
      <c r="E39" s="86"/>
      <c r="G39" s="87"/>
      <c r="H39" s="88"/>
    </row>
    <row r="40" spans="3:8" x14ac:dyDescent="0.25">
      <c r="C40" s="84"/>
      <c r="D40" s="85"/>
      <c r="E40" s="86"/>
      <c r="G40" s="87"/>
      <c r="H40" s="88"/>
    </row>
    <row r="41" spans="3:8" x14ac:dyDescent="0.25">
      <c r="C41" s="84"/>
      <c r="D41" s="85"/>
      <c r="E41" s="86"/>
      <c r="G41" s="87"/>
      <c r="H41" s="88"/>
    </row>
    <row r="42" spans="3:8" x14ac:dyDescent="0.25">
      <c r="C42" s="84"/>
      <c r="D42" s="85"/>
      <c r="E42" s="86"/>
      <c r="G42" s="87"/>
      <c r="H42" s="88"/>
    </row>
    <row r="43" spans="3:8" x14ac:dyDescent="0.25">
      <c r="C43" s="84"/>
      <c r="D43" s="85"/>
      <c r="E43" s="86"/>
      <c r="G43" s="87"/>
      <c r="H43" s="88"/>
    </row>
    <row r="44" spans="3:8" x14ac:dyDescent="0.25">
      <c r="C44" s="84"/>
      <c r="D44" s="85"/>
      <c r="E44" s="86"/>
      <c r="G44" s="87"/>
      <c r="H44" s="88"/>
    </row>
    <row r="45" spans="3:8" x14ac:dyDescent="0.25">
      <c r="C45" s="84"/>
      <c r="D45" s="85"/>
      <c r="E45" s="86"/>
      <c r="G45" s="87"/>
      <c r="H45" s="88"/>
    </row>
    <row r="46" spans="3:8" x14ac:dyDescent="0.25">
      <c r="C46" s="84"/>
      <c r="D46" s="85"/>
      <c r="E46" s="86"/>
      <c r="G46" s="87"/>
      <c r="H46" s="88"/>
    </row>
    <row r="47" spans="3:8" x14ac:dyDescent="0.25">
      <c r="C47" s="84"/>
      <c r="D47" s="85"/>
      <c r="E47" s="86"/>
      <c r="G47" s="87"/>
      <c r="H47" s="88"/>
    </row>
    <row r="48" spans="3:8" x14ac:dyDescent="0.25">
      <c r="C48" s="84"/>
      <c r="D48" s="85"/>
      <c r="E48" s="86"/>
      <c r="G48" s="87"/>
      <c r="H48" s="88"/>
    </row>
    <row r="49" spans="2:8" x14ac:dyDescent="0.25">
      <c r="C49" s="84"/>
      <c r="D49" s="85"/>
      <c r="E49" s="86"/>
      <c r="G49" s="87"/>
      <c r="H49" s="88"/>
    </row>
    <row r="50" spans="2:8" x14ac:dyDescent="0.25">
      <c r="C50" s="52"/>
      <c r="E50" s="52"/>
    </row>
    <row r="52" spans="2:8" ht="15.75" thickBot="1" x14ac:dyDescent="0.3">
      <c r="B52" s="52" t="s">
        <v>120</v>
      </c>
      <c r="G52" s="62"/>
    </row>
    <row r="53" spans="2:8" ht="34.5" thickBot="1" x14ac:dyDescent="0.3">
      <c r="B53" s="63" t="s">
        <v>102</v>
      </c>
      <c r="C53" s="64" t="s">
        <v>98</v>
      </c>
      <c r="D53" s="64" t="s">
        <v>68</v>
      </c>
      <c r="E53" s="65" t="s">
        <v>103</v>
      </c>
      <c r="F53" s="76" t="s">
        <v>107</v>
      </c>
      <c r="G53" s="77" t="s">
        <v>108</v>
      </c>
      <c r="H53" s="77" t="s">
        <v>119</v>
      </c>
    </row>
    <row r="54" spans="2:8" ht="28.5" customHeight="1" x14ac:dyDescent="0.25">
      <c r="B54" s="95" t="s">
        <v>121</v>
      </c>
      <c r="C54" s="66">
        <v>0</v>
      </c>
      <c r="D54" s="67" t="e">
        <f>+C54*100%/C59</f>
        <v>#DIV/0!</v>
      </c>
      <c r="E54" s="68" t="e">
        <f>+C54/C16</f>
        <v>#DIV/0!</v>
      </c>
      <c r="F54" s="118">
        <f>+F20</f>
        <v>75</v>
      </c>
      <c r="G54" s="78"/>
      <c r="H54" s="75"/>
    </row>
    <row r="55" spans="2:8" ht="25.5" customHeight="1" x14ac:dyDescent="0.25">
      <c r="B55" s="95" t="s">
        <v>122</v>
      </c>
      <c r="C55" s="80">
        <v>0</v>
      </c>
      <c r="D55" s="67" t="e">
        <f>+C55*100%/C59</f>
        <v>#DIV/0!</v>
      </c>
      <c r="E55" s="68" t="e">
        <f>+C55/C16</f>
        <v>#DIV/0!</v>
      </c>
      <c r="F55" s="81"/>
      <c r="G55" s="83">
        <v>3</v>
      </c>
      <c r="H55" s="83"/>
    </row>
    <row r="56" spans="2:8" ht="24.75" customHeight="1" x14ac:dyDescent="0.25">
      <c r="B56" s="97" t="s">
        <v>123</v>
      </c>
      <c r="C56" s="68">
        <v>0</v>
      </c>
      <c r="D56" s="71" t="e">
        <f>+C56*100%/C59</f>
        <v>#DIV/0!</v>
      </c>
      <c r="E56" s="68" t="e">
        <f>+C56/C16</f>
        <v>#DIV/0!</v>
      </c>
      <c r="F56" s="72"/>
      <c r="G56" s="83">
        <v>2</v>
      </c>
      <c r="H56" s="83"/>
    </row>
    <row r="57" spans="2:8" ht="29.25" customHeight="1" x14ac:dyDescent="0.25">
      <c r="B57" s="97" t="s">
        <v>124</v>
      </c>
      <c r="C57" s="68">
        <v>0</v>
      </c>
      <c r="D57" s="71" t="e">
        <f>+C57*100%/C59</f>
        <v>#DIV/0!</v>
      </c>
      <c r="E57" s="68" t="e">
        <f>+C57/C16</f>
        <v>#DIV/0!</v>
      </c>
      <c r="F57" s="72"/>
      <c r="G57" s="83">
        <v>6</v>
      </c>
      <c r="H57" s="83"/>
    </row>
    <row r="58" spans="2:8" ht="22.5" customHeight="1" x14ac:dyDescent="0.25">
      <c r="B58" s="96" t="s">
        <v>125</v>
      </c>
      <c r="C58" s="68">
        <v>0</v>
      </c>
      <c r="D58" s="71" t="e">
        <f>+C58*100%/C59</f>
        <v>#DIV/0!</v>
      </c>
      <c r="E58" s="68" t="e">
        <f>+C58/C16</f>
        <v>#DIV/0!</v>
      </c>
      <c r="F58" s="72"/>
      <c r="G58" s="82"/>
      <c r="H58" s="83">
        <v>2</v>
      </c>
    </row>
    <row r="59" spans="2:8" x14ac:dyDescent="0.25">
      <c r="B59" s="90" t="s">
        <v>113</v>
      </c>
      <c r="C59" s="91">
        <f>SUM(C54:C58)</f>
        <v>0</v>
      </c>
      <c r="D59" s="92" t="e">
        <f>SUM(D54:D58)</f>
        <v>#DIV/0!</v>
      </c>
      <c r="E59" s="93" t="e">
        <f>SUM(E54:E58)</f>
        <v>#DIV/0!</v>
      </c>
      <c r="F59" s="90"/>
      <c r="G59" s="94"/>
      <c r="H59" s="94"/>
    </row>
    <row r="87" spans="2:11" ht="15.75" thickBot="1" x14ac:dyDescent="0.3"/>
    <row r="88" spans="2:11" ht="30" x14ac:dyDescent="0.25">
      <c r="C88" s="128" t="s">
        <v>99</v>
      </c>
      <c r="D88" s="129" t="s">
        <v>100</v>
      </c>
      <c r="E88" s="129" t="s">
        <v>101</v>
      </c>
      <c r="F88" s="130" t="s">
        <v>106</v>
      </c>
    </row>
    <row r="89" spans="2:11" ht="15.75" thickBot="1" x14ac:dyDescent="0.3">
      <c r="C89" s="131">
        <f>+C16</f>
        <v>0</v>
      </c>
      <c r="D89" s="132">
        <f>+D16</f>
        <v>275000</v>
      </c>
      <c r="E89" s="133">
        <f>+C89*D89</f>
        <v>0</v>
      </c>
      <c r="F89" s="134">
        <f>+F16</f>
        <v>86</v>
      </c>
    </row>
    <row r="90" spans="2:11" x14ac:dyDescent="0.25">
      <c r="C90" s="126"/>
      <c r="D90" s="124"/>
      <c r="E90" s="125"/>
      <c r="F90" s="125"/>
      <c r="K90" s="127"/>
    </row>
    <row r="91" spans="2:11" ht="15.75" thickBot="1" x14ac:dyDescent="0.3">
      <c r="C91" s="126"/>
      <c r="D91" s="124"/>
      <c r="E91" s="125"/>
      <c r="F91" s="125"/>
      <c r="K91" s="127"/>
    </row>
    <row r="92" spans="2:11" x14ac:dyDescent="0.25">
      <c r="B92" s="196" t="s">
        <v>150</v>
      </c>
      <c r="C92" s="197"/>
      <c r="D92" s="198"/>
    </row>
    <row r="93" spans="2:11" x14ac:dyDescent="0.25">
      <c r="B93" s="135" t="s">
        <v>151</v>
      </c>
      <c r="C93" s="137">
        <f>+C25</f>
        <v>0</v>
      </c>
      <c r="D93" s="139" t="e">
        <f>+C93/C96</f>
        <v>#DIV/0!</v>
      </c>
    </row>
    <row r="94" spans="2:11" x14ac:dyDescent="0.25">
      <c r="B94" s="135" t="s">
        <v>120</v>
      </c>
      <c r="C94" s="137">
        <f>+C59</f>
        <v>0</v>
      </c>
      <c r="D94" s="139" t="e">
        <f>+C94/C96</f>
        <v>#DIV/0!</v>
      </c>
    </row>
    <row r="95" spans="2:11" ht="15.75" thickBot="1" x14ac:dyDescent="0.3">
      <c r="B95" s="136" t="s">
        <v>114</v>
      </c>
      <c r="C95" s="138">
        <f>+L25</f>
        <v>0</v>
      </c>
      <c r="D95" s="140" t="e">
        <f>+C95/C96</f>
        <v>#DIV/0!</v>
      </c>
    </row>
    <row r="96" spans="2:11" ht="15.75" thickBot="1" x14ac:dyDescent="0.3">
      <c r="B96" s="141" t="s">
        <v>137</v>
      </c>
      <c r="C96" s="142">
        <f>SUM(C93:C95)</f>
        <v>0</v>
      </c>
      <c r="D96" s="143" t="e">
        <f>SUM(D93:D95)</f>
        <v>#DIV/0!</v>
      </c>
    </row>
  </sheetData>
  <autoFilter ref="B19:H26" xr:uid="{00000000-0001-0000-0000-000000000000}"/>
  <mergeCells count="2">
    <mergeCell ref="C13:H13"/>
    <mergeCell ref="B92:D92"/>
  </mergeCells>
  <pageMargins left="0.19685039370078741" right="0.19685039370078741" top="0.19685039370078741" bottom="0.19685039370078741" header="0.31496062992125984" footer="0.31496062992125984"/>
  <pageSetup paperSize="9" scale="70" orientation="landscape" horizontalDpi="0" verticalDpi="0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A2BB5-A3FB-4A85-9ACA-C43E5E071A8B}">
  <sheetPr>
    <tabColor theme="5" tint="-0.249977111117893"/>
  </sheetPr>
  <dimension ref="B13:Q96"/>
  <sheetViews>
    <sheetView topLeftCell="A61" zoomScale="90" zoomScaleNormal="90" workbookViewId="0">
      <selection activeCell="C59" sqref="C59"/>
    </sheetView>
  </sheetViews>
  <sheetFormatPr baseColWidth="10" defaultColWidth="11" defaultRowHeight="15" x14ac:dyDescent="0.25"/>
  <cols>
    <col min="1" max="1" width="11" style="52"/>
    <col min="2" max="2" width="31.42578125" style="52" customWidth="1"/>
    <col min="3" max="3" width="15.5703125" style="61" customWidth="1"/>
    <col min="4" max="4" width="9.5703125" style="52" customWidth="1"/>
    <col min="5" max="5" width="14" style="62" customWidth="1"/>
    <col min="6" max="6" width="10.85546875" style="52" customWidth="1"/>
    <col min="7" max="7" width="14" style="52" customWidth="1"/>
    <col min="8" max="8" width="13.28515625" style="52" customWidth="1"/>
    <col min="9" max="9" width="12.42578125" style="52" bestFit="1" customWidth="1"/>
    <col min="10" max="10" width="11" style="52"/>
    <col min="11" max="11" width="33.5703125" style="62" customWidth="1"/>
    <col min="12" max="12" width="19.7109375" style="52" customWidth="1"/>
    <col min="13" max="16384" width="11" style="52"/>
  </cols>
  <sheetData>
    <row r="13" spans="2:8" x14ac:dyDescent="0.25">
      <c r="C13" s="195" t="s">
        <v>104</v>
      </c>
      <c r="D13" s="195"/>
      <c r="E13" s="195"/>
      <c r="F13" s="195"/>
      <c r="G13" s="195"/>
      <c r="H13" s="195"/>
    </row>
    <row r="14" spans="2:8" ht="15.75" thickBot="1" x14ac:dyDescent="0.3">
      <c r="C14" s="53"/>
      <c r="D14" s="53"/>
      <c r="E14" s="53"/>
      <c r="F14" s="53"/>
      <c r="G14" s="53"/>
      <c r="H14" s="53"/>
    </row>
    <row r="15" spans="2:8" ht="30" x14ac:dyDescent="0.25">
      <c r="C15" s="113" t="s">
        <v>99</v>
      </c>
      <c r="D15" s="114" t="s">
        <v>100</v>
      </c>
      <c r="E15" s="114" t="s">
        <v>101</v>
      </c>
      <c r="F15" s="89" t="s">
        <v>106</v>
      </c>
    </row>
    <row r="16" spans="2:8" ht="15.75" thickBot="1" x14ac:dyDescent="0.3">
      <c r="B16" s="56"/>
      <c r="C16" s="115">
        <f>+'PRODUC ACUMULADA'!B13</f>
        <v>0</v>
      </c>
      <c r="D16" s="116">
        <v>275000</v>
      </c>
      <c r="E16" s="117">
        <f>+C16*D16</f>
        <v>0</v>
      </c>
      <c r="F16" s="59">
        <v>88</v>
      </c>
      <c r="G16" s="60"/>
    </row>
    <row r="18" spans="2:17" ht="21.75" thickBot="1" x14ac:dyDescent="0.4">
      <c r="B18" s="98" t="s">
        <v>126</v>
      </c>
      <c r="K18" s="99" t="s">
        <v>114</v>
      </c>
      <c r="L18" s="61"/>
      <c r="N18" s="62"/>
      <c r="P18" s="62"/>
    </row>
    <row r="19" spans="2:17" ht="45.75" thickBot="1" x14ac:dyDescent="0.3">
      <c r="B19" s="63" t="s">
        <v>102</v>
      </c>
      <c r="C19" s="64" t="s">
        <v>98</v>
      </c>
      <c r="D19" s="64" t="s">
        <v>68</v>
      </c>
      <c r="E19" s="65" t="s">
        <v>103</v>
      </c>
      <c r="F19" s="76" t="s">
        <v>107</v>
      </c>
      <c r="G19" s="77" t="s">
        <v>108</v>
      </c>
      <c r="H19" s="77" t="s">
        <v>119</v>
      </c>
      <c r="K19" s="63" t="s">
        <v>102</v>
      </c>
      <c r="L19" s="64" t="s">
        <v>98</v>
      </c>
      <c r="M19" s="64" t="s">
        <v>68</v>
      </c>
      <c r="N19" s="65" t="s">
        <v>103</v>
      </c>
      <c r="O19" s="74" t="s">
        <v>106</v>
      </c>
      <c r="P19" s="76" t="s">
        <v>107</v>
      </c>
      <c r="Q19" s="77" t="s">
        <v>119</v>
      </c>
    </row>
    <row r="20" spans="2:17" x14ac:dyDescent="0.25">
      <c r="B20" s="73" t="s">
        <v>105</v>
      </c>
      <c r="C20" s="66">
        <f>+'RESUMEN 2026'!AM18</f>
        <v>0</v>
      </c>
      <c r="D20" s="67" t="e">
        <f>+C20*100%/C25</f>
        <v>#DIV/0!</v>
      </c>
      <c r="E20" s="68" t="e">
        <f>+C20/C16</f>
        <v>#DIV/0!</v>
      </c>
      <c r="F20" s="78">
        <f>+F16-G21-G22-G23-H24</f>
        <v>75</v>
      </c>
      <c r="G20" s="75"/>
      <c r="H20" s="75"/>
      <c r="K20" s="100" t="s">
        <v>115</v>
      </c>
      <c r="L20" s="66">
        <v>0</v>
      </c>
      <c r="M20" s="67" t="e">
        <f>+L20*100%/L25</f>
        <v>#DIV/0!</v>
      </c>
      <c r="N20" s="68" t="e">
        <f>+L20/C16</f>
        <v>#DIV/0!</v>
      </c>
      <c r="O20" s="118">
        <f>+F20</f>
        <v>75</v>
      </c>
      <c r="P20" s="78"/>
      <c r="Q20" s="75"/>
    </row>
    <row r="21" spans="2:17" x14ac:dyDescent="0.25">
      <c r="B21" s="79" t="s">
        <v>109</v>
      </c>
      <c r="C21" s="80">
        <v>0</v>
      </c>
      <c r="D21" s="67" t="e">
        <f>+C21*100%/C25</f>
        <v>#DIV/0!</v>
      </c>
      <c r="E21" s="68" t="e">
        <f>+C21/C16</f>
        <v>#DIV/0!</v>
      </c>
      <c r="F21" s="82"/>
      <c r="G21" s="83">
        <v>3</v>
      </c>
      <c r="H21" s="83"/>
      <c r="K21" s="100" t="s">
        <v>116</v>
      </c>
      <c r="L21" s="80">
        <v>0</v>
      </c>
      <c r="M21" s="67" t="e">
        <f>+L21*100%/L25</f>
        <v>#DIV/0!</v>
      </c>
      <c r="N21" s="68" t="e">
        <f>+L21/C16</f>
        <v>#DIV/0!</v>
      </c>
      <c r="O21" s="81"/>
      <c r="P21" s="83">
        <v>3</v>
      </c>
      <c r="Q21" s="83"/>
    </row>
    <row r="22" spans="2:17" ht="30" customHeight="1" x14ac:dyDescent="0.25">
      <c r="B22" s="70" t="s">
        <v>110</v>
      </c>
      <c r="C22" s="68">
        <v>0</v>
      </c>
      <c r="D22" s="71" t="e">
        <f>+C22*100%/C25</f>
        <v>#DIV/0!</v>
      </c>
      <c r="E22" s="68" t="e">
        <f>+C22/C16</f>
        <v>#DIV/0!</v>
      </c>
      <c r="F22" s="82"/>
      <c r="G22" s="83">
        <v>2</v>
      </c>
      <c r="H22" s="83"/>
      <c r="K22" s="97" t="s">
        <v>117</v>
      </c>
      <c r="L22" s="68">
        <v>0</v>
      </c>
      <c r="M22" s="71" t="e">
        <f>+L22*100%/L25</f>
        <v>#DIV/0!</v>
      </c>
      <c r="N22" s="68" t="e">
        <f>+L22/C16</f>
        <v>#DIV/0!</v>
      </c>
      <c r="O22" s="72"/>
      <c r="P22" s="83">
        <v>2</v>
      </c>
      <c r="Q22" s="83"/>
    </row>
    <row r="23" spans="2:17" x14ac:dyDescent="0.25">
      <c r="B23" s="70" t="s">
        <v>111</v>
      </c>
      <c r="C23" s="68">
        <v>0</v>
      </c>
      <c r="D23" s="71" t="e">
        <f>+C23*100%/C25</f>
        <v>#DIV/0!</v>
      </c>
      <c r="E23" s="68" t="e">
        <f>+C23/C16</f>
        <v>#DIV/0!</v>
      </c>
      <c r="F23" s="82"/>
      <c r="G23" s="83">
        <v>6</v>
      </c>
      <c r="H23" s="83"/>
      <c r="K23" s="96" t="s">
        <v>118</v>
      </c>
      <c r="L23" s="68">
        <v>0</v>
      </c>
      <c r="M23" s="71" t="e">
        <f>+L23*100%/L25</f>
        <v>#DIV/0!</v>
      </c>
      <c r="N23" s="68" t="e">
        <f>+L23/C16</f>
        <v>#DIV/0!</v>
      </c>
      <c r="O23" s="72"/>
      <c r="P23" s="83">
        <v>6</v>
      </c>
      <c r="Q23" s="83"/>
    </row>
    <row r="24" spans="2:17" x14ac:dyDescent="0.25">
      <c r="B24" s="70" t="s">
        <v>112</v>
      </c>
      <c r="C24" s="68">
        <v>0</v>
      </c>
      <c r="D24" s="71" t="e">
        <f>+C24*100%/C25</f>
        <v>#DIV/0!</v>
      </c>
      <c r="E24" s="68" t="e">
        <f>+C24/C16</f>
        <v>#DIV/0!</v>
      </c>
      <c r="F24" s="82"/>
      <c r="G24" s="83"/>
      <c r="H24" s="83">
        <v>2</v>
      </c>
      <c r="K24" s="96" t="s">
        <v>112</v>
      </c>
      <c r="L24" s="68">
        <v>0</v>
      </c>
      <c r="M24" s="71" t="e">
        <f>+L24*100%/L25</f>
        <v>#DIV/0!</v>
      </c>
      <c r="N24" s="68" t="e">
        <f>+L24/C16</f>
        <v>#DIV/0!</v>
      </c>
      <c r="O24" s="72"/>
      <c r="P24" s="82"/>
      <c r="Q24" s="83">
        <v>2</v>
      </c>
    </row>
    <row r="25" spans="2:17" x14ac:dyDescent="0.25">
      <c r="B25" s="90" t="s">
        <v>113</v>
      </c>
      <c r="C25" s="91">
        <f>SUM(C20:C24)</f>
        <v>0</v>
      </c>
      <c r="D25" s="92" t="e">
        <f>SUM(D20:D24)</f>
        <v>#DIV/0!</v>
      </c>
      <c r="E25" s="93" t="e">
        <f>SUM(E20:E24)</f>
        <v>#DIV/0!</v>
      </c>
      <c r="F25" s="94"/>
      <c r="G25" s="94"/>
      <c r="H25" s="94"/>
      <c r="K25" s="90" t="s">
        <v>113</v>
      </c>
      <c r="L25" s="91">
        <f>SUM(L20:L24)</f>
        <v>0</v>
      </c>
      <c r="M25" s="92" t="e">
        <f>SUM(M20:M24)</f>
        <v>#DIV/0!</v>
      </c>
      <c r="N25" s="93" t="e">
        <f>SUM(N20:N24)</f>
        <v>#DIV/0!</v>
      </c>
      <c r="O25" s="90"/>
      <c r="P25" s="94"/>
      <c r="Q25" s="94"/>
    </row>
    <row r="26" spans="2:17" x14ac:dyDescent="0.25">
      <c r="C26" s="84"/>
      <c r="D26" s="85"/>
      <c r="E26" s="86">
        <f>+G25/(340000-H26)</f>
        <v>0</v>
      </c>
      <c r="G26" s="87"/>
      <c r="H26" s="88"/>
      <c r="K26" s="52"/>
    </row>
    <row r="27" spans="2:17" x14ac:dyDescent="0.25">
      <c r="C27" s="84"/>
      <c r="D27" s="85"/>
      <c r="E27" s="86"/>
      <c r="G27" s="87"/>
      <c r="H27" s="88"/>
    </row>
    <row r="28" spans="2:17" x14ac:dyDescent="0.25">
      <c r="C28" s="84"/>
      <c r="D28" s="85"/>
      <c r="E28" s="86"/>
      <c r="G28" s="87"/>
      <c r="H28" s="88"/>
    </row>
    <row r="29" spans="2:17" x14ac:dyDescent="0.25">
      <c r="C29" s="84"/>
      <c r="D29" s="85"/>
      <c r="E29" s="86"/>
      <c r="G29" s="87"/>
      <c r="H29" s="88"/>
      <c r="P29" s="119">
        <f>+O20+P21+P22+P23</f>
        <v>86</v>
      </c>
    </row>
    <row r="30" spans="2:17" x14ac:dyDescent="0.25">
      <c r="C30" s="84"/>
      <c r="D30" s="85"/>
      <c r="E30" s="86"/>
      <c r="G30" s="87"/>
      <c r="H30" s="88"/>
    </row>
    <row r="31" spans="2:17" x14ac:dyDescent="0.25">
      <c r="C31" s="84"/>
      <c r="D31" s="85"/>
      <c r="E31" s="86"/>
      <c r="G31" s="87"/>
      <c r="H31" s="88"/>
    </row>
    <row r="32" spans="2:17" x14ac:dyDescent="0.25">
      <c r="C32" s="84"/>
      <c r="D32" s="85"/>
      <c r="E32" s="86"/>
      <c r="G32" s="87"/>
      <c r="H32" s="88"/>
    </row>
    <row r="33" spans="3:8" x14ac:dyDescent="0.25">
      <c r="C33" s="84"/>
      <c r="D33" s="85"/>
      <c r="E33" s="86"/>
      <c r="G33" s="87"/>
      <c r="H33" s="88"/>
    </row>
    <row r="34" spans="3:8" x14ac:dyDescent="0.25">
      <c r="C34" s="84"/>
      <c r="D34" s="85"/>
      <c r="E34" s="86"/>
      <c r="G34" s="87"/>
      <c r="H34" s="88"/>
    </row>
    <row r="35" spans="3:8" x14ac:dyDescent="0.25">
      <c r="C35" s="84"/>
      <c r="D35" s="85"/>
      <c r="E35" s="86"/>
      <c r="G35" s="87"/>
      <c r="H35" s="88"/>
    </row>
    <row r="36" spans="3:8" x14ac:dyDescent="0.25">
      <c r="C36" s="84"/>
      <c r="D36" s="85"/>
      <c r="E36" s="86"/>
      <c r="G36" s="87"/>
      <c r="H36" s="88"/>
    </row>
    <row r="37" spans="3:8" x14ac:dyDescent="0.25">
      <c r="C37" s="84"/>
      <c r="D37" s="85"/>
      <c r="E37" s="86"/>
      <c r="G37" s="87"/>
      <c r="H37" s="88"/>
    </row>
    <row r="38" spans="3:8" x14ac:dyDescent="0.25">
      <c r="C38" s="84"/>
      <c r="D38" s="85"/>
      <c r="E38" s="86"/>
      <c r="G38" s="87"/>
      <c r="H38" s="88"/>
    </row>
    <row r="39" spans="3:8" x14ac:dyDescent="0.25">
      <c r="C39" s="84"/>
      <c r="D39" s="85"/>
      <c r="E39" s="86"/>
      <c r="G39" s="87"/>
      <c r="H39" s="88"/>
    </row>
    <row r="40" spans="3:8" x14ac:dyDescent="0.25">
      <c r="C40" s="84"/>
      <c r="D40" s="85"/>
      <c r="E40" s="86"/>
      <c r="G40" s="87"/>
      <c r="H40" s="88"/>
    </row>
    <row r="41" spans="3:8" x14ac:dyDescent="0.25">
      <c r="C41" s="84"/>
      <c r="D41" s="85"/>
      <c r="E41" s="86"/>
      <c r="G41" s="87"/>
      <c r="H41" s="88"/>
    </row>
    <row r="42" spans="3:8" x14ac:dyDescent="0.25">
      <c r="C42" s="84"/>
      <c r="D42" s="85"/>
      <c r="E42" s="86"/>
      <c r="G42" s="87"/>
      <c r="H42" s="88"/>
    </row>
    <row r="43" spans="3:8" x14ac:dyDescent="0.25">
      <c r="C43" s="84"/>
      <c r="D43" s="85"/>
      <c r="E43" s="86"/>
      <c r="G43" s="87"/>
      <c r="H43" s="88"/>
    </row>
    <row r="44" spans="3:8" x14ac:dyDescent="0.25">
      <c r="C44" s="84"/>
      <c r="D44" s="85"/>
      <c r="E44" s="86"/>
      <c r="G44" s="87"/>
      <c r="H44" s="88"/>
    </row>
    <row r="45" spans="3:8" x14ac:dyDescent="0.25">
      <c r="C45" s="84"/>
      <c r="D45" s="85"/>
      <c r="E45" s="86"/>
      <c r="G45" s="87"/>
      <c r="H45" s="88"/>
    </row>
    <row r="46" spans="3:8" x14ac:dyDescent="0.25">
      <c r="C46" s="84"/>
      <c r="D46" s="85"/>
      <c r="E46" s="86"/>
      <c r="G46" s="87"/>
      <c r="H46" s="88"/>
    </row>
    <row r="47" spans="3:8" x14ac:dyDescent="0.25">
      <c r="C47" s="84"/>
      <c r="D47" s="85"/>
      <c r="E47" s="86"/>
      <c r="G47" s="87"/>
      <c r="H47" s="88"/>
    </row>
    <row r="48" spans="3:8" x14ac:dyDescent="0.25">
      <c r="C48" s="84"/>
      <c r="D48" s="85"/>
      <c r="E48" s="86"/>
      <c r="G48" s="87"/>
      <c r="H48" s="88"/>
    </row>
    <row r="49" spans="2:8" x14ac:dyDescent="0.25">
      <c r="C49" s="84"/>
      <c r="D49" s="85"/>
      <c r="E49" s="86"/>
      <c r="G49" s="87"/>
      <c r="H49" s="88"/>
    </row>
    <row r="50" spans="2:8" x14ac:dyDescent="0.25">
      <c r="C50" s="52"/>
      <c r="E50" s="52"/>
    </row>
    <row r="52" spans="2:8" ht="15.75" thickBot="1" x14ac:dyDescent="0.3">
      <c r="B52" s="52" t="s">
        <v>120</v>
      </c>
      <c r="G52" s="62"/>
    </row>
    <row r="53" spans="2:8" ht="36" customHeight="1" thickBot="1" x14ac:dyDescent="0.3">
      <c r="B53" s="63" t="s">
        <v>102</v>
      </c>
      <c r="C53" s="64" t="s">
        <v>98</v>
      </c>
      <c r="D53" s="64" t="s">
        <v>68</v>
      </c>
      <c r="E53" s="65" t="s">
        <v>103</v>
      </c>
      <c r="F53" s="76" t="s">
        <v>107</v>
      </c>
      <c r="G53" s="77" t="s">
        <v>108</v>
      </c>
      <c r="H53" s="77" t="s">
        <v>119</v>
      </c>
    </row>
    <row r="54" spans="2:8" ht="28.5" customHeight="1" x14ac:dyDescent="0.25">
      <c r="B54" s="95" t="s">
        <v>121</v>
      </c>
      <c r="C54" s="66">
        <v>0</v>
      </c>
      <c r="D54" s="67" t="e">
        <f>+C54*100%/C59</f>
        <v>#DIV/0!</v>
      </c>
      <c r="E54" s="68" t="e">
        <f>+C54/C16</f>
        <v>#DIV/0!</v>
      </c>
      <c r="F54" s="118">
        <f>+F20</f>
        <v>75</v>
      </c>
      <c r="G54" s="78"/>
      <c r="H54" s="75"/>
    </row>
    <row r="55" spans="2:8" ht="25.5" customHeight="1" x14ac:dyDescent="0.25">
      <c r="B55" s="95" t="s">
        <v>122</v>
      </c>
      <c r="C55" s="80">
        <v>0</v>
      </c>
      <c r="D55" s="67" t="e">
        <f>+C55*100%/C59</f>
        <v>#DIV/0!</v>
      </c>
      <c r="E55" s="68" t="e">
        <f>+C55/C16</f>
        <v>#DIV/0!</v>
      </c>
      <c r="F55" s="81"/>
      <c r="G55" s="83">
        <v>3</v>
      </c>
      <c r="H55" s="83"/>
    </row>
    <row r="56" spans="2:8" ht="24.75" customHeight="1" x14ac:dyDescent="0.25">
      <c r="B56" s="97" t="s">
        <v>123</v>
      </c>
      <c r="C56" s="68">
        <v>0</v>
      </c>
      <c r="D56" s="71" t="e">
        <f>+C56*100%/C59</f>
        <v>#DIV/0!</v>
      </c>
      <c r="E56" s="68" t="e">
        <f>+C56/C16</f>
        <v>#DIV/0!</v>
      </c>
      <c r="F56" s="72"/>
      <c r="G56" s="83">
        <v>2</v>
      </c>
      <c r="H56" s="83"/>
    </row>
    <row r="57" spans="2:8" ht="29.25" customHeight="1" x14ac:dyDescent="0.25">
      <c r="B57" s="97" t="s">
        <v>124</v>
      </c>
      <c r="C57" s="68">
        <v>0</v>
      </c>
      <c r="D57" s="71" t="e">
        <f>+C57*100%/C59</f>
        <v>#DIV/0!</v>
      </c>
      <c r="E57" s="68" t="e">
        <f>+C57/C16</f>
        <v>#DIV/0!</v>
      </c>
      <c r="F57" s="72"/>
      <c r="G57" s="83">
        <v>6</v>
      </c>
      <c r="H57" s="83"/>
    </row>
    <row r="58" spans="2:8" ht="22.5" customHeight="1" x14ac:dyDescent="0.25">
      <c r="B58" s="96" t="s">
        <v>125</v>
      </c>
      <c r="C58" s="68">
        <v>0</v>
      </c>
      <c r="D58" s="71" t="e">
        <f>+C58*100%/C59</f>
        <v>#DIV/0!</v>
      </c>
      <c r="E58" s="68" t="e">
        <f>+C58/C16</f>
        <v>#DIV/0!</v>
      </c>
      <c r="F58" s="72"/>
      <c r="G58" s="82"/>
      <c r="H58" s="83">
        <v>2</v>
      </c>
    </row>
    <row r="59" spans="2:8" x14ac:dyDescent="0.25">
      <c r="B59" s="90" t="s">
        <v>113</v>
      </c>
      <c r="C59" s="91">
        <f>SUM(C54:C58)</f>
        <v>0</v>
      </c>
      <c r="D59" s="92" t="e">
        <f>SUM(D54:D58)</f>
        <v>#DIV/0!</v>
      </c>
      <c r="E59" s="93" t="e">
        <f>SUM(E54:E58)</f>
        <v>#DIV/0!</v>
      </c>
      <c r="F59" s="90"/>
      <c r="G59" s="94"/>
      <c r="H59" s="94"/>
    </row>
    <row r="87" spans="2:11" ht="15.75" thickBot="1" x14ac:dyDescent="0.3"/>
    <row r="88" spans="2:11" ht="30" x14ac:dyDescent="0.25">
      <c r="C88" s="128" t="s">
        <v>99</v>
      </c>
      <c r="D88" s="129" t="s">
        <v>100</v>
      </c>
      <c r="E88" s="129" t="s">
        <v>101</v>
      </c>
      <c r="F88" s="130" t="s">
        <v>106</v>
      </c>
    </row>
    <row r="89" spans="2:11" ht="15.75" thickBot="1" x14ac:dyDescent="0.3">
      <c r="C89" s="131">
        <f>+C16</f>
        <v>0</v>
      </c>
      <c r="D89" s="132">
        <f>+D16</f>
        <v>275000</v>
      </c>
      <c r="E89" s="133">
        <f>+C89*D89</f>
        <v>0</v>
      </c>
      <c r="F89" s="134">
        <f>+F16</f>
        <v>88</v>
      </c>
    </row>
    <row r="90" spans="2:11" x14ac:dyDescent="0.25">
      <c r="C90" s="126"/>
      <c r="D90" s="124"/>
      <c r="E90" s="125"/>
      <c r="F90" s="125"/>
      <c r="K90" s="127"/>
    </row>
    <row r="91" spans="2:11" ht="15.75" thickBot="1" x14ac:dyDescent="0.3">
      <c r="C91" s="126"/>
      <c r="D91" s="124"/>
      <c r="E91" s="125"/>
      <c r="F91" s="125"/>
      <c r="K91" s="127"/>
    </row>
    <row r="92" spans="2:11" x14ac:dyDescent="0.25">
      <c r="B92" s="196" t="s">
        <v>152</v>
      </c>
      <c r="C92" s="197"/>
      <c r="D92" s="198"/>
    </row>
    <row r="93" spans="2:11" x14ac:dyDescent="0.25">
      <c r="B93" s="135" t="s">
        <v>149</v>
      </c>
      <c r="C93" s="137">
        <f>+C25</f>
        <v>0</v>
      </c>
      <c r="D93" s="139" t="e">
        <f>+C93/C96</f>
        <v>#DIV/0!</v>
      </c>
    </row>
    <row r="94" spans="2:11" x14ac:dyDescent="0.25">
      <c r="B94" s="135" t="s">
        <v>120</v>
      </c>
      <c r="C94" s="137">
        <f>+C59</f>
        <v>0</v>
      </c>
      <c r="D94" s="139" t="e">
        <f>+C94/C96</f>
        <v>#DIV/0!</v>
      </c>
    </row>
    <row r="95" spans="2:11" ht="15.75" thickBot="1" x14ac:dyDescent="0.3">
      <c r="B95" s="136" t="s">
        <v>114</v>
      </c>
      <c r="C95" s="138">
        <f>+L25</f>
        <v>0</v>
      </c>
      <c r="D95" s="140" t="e">
        <f>+C95/C96</f>
        <v>#DIV/0!</v>
      </c>
    </row>
    <row r="96" spans="2:11" ht="15.75" thickBot="1" x14ac:dyDescent="0.3">
      <c r="B96" s="141" t="s">
        <v>137</v>
      </c>
      <c r="C96" s="142">
        <f>SUM(C93:C95)</f>
        <v>0</v>
      </c>
      <c r="D96" s="143" t="e">
        <f>SUM(D93:D95)</f>
        <v>#DIV/0!</v>
      </c>
    </row>
  </sheetData>
  <autoFilter ref="B19:H26" xr:uid="{00000000-0001-0000-0000-000000000000}"/>
  <mergeCells count="2">
    <mergeCell ref="C13:H13"/>
    <mergeCell ref="B92:D92"/>
  </mergeCells>
  <pageMargins left="0.19685039370078741" right="0.19685039370078741" top="0.19685039370078741" bottom="0.19685039370078741" header="0.31496062992125984" footer="0.31496062992125984"/>
  <pageSetup paperSize="9" scale="70" orientation="landscape" horizontalDpi="0" verticalDpi="0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8A2BB-74D8-4C39-B6F8-5889DF2B3EA7}">
  <sheetPr>
    <tabColor theme="5" tint="-0.249977111117893"/>
  </sheetPr>
  <dimension ref="B13:Q96"/>
  <sheetViews>
    <sheetView topLeftCell="A37" zoomScale="90" zoomScaleNormal="90" workbookViewId="0">
      <selection activeCell="C59" sqref="C59"/>
    </sheetView>
  </sheetViews>
  <sheetFormatPr baseColWidth="10" defaultColWidth="11" defaultRowHeight="15" x14ac:dyDescent="0.25"/>
  <cols>
    <col min="1" max="1" width="11" style="52"/>
    <col min="2" max="2" width="31.42578125" style="52" customWidth="1"/>
    <col min="3" max="3" width="15.5703125" style="61" customWidth="1"/>
    <col min="4" max="4" width="9.5703125" style="52" customWidth="1"/>
    <col min="5" max="5" width="14" style="62" customWidth="1"/>
    <col min="6" max="6" width="10.85546875" style="52" customWidth="1"/>
    <col min="7" max="8" width="13.28515625" style="52" customWidth="1"/>
    <col min="9" max="9" width="12.42578125" style="52" bestFit="1" customWidth="1"/>
    <col min="10" max="10" width="11" style="52"/>
    <col min="11" max="11" width="33.5703125" style="62" customWidth="1"/>
    <col min="12" max="12" width="19.7109375" style="52" customWidth="1"/>
    <col min="13" max="16384" width="11" style="52"/>
  </cols>
  <sheetData>
    <row r="13" spans="2:8" x14ac:dyDescent="0.25">
      <c r="C13" s="195" t="s">
        <v>104</v>
      </c>
      <c r="D13" s="195"/>
      <c r="E13" s="195"/>
      <c r="F13" s="195"/>
      <c r="G13" s="195"/>
      <c r="H13" s="195"/>
    </row>
    <row r="14" spans="2:8" ht="15.75" thickBot="1" x14ac:dyDescent="0.3">
      <c r="C14" s="53"/>
      <c r="D14" s="53"/>
      <c r="E14" s="53"/>
      <c r="F14" s="53"/>
      <c r="G14" s="53"/>
      <c r="H14" s="53"/>
    </row>
    <row r="15" spans="2:8" ht="30" x14ac:dyDescent="0.25">
      <c r="C15" s="113" t="s">
        <v>99</v>
      </c>
      <c r="D15" s="114" t="s">
        <v>100</v>
      </c>
      <c r="E15" s="114" t="s">
        <v>101</v>
      </c>
      <c r="F15" s="89" t="s">
        <v>106</v>
      </c>
    </row>
    <row r="16" spans="2:8" ht="15.75" thickBot="1" x14ac:dyDescent="0.3">
      <c r="B16" s="56"/>
      <c r="C16" s="115">
        <f>+'PRODUC ACUMULADA'!B14</f>
        <v>0</v>
      </c>
      <c r="D16" s="116">
        <f>+[62]PRODUCCION!$B$18</f>
        <v>308000</v>
      </c>
      <c r="E16" s="117">
        <f>+C16*D16</f>
        <v>0</v>
      </c>
      <c r="F16" s="59">
        <v>70</v>
      </c>
      <c r="G16" s="60"/>
    </row>
    <row r="18" spans="2:17" ht="21.75" thickBot="1" x14ac:dyDescent="0.4">
      <c r="B18" s="98" t="s">
        <v>126</v>
      </c>
      <c r="K18" s="99" t="s">
        <v>114</v>
      </c>
      <c r="L18" s="61"/>
      <c r="N18" s="62"/>
      <c r="P18" s="62"/>
    </row>
    <row r="19" spans="2:17" ht="45.75" thickBot="1" x14ac:dyDescent="0.3">
      <c r="B19" s="63" t="s">
        <v>102</v>
      </c>
      <c r="C19" s="64" t="s">
        <v>98</v>
      </c>
      <c r="D19" s="64" t="s">
        <v>68</v>
      </c>
      <c r="E19" s="65" t="s">
        <v>103</v>
      </c>
      <c r="F19" s="76" t="s">
        <v>107</v>
      </c>
      <c r="G19" s="77" t="s">
        <v>108</v>
      </c>
      <c r="H19" s="77" t="s">
        <v>119</v>
      </c>
      <c r="K19" s="63" t="s">
        <v>102</v>
      </c>
      <c r="L19" s="64" t="s">
        <v>98</v>
      </c>
      <c r="M19" s="64" t="s">
        <v>68</v>
      </c>
      <c r="N19" s="65" t="s">
        <v>103</v>
      </c>
      <c r="O19" s="74" t="s">
        <v>106</v>
      </c>
      <c r="P19" s="76" t="s">
        <v>107</v>
      </c>
      <c r="Q19" s="77" t="s">
        <v>119</v>
      </c>
    </row>
    <row r="20" spans="2:17" x14ac:dyDescent="0.25">
      <c r="B20" s="73" t="s">
        <v>105</v>
      </c>
      <c r="C20" s="66">
        <f>+'RESUMEN 2026'!BJ22</f>
        <v>0</v>
      </c>
      <c r="D20" s="67" t="e">
        <f>+C20*100%/C25</f>
        <v>#DIV/0!</v>
      </c>
      <c r="E20" s="68" t="e">
        <f>+C20/C16</f>
        <v>#DIV/0!</v>
      </c>
      <c r="F20" s="78">
        <f>+F16-G21-G22-G23-H24</f>
        <v>57</v>
      </c>
      <c r="G20" s="75"/>
      <c r="H20" s="75"/>
      <c r="K20" s="100" t="s">
        <v>115</v>
      </c>
      <c r="L20" s="66">
        <v>0</v>
      </c>
      <c r="M20" s="67" t="e">
        <f>+L20*100%/L25</f>
        <v>#DIV/0!</v>
      </c>
      <c r="N20" s="68" t="e">
        <f>+L20/C16</f>
        <v>#DIV/0!</v>
      </c>
      <c r="O20" s="118">
        <f>+F20</f>
        <v>57</v>
      </c>
      <c r="P20" s="78"/>
      <c r="Q20" s="75"/>
    </row>
    <row r="21" spans="2:17" x14ac:dyDescent="0.25">
      <c r="B21" s="79" t="s">
        <v>109</v>
      </c>
      <c r="C21" s="66">
        <v>0</v>
      </c>
      <c r="D21" s="67" t="e">
        <f>+C21*100%/C25</f>
        <v>#DIV/0!</v>
      </c>
      <c r="E21" s="68" t="e">
        <f>+C21/C16</f>
        <v>#DIV/0!</v>
      </c>
      <c r="F21" s="82"/>
      <c r="G21" s="83">
        <v>3</v>
      </c>
      <c r="H21" s="83"/>
      <c r="K21" s="100" t="s">
        <v>116</v>
      </c>
      <c r="L21" s="66">
        <v>0</v>
      </c>
      <c r="M21" s="67" t="e">
        <f>+L21*100%/L25</f>
        <v>#DIV/0!</v>
      </c>
      <c r="N21" s="68" t="e">
        <f>+L21/C16</f>
        <v>#DIV/0!</v>
      </c>
      <c r="O21" s="81"/>
      <c r="P21" s="83">
        <v>3</v>
      </c>
      <c r="Q21" s="83"/>
    </row>
    <row r="22" spans="2:17" ht="30" customHeight="1" x14ac:dyDescent="0.25">
      <c r="B22" s="70" t="s">
        <v>110</v>
      </c>
      <c r="C22" s="66">
        <v>0</v>
      </c>
      <c r="D22" s="71" t="e">
        <f>+C22*100%/C25</f>
        <v>#DIV/0!</v>
      </c>
      <c r="E22" s="68" t="e">
        <f>+C22/C16</f>
        <v>#DIV/0!</v>
      </c>
      <c r="F22" s="82"/>
      <c r="G22" s="83">
        <v>2</v>
      </c>
      <c r="H22" s="83"/>
      <c r="K22" s="97" t="s">
        <v>117</v>
      </c>
      <c r="L22" s="66">
        <v>0</v>
      </c>
      <c r="M22" s="71" t="e">
        <f>+L22*100%/L25</f>
        <v>#DIV/0!</v>
      </c>
      <c r="N22" s="68" t="e">
        <f>+L22/C16</f>
        <v>#DIV/0!</v>
      </c>
      <c r="O22" s="72"/>
      <c r="P22" s="83">
        <v>2</v>
      </c>
      <c r="Q22" s="83"/>
    </row>
    <row r="23" spans="2:17" x14ac:dyDescent="0.25">
      <c r="B23" s="70" t="s">
        <v>111</v>
      </c>
      <c r="C23" s="66">
        <v>0</v>
      </c>
      <c r="D23" s="71" t="e">
        <f>+C23*100%/C25</f>
        <v>#DIV/0!</v>
      </c>
      <c r="E23" s="68" t="e">
        <f>+C23/C16</f>
        <v>#DIV/0!</v>
      </c>
      <c r="F23" s="82"/>
      <c r="G23" s="83">
        <v>6</v>
      </c>
      <c r="H23" s="83"/>
      <c r="K23" s="96" t="s">
        <v>118</v>
      </c>
      <c r="L23" s="66">
        <v>0</v>
      </c>
      <c r="M23" s="71" t="e">
        <f>+L23*100%/L25</f>
        <v>#DIV/0!</v>
      </c>
      <c r="N23" s="68" t="e">
        <f>+L23/C16</f>
        <v>#DIV/0!</v>
      </c>
      <c r="O23" s="72"/>
      <c r="P23" s="83">
        <v>6</v>
      </c>
      <c r="Q23" s="83"/>
    </row>
    <row r="24" spans="2:17" x14ac:dyDescent="0.25">
      <c r="B24" s="70" t="s">
        <v>112</v>
      </c>
      <c r="C24" s="66">
        <v>0</v>
      </c>
      <c r="D24" s="71" t="e">
        <f>+C24*100%/C25</f>
        <v>#DIV/0!</v>
      </c>
      <c r="E24" s="68" t="e">
        <f>+C24/C16</f>
        <v>#DIV/0!</v>
      </c>
      <c r="F24" s="82"/>
      <c r="G24" s="83"/>
      <c r="H24" s="83">
        <v>2</v>
      </c>
      <c r="K24" s="96" t="s">
        <v>112</v>
      </c>
      <c r="L24" s="66">
        <v>0</v>
      </c>
      <c r="M24" s="71" t="e">
        <f>+L24*100%/L25</f>
        <v>#DIV/0!</v>
      </c>
      <c r="N24" s="68" t="e">
        <f>+L24/C16</f>
        <v>#DIV/0!</v>
      </c>
      <c r="O24" s="72"/>
      <c r="P24" s="82"/>
      <c r="Q24" s="83">
        <v>2</v>
      </c>
    </row>
    <row r="25" spans="2:17" x14ac:dyDescent="0.25">
      <c r="B25" s="90" t="s">
        <v>113</v>
      </c>
      <c r="C25" s="91">
        <f>SUM(C20:C24)</f>
        <v>0</v>
      </c>
      <c r="D25" s="92" t="e">
        <f>SUM(D20:D24)</f>
        <v>#DIV/0!</v>
      </c>
      <c r="E25" s="93" t="e">
        <f>SUM(E20:E24)</f>
        <v>#DIV/0!</v>
      </c>
      <c r="F25" s="94"/>
      <c r="G25" s="94"/>
      <c r="H25" s="94"/>
      <c r="K25" s="90" t="s">
        <v>113</v>
      </c>
      <c r="L25" s="91">
        <f>SUM(L20:L24)</f>
        <v>0</v>
      </c>
      <c r="M25" s="92" t="e">
        <f>SUM(M20:M24)</f>
        <v>#DIV/0!</v>
      </c>
      <c r="N25" s="93" t="e">
        <f>SUM(N20:N24)</f>
        <v>#DIV/0!</v>
      </c>
      <c r="O25" s="90"/>
      <c r="P25" s="94"/>
      <c r="Q25" s="94"/>
    </row>
    <row r="26" spans="2:17" x14ac:dyDescent="0.25">
      <c r="C26" s="84"/>
      <c r="D26" s="85"/>
      <c r="E26" s="86">
        <f>+G25/(340000-H26)</f>
        <v>0</v>
      </c>
      <c r="G26" s="87"/>
      <c r="H26" s="88"/>
      <c r="K26" s="52"/>
    </row>
    <row r="27" spans="2:17" x14ac:dyDescent="0.25">
      <c r="C27" s="84"/>
      <c r="D27" s="85"/>
      <c r="E27" s="86"/>
      <c r="G27" s="87"/>
      <c r="H27" s="88"/>
    </row>
    <row r="28" spans="2:17" x14ac:dyDescent="0.25">
      <c r="C28" s="84"/>
      <c r="D28" s="85"/>
      <c r="E28" s="86"/>
      <c r="G28" s="87"/>
      <c r="H28" s="88"/>
    </row>
    <row r="29" spans="2:17" x14ac:dyDescent="0.25">
      <c r="C29" s="84"/>
      <c r="D29" s="85"/>
      <c r="E29" s="86"/>
      <c r="G29" s="87"/>
      <c r="H29" s="88"/>
      <c r="P29" s="119">
        <f>+O20+P21+P22+P23</f>
        <v>68</v>
      </c>
    </row>
    <row r="30" spans="2:17" x14ac:dyDescent="0.25">
      <c r="C30" s="84"/>
      <c r="D30" s="85"/>
      <c r="E30" s="86"/>
      <c r="G30" s="87"/>
      <c r="H30" s="88"/>
    </row>
    <row r="31" spans="2:17" x14ac:dyDescent="0.25">
      <c r="C31" s="84"/>
      <c r="D31" s="85"/>
      <c r="E31" s="86"/>
      <c r="G31" s="87"/>
      <c r="H31" s="88"/>
    </row>
    <row r="32" spans="2:17" x14ac:dyDescent="0.25">
      <c r="C32" s="84"/>
      <c r="D32" s="85"/>
      <c r="E32" s="86"/>
      <c r="G32" s="87"/>
      <c r="H32" s="88"/>
    </row>
    <row r="33" spans="3:8" x14ac:dyDescent="0.25">
      <c r="C33" s="84"/>
      <c r="D33" s="85"/>
      <c r="E33" s="86"/>
      <c r="G33" s="87"/>
      <c r="H33" s="88"/>
    </row>
    <row r="34" spans="3:8" x14ac:dyDescent="0.25">
      <c r="C34" s="84"/>
      <c r="D34" s="85"/>
      <c r="E34" s="86"/>
      <c r="G34" s="87"/>
      <c r="H34" s="88"/>
    </row>
    <row r="35" spans="3:8" x14ac:dyDescent="0.25">
      <c r="C35" s="84"/>
      <c r="D35" s="85"/>
      <c r="E35" s="86"/>
      <c r="G35" s="87"/>
      <c r="H35" s="88"/>
    </row>
    <row r="36" spans="3:8" x14ac:dyDescent="0.25">
      <c r="C36" s="84"/>
      <c r="D36" s="85"/>
      <c r="E36" s="86"/>
      <c r="G36" s="87"/>
      <c r="H36" s="88"/>
    </row>
    <row r="37" spans="3:8" x14ac:dyDescent="0.25">
      <c r="C37" s="84"/>
      <c r="D37" s="85"/>
      <c r="E37" s="86"/>
      <c r="G37" s="87"/>
      <c r="H37" s="88"/>
    </row>
    <row r="38" spans="3:8" x14ac:dyDescent="0.25">
      <c r="C38" s="84"/>
      <c r="D38" s="85"/>
      <c r="E38" s="86"/>
      <c r="G38" s="87"/>
      <c r="H38" s="88"/>
    </row>
    <row r="39" spans="3:8" x14ac:dyDescent="0.25">
      <c r="C39" s="84"/>
      <c r="D39" s="85"/>
      <c r="E39" s="86"/>
      <c r="G39" s="87"/>
      <c r="H39" s="88"/>
    </row>
    <row r="40" spans="3:8" x14ac:dyDescent="0.25">
      <c r="C40" s="84"/>
      <c r="D40" s="85"/>
      <c r="E40" s="86"/>
      <c r="G40" s="87"/>
      <c r="H40" s="88"/>
    </row>
    <row r="41" spans="3:8" x14ac:dyDescent="0.25">
      <c r="C41" s="84"/>
      <c r="D41" s="85"/>
      <c r="E41" s="86"/>
      <c r="G41" s="87"/>
      <c r="H41" s="88"/>
    </row>
    <row r="42" spans="3:8" x14ac:dyDescent="0.25">
      <c r="C42" s="84"/>
      <c r="D42" s="85"/>
      <c r="E42" s="86"/>
      <c r="G42" s="87"/>
      <c r="H42" s="88"/>
    </row>
    <row r="43" spans="3:8" x14ac:dyDescent="0.25">
      <c r="C43" s="84"/>
      <c r="D43" s="85"/>
      <c r="E43" s="86"/>
      <c r="G43" s="87"/>
      <c r="H43" s="88"/>
    </row>
    <row r="44" spans="3:8" x14ac:dyDescent="0.25">
      <c r="C44" s="84"/>
      <c r="D44" s="85"/>
      <c r="E44" s="86"/>
      <c r="G44" s="87"/>
      <c r="H44" s="88"/>
    </row>
    <row r="45" spans="3:8" x14ac:dyDescent="0.25">
      <c r="C45" s="84"/>
      <c r="D45" s="85"/>
      <c r="E45" s="86"/>
      <c r="G45" s="87"/>
      <c r="H45" s="88"/>
    </row>
    <row r="46" spans="3:8" x14ac:dyDescent="0.25">
      <c r="C46" s="84"/>
      <c r="D46" s="85"/>
      <c r="E46" s="86"/>
      <c r="G46" s="87"/>
      <c r="H46" s="88"/>
    </row>
    <row r="47" spans="3:8" x14ac:dyDescent="0.25">
      <c r="C47" s="84"/>
      <c r="D47" s="85"/>
      <c r="E47" s="86"/>
      <c r="G47" s="87"/>
      <c r="H47" s="88"/>
    </row>
    <row r="48" spans="3:8" x14ac:dyDescent="0.25">
      <c r="C48" s="84"/>
      <c r="D48" s="85"/>
      <c r="E48" s="86"/>
      <c r="G48" s="87"/>
      <c r="H48" s="88"/>
    </row>
    <row r="49" spans="2:12" x14ac:dyDescent="0.25">
      <c r="C49" s="84"/>
      <c r="D49" s="85"/>
      <c r="E49" s="86"/>
      <c r="G49" s="87"/>
      <c r="H49" s="88"/>
    </row>
    <row r="50" spans="2:12" x14ac:dyDescent="0.25">
      <c r="C50" s="52"/>
      <c r="E50" s="52"/>
    </row>
    <row r="52" spans="2:12" ht="15.75" thickBot="1" x14ac:dyDescent="0.3">
      <c r="B52" s="52" t="s">
        <v>120</v>
      </c>
      <c r="G52" s="62"/>
      <c r="L52" s="179">
        <f>+L25+C59</f>
        <v>0</v>
      </c>
    </row>
    <row r="53" spans="2:12" ht="34.5" thickBot="1" x14ac:dyDescent="0.3">
      <c r="B53" s="63" t="s">
        <v>102</v>
      </c>
      <c r="C53" s="64" t="s">
        <v>98</v>
      </c>
      <c r="D53" s="64" t="s">
        <v>68</v>
      </c>
      <c r="E53" s="65" t="s">
        <v>103</v>
      </c>
      <c r="F53" s="76" t="s">
        <v>107</v>
      </c>
      <c r="G53" s="77" t="s">
        <v>108</v>
      </c>
      <c r="H53" s="77" t="s">
        <v>119</v>
      </c>
    </row>
    <row r="54" spans="2:12" ht="28.5" customHeight="1" x14ac:dyDescent="0.25">
      <c r="B54" s="95" t="s">
        <v>121</v>
      </c>
      <c r="C54" s="66">
        <v>0</v>
      </c>
      <c r="D54" s="67" t="e">
        <f>+C54*100%/C59</f>
        <v>#DIV/0!</v>
      </c>
      <c r="E54" s="68" t="e">
        <f>+C54/C16</f>
        <v>#DIV/0!</v>
      </c>
      <c r="F54" s="118">
        <f>+F20</f>
        <v>57</v>
      </c>
      <c r="G54" s="78"/>
      <c r="H54" s="75"/>
    </row>
    <row r="55" spans="2:12" ht="25.5" customHeight="1" x14ac:dyDescent="0.25">
      <c r="B55" s="95" t="s">
        <v>122</v>
      </c>
      <c r="C55" s="66">
        <v>0</v>
      </c>
      <c r="D55" s="67" t="e">
        <f>+C55*100%/C59</f>
        <v>#DIV/0!</v>
      </c>
      <c r="E55" s="68" t="e">
        <f>+C55/C16</f>
        <v>#DIV/0!</v>
      </c>
      <c r="F55" s="81"/>
      <c r="G55" s="83">
        <v>3</v>
      </c>
      <c r="H55" s="83"/>
    </row>
    <row r="56" spans="2:12" ht="24.75" customHeight="1" x14ac:dyDescent="0.25">
      <c r="B56" s="97" t="s">
        <v>123</v>
      </c>
      <c r="C56" s="66">
        <v>0</v>
      </c>
      <c r="D56" s="71" t="e">
        <f>+C56*100%/C59</f>
        <v>#DIV/0!</v>
      </c>
      <c r="E56" s="68" t="e">
        <f>+C56/C16</f>
        <v>#DIV/0!</v>
      </c>
      <c r="F56" s="72"/>
      <c r="G56" s="83">
        <v>2</v>
      </c>
      <c r="H56" s="83"/>
    </row>
    <row r="57" spans="2:12" ht="29.25" customHeight="1" x14ac:dyDescent="0.25">
      <c r="B57" s="97" t="s">
        <v>124</v>
      </c>
      <c r="C57" s="66">
        <v>0</v>
      </c>
      <c r="D57" s="71" t="e">
        <f>+C57*100%/C59</f>
        <v>#DIV/0!</v>
      </c>
      <c r="E57" s="68" t="e">
        <f>+C57/C16</f>
        <v>#DIV/0!</v>
      </c>
      <c r="F57" s="72"/>
      <c r="G57" s="83">
        <v>6</v>
      </c>
      <c r="H57" s="83"/>
    </row>
    <row r="58" spans="2:12" ht="22.5" customHeight="1" x14ac:dyDescent="0.25">
      <c r="B58" s="96" t="s">
        <v>125</v>
      </c>
      <c r="C58" s="66">
        <v>0</v>
      </c>
      <c r="D58" s="71" t="e">
        <f>+C58*100%/C59</f>
        <v>#DIV/0!</v>
      </c>
      <c r="E58" s="68" t="e">
        <f>+C58/C16</f>
        <v>#DIV/0!</v>
      </c>
      <c r="F58" s="72"/>
      <c r="G58" s="82"/>
      <c r="H58" s="83">
        <v>2</v>
      </c>
    </row>
    <row r="59" spans="2:12" x14ac:dyDescent="0.25">
      <c r="B59" s="90" t="s">
        <v>113</v>
      </c>
      <c r="C59" s="91">
        <f>SUM(C54:C58)</f>
        <v>0</v>
      </c>
      <c r="D59" s="92" t="e">
        <f>SUM(D54:D58)</f>
        <v>#DIV/0!</v>
      </c>
      <c r="E59" s="93" t="e">
        <f>SUM(E54:E58)</f>
        <v>#DIV/0!</v>
      </c>
      <c r="F59" s="90"/>
      <c r="G59" s="94"/>
      <c r="H59" s="94"/>
    </row>
    <row r="87" spans="2:11" ht="15.75" thickBot="1" x14ac:dyDescent="0.3"/>
    <row r="88" spans="2:11" ht="30" x14ac:dyDescent="0.25">
      <c r="C88" s="128" t="s">
        <v>99</v>
      </c>
      <c r="D88" s="129" t="s">
        <v>100</v>
      </c>
      <c r="E88" s="129" t="s">
        <v>101</v>
      </c>
      <c r="F88" s="130" t="s">
        <v>106</v>
      </c>
    </row>
    <row r="89" spans="2:11" ht="15.75" thickBot="1" x14ac:dyDescent="0.3">
      <c r="C89" s="131">
        <f>+C16</f>
        <v>0</v>
      </c>
      <c r="D89" s="132">
        <f>+D16</f>
        <v>308000</v>
      </c>
      <c r="E89" s="133">
        <f>+C89*D89</f>
        <v>0</v>
      </c>
      <c r="F89" s="134">
        <f>+F16</f>
        <v>70</v>
      </c>
    </row>
    <row r="90" spans="2:11" x14ac:dyDescent="0.25">
      <c r="C90" s="126"/>
      <c r="D90" s="124"/>
      <c r="E90" s="125"/>
      <c r="F90" s="125"/>
      <c r="K90" s="127"/>
    </row>
    <row r="91" spans="2:11" ht="15.75" thickBot="1" x14ac:dyDescent="0.3">
      <c r="C91" s="126"/>
      <c r="D91" s="124"/>
      <c r="E91" s="125"/>
      <c r="F91" s="125"/>
      <c r="K91" s="127"/>
    </row>
    <row r="92" spans="2:11" x14ac:dyDescent="0.25">
      <c r="B92" s="196" t="s">
        <v>161</v>
      </c>
      <c r="C92" s="197"/>
      <c r="D92" s="198"/>
    </row>
    <row r="93" spans="2:11" x14ac:dyDescent="0.25">
      <c r="B93" s="135" t="s">
        <v>159</v>
      </c>
      <c r="C93" s="137">
        <f>+C25</f>
        <v>0</v>
      </c>
      <c r="D93" s="139" t="e">
        <f>+C93/C96</f>
        <v>#DIV/0!</v>
      </c>
    </row>
    <row r="94" spans="2:11" x14ac:dyDescent="0.25">
      <c r="B94" s="135" t="s">
        <v>120</v>
      </c>
      <c r="C94" s="137">
        <f>+C59</f>
        <v>0</v>
      </c>
      <c r="D94" s="139" t="e">
        <f>+C94/C96</f>
        <v>#DIV/0!</v>
      </c>
    </row>
    <row r="95" spans="2:11" ht="15.75" thickBot="1" x14ac:dyDescent="0.3">
      <c r="B95" s="136" t="s">
        <v>114</v>
      </c>
      <c r="C95" s="138">
        <f>+L25</f>
        <v>0</v>
      </c>
      <c r="D95" s="140" t="e">
        <f>+C95/C96</f>
        <v>#DIV/0!</v>
      </c>
    </row>
    <row r="96" spans="2:11" ht="15.75" thickBot="1" x14ac:dyDescent="0.3">
      <c r="B96" s="141" t="s">
        <v>137</v>
      </c>
      <c r="C96" s="142">
        <f>SUM(C93:C95)</f>
        <v>0</v>
      </c>
      <c r="D96" s="143" t="e">
        <f>SUM(D93:D95)</f>
        <v>#DIV/0!</v>
      </c>
    </row>
  </sheetData>
  <autoFilter ref="B19:H26" xr:uid="{00000000-0001-0000-0000-000000000000}"/>
  <mergeCells count="2">
    <mergeCell ref="C13:H13"/>
    <mergeCell ref="B92:D92"/>
  </mergeCells>
  <pageMargins left="0.19685039370078741" right="0.19685039370078741" top="0.19685039370078741" bottom="0.19685039370078741" header="0.31496062992125984" footer="0.31496062992125984"/>
  <pageSetup paperSize="9" scale="70" orientation="landscape" horizontalDpi="0" verticalDpi="0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4EF43-A8CD-48FF-8D2B-8FACF157B59F}">
  <sheetPr>
    <tabColor theme="5" tint="-0.249977111117893"/>
  </sheetPr>
  <dimension ref="B13:Q96"/>
  <sheetViews>
    <sheetView topLeftCell="A37" zoomScale="90" zoomScaleNormal="90" workbookViewId="0">
      <selection activeCell="C59" sqref="C59"/>
    </sheetView>
  </sheetViews>
  <sheetFormatPr baseColWidth="10" defaultColWidth="11" defaultRowHeight="15" x14ac:dyDescent="0.25"/>
  <cols>
    <col min="1" max="1" width="11" style="52"/>
    <col min="2" max="2" width="31.42578125" style="52" customWidth="1"/>
    <col min="3" max="3" width="15.5703125" style="61" customWidth="1"/>
    <col min="4" max="4" width="9.5703125" style="52" customWidth="1"/>
    <col min="5" max="5" width="14" style="62" customWidth="1"/>
    <col min="6" max="6" width="10.85546875" style="52" customWidth="1"/>
    <col min="7" max="8" width="13.28515625" style="52" customWidth="1"/>
    <col min="9" max="9" width="12.42578125" style="52" bestFit="1" customWidth="1"/>
    <col min="10" max="10" width="11" style="52"/>
    <col min="11" max="11" width="33.5703125" style="62" customWidth="1"/>
    <col min="12" max="12" width="19.7109375" style="52" customWidth="1"/>
    <col min="13" max="16384" width="11" style="52"/>
  </cols>
  <sheetData>
    <row r="13" spans="2:8" x14ac:dyDescent="0.25">
      <c r="C13" s="195" t="s">
        <v>104</v>
      </c>
      <c r="D13" s="195"/>
      <c r="E13" s="195"/>
      <c r="F13" s="195"/>
      <c r="G13" s="195"/>
      <c r="H13" s="195"/>
    </row>
    <row r="14" spans="2:8" ht="15.75" thickBot="1" x14ac:dyDescent="0.3">
      <c r="C14" s="53"/>
      <c r="D14" s="53"/>
      <c r="E14" s="53"/>
      <c r="F14" s="53"/>
      <c r="G14" s="53"/>
      <c r="H14" s="53"/>
    </row>
    <row r="15" spans="2:8" ht="30" x14ac:dyDescent="0.25">
      <c r="C15" s="113" t="s">
        <v>99</v>
      </c>
      <c r="D15" s="114" t="s">
        <v>100</v>
      </c>
      <c r="E15" s="114" t="s">
        <v>101</v>
      </c>
      <c r="F15" s="89" t="s">
        <v>106</v>
      </c>
    </row>
    <row r="16" spans="2:8" ht="15.75" thickBot="1" x14ac:dyDescent="0.3">
      <c r="B16" s="56"/>
      <c r="C16" s="115">
        <f>+'PRODUC ACUMULADA'!B15</f>
        <v>0</v>
      </c>
      <c r="D16" s="116">
        <v>270000</v>
      </c>
      <c r="E16" s="117">
        <f>+C16*D16</f>
        <v>0</v>
      </c>
      <c r="F16" s="59">
        <v>84</v>
      </c>
      <c r="G16" s="60"/>
    </row>
    <row r="18" spans="2:17" ht="21.75" thickBot="1" x14ac:dyDescent="0.4">
      <c r="B18" s="98" t="s">
        <v>126</v>
      </c>
      <c r="K18" s="99" t="s">
        <v>114</v>
      </c>
      <c r="L18" s="61"/>
      <c r="N18" s="62"/>
      <c r="P18" s="62"/>
    </row>
    <row r="19" spans="2:17" ht="45.75" thickBot="1" x14ac:dyDescent="0.3">
      <c r="B19" s="63" t="s">
        <v>102</v>
      </c>
      <c r="C19" s="64" t="s">
        <v>98</v>
      </c>
      <c r="D19" s="64" t="s">
        <v>68</v>
      </c>
      <c r="E19" s="65" t="s">
        <v>103</v>
      </c>
      <c r="F19" s="76" t="s">
        <v>107</v>
      </c>
      <c r="G19" s="77" t="s">
        <v>108</v>
      </c>
      <c r="H19" s="77" t="s">
        <v>119</v>
      </c>
      <c r="K19" s="63" t="s">
        <v>102</v>
      </c>
      <c r="L19" s="64" t="s">
        <v>98</v>
      </c>
      <c r="M19" s="64" t="s">
        <v>68</v>
      </c>
      <c r="N19" s="65" t="s">
        <v>103</v>
      </c>
      <c r="O19" s="74" t="s">
        <v>106</v>
      </c>
      <c r="P19" s="76" t="s">
        <v>107</v>
      </c>
      <c r="Q19" s="77" t="s">
        <v>119</v>
      </c>
    </row>
    <row r="20" spans="2:17" x14ac:dyDescent="0.25">
      <c r="B20" s="73" t="s">
        <v>105</v>
      </c>
      <c r="C20" s="66">
        <f>+'RESUMEN 2026'!BQ22</f>
        <v>0</v>
      </c>
      <c r="D20" s="67" t="e">
        <f>+C20*100%/C25</f>
        <v>#DIV/0!</v>
      </c>
      <c r="E20" s="68" t="e">
        <f>+C20/C16</f>
        <v>#DIV/0!</v>
      </c>
      <c r="F20" s="78">
        <f>+F16-G21-G22-G23-H24</f>
        <v>72</v>
      </c>
      <c r="G20" s="75"/>
      <c r="H20" s="75"/>
      <c r="K20" s="100" t="s">
        <v>115</v>
      </c>
      <c r="L20" s="66">
        <v>0</v>
      </c>
      <c r="M20" s="67" t="e">
        <f>+L20*100%/L25</f>
        <v>#DIV/0!</v>
      </c>
      <c r="N20" s="68" t="e">
        <f>+L20/C16</f>
        <v>#DIV/0!</v>
      </c>
      <c r="O20" s="118">
        <f>+F20</f>
        <v>72</v>
      </c>
      <c r="P20" s="78"/>
      <c r="Q20" s="75"/>
    </row>
    <row r="21" spans="2:17" x14ac:dyDescent="0.25">
      <c r="B21" s="79" t="s">
        <v>109</v>
      </c>
      <c r="C21" s="66">
        <v>0</v>
      </c>
      <c r="D21" s="67" t="e">
        <f>+C21*100%/C25</f>
        <v>#DIV/0!</v>
      </c>
      <c r="E21" s="68" t="e">
        <f>+C21/C16</f>
        <v>#DIV/0!</v>
      </c>
      <c r="F21" s="82"/>
      <c r="G21" s="83">
        <v>3</v>
      </c>
      <c r="H21" s="83"/>
      <c r="K21" s="100" t="s">
        <v>116</v>
      </c>
      <c r="L21" s="66">
        <v>0</v>
      </c>
      <c r="M21" s="67" t="e">
        <f>+L21*100%/L25</f>
        <v>#DIV/0!</v>
      </c>
      <c r="N21" s="68" t="e">
        <f>+L21/C16</f>
        <v>#DIV/0!</v>
      </c>
      <c r="O21" s="81"/>
      <c r="P21" s="83">
        <v>3</v>
      </c>
      <c r="Q21" s="83"/>
    </row>
    <row r="22" spans="2:17" ht="30" customHeight="1" x14ac:dyDescent="0.25">
      <c r="B22" s="70" t="s">
        <v>110</v>
      </c>
      <c r="C22" s="66">
        <v>0</v>
      </c>
      <c r="D22" s="71" t="e">
        <f>+C22*100%/C25</f>
        <v>#DIV/0!</v>
      </c>
      <c r="E22" s="68" t="e">
        <f>+C22/C16</f>
        <v>#DIV/0!</v>
      </c>
      <c r="F22" s="82"/>
      <c r="G22" s="83">
        <v>1</v>
      </c>
      <c r="H22" s="83"/>
      <c r="K22" s="97" t="s">
        <v>117</v>
      </c>
      <c r="L22" s="66">
        <v>0</v>
      </c>
      <c r="M22" s="71" t="e">
        <f>+L22*100%/L25</f>
        <v>#DIV/0!</v>
      </c>
      <c r="N22" s="68" t="e">
        <f>+L22/C16</f>
        <v>#DIV/0!</v>
      </c>
      <c r="O22" s="72"/>
      <c r="P22" s="83">
        <v>1</v>
      </c>
      <c r="Q22" s="83"/>
    </row>
    <row r="23" spans="2:17" x14ac:dyDescent="0.25">
      <c r="B23" s="70" t="s">
        <v>111</v>
      </c>
      <c r="C23" s="66">
        <v>0</v>
      </c>
      <c r="D23" s="71" t="e">
        <f>+C23*100%/C25</f>
        <v>#DIV/0!</v>
      </c>
      <c r="E23" s="68" t="e">
        <f>+C23/C16</f>
        <v>#DIV/0!</v>
      </c>
      <c r="F23" s="82"/>
      <c r="G23" s="83">
        <v>6</v>
      </c>
      <c r="H23" s="83"/>
      <c r="K23" s="96" t="s">
        <v>118</v>
      </c>
      <c r="L23" s="66">
        <v>0</v>
      </c>
      <c r="M23" s="71" t="e">
        <f>+L23*100%/L25</f>
        <v>#DIV/0!</v>
      </c>
      <c r="N23" s="68" t="e">
        <f>+L23/C16</f>
        <v>#DIV/0!</v>
      </c>
      <c r="O23" s="72"/>
      <c r="P23" s="83">
        <v>6</v>
      </c>
      <c r="Q23" s="83"/>
    </row>
    <row r="24" spans="2:17" x14ac:dyDescent="0.25">
      <c r="B24" s="70" t="s">
        <v>112</v>
      </c>
      <c r="C24" s="66">
        <v>0</v>
      </c>
      <c r="D24" s="71" t="e">
        <f>+C24*100%/C25</f>
        <v>#DIV/0!</v>
      </c>
      <c r="E24" s="68" t="e">
        <f>+C24/C16</f>
        <v>#DIV/0!</v>
      </c>
      <c r="F24" s="82"/>
      <c r="G24" s="83"/>
      <c r="H24" s="83">
        <v>2</v>
      </c>
      <c r="K24" s="96" t="s">
        <v>112</v>
      </c>
      <c r="L24" s="66">
        <v>0</v>
      </c>
      <c r="M24" s="71" t="e">
        <f>+L24*100%/L25</f>
        <v>#DIV/0!</v>
      </c>
      <c r="N24" s="68" t="e">
        <f>+L24/C16</f>
        <v>#DIV/0!</v>
      </c>
      <c r="O24" s="72"/>
      <c r="P24" s="82"/>
      <c r="Q24" s="83">
        <v>2</v>
      </c>
    </row>
    <row r="25" spans="2:17" x14ac:dyDescent="0.25">
      <c r="B25" s="90" t="s">
        <v>113</v>
      </c>
      <c r="C25" s="91">
        <f>SUM(C20:C24)</f>
        <v>0</v>
      </c>
      <c r="D25" s="92" t="e">
        <f>SUM(D20:D24)</f>
        <v>#DIV/0!</v>
      </c>
      <c r="E25" s="93" t="e">
        <f>SUM(E20:E24)</f>
        <v>#DIV/0!</v>
      </c>
      <c r="F25" s="94"/>
      <c r="G25" s="94"/>
      <c r="H25" s="94"/>
      <c r="K25" s="90" t="s">
        <v>113</v>
      </c>
      <c r="L25" s="91">
        <f>SUM(L20:L24)</f>
        <v>0</v>
      </c>
      <c r="M25" s="92" t="e">
        <f>SUM(M20:M24)</f>
        <v>#DIV/0!</v>
      </c>
      <c r="N25" s="93" t="e">
        <f>SUM(N20:N24)</f>
        <v>#DIV/0!</v>
      </c>
      <c r="O25" s="90"/>
      <c r="P25" s="94"/>
      <c r="Q25" s="94"/>
    </row>
    <row r="26" spans="2:17" x14ac:dyDescent="0.25">
      <c r="C26" s="84"/>
      <c r="D26" s="85"/>
      <c r="E26" s="86">
        <f>+G25/(340000-H26)</f>
        <v>0</v>
      </c>
      <c r="G26" s="87"/>
      <c r="H26" s="88"/>
      <c r="K26" s="52"/>
    </row>
    <row r="27" spans="2:17" x14ac:dyDescent="0.25">
      <c r="C27" s="84"/>
      <c r="D27" s="85"/>
      <c r="E27" s="86"/>
      <c r="G27" s="87"/>
      <c r="H27" s="88"/>
    </row>
    <row r="28" spans="2:17" x14ac:dyDescent="0.25">
      <c r="C28" s="84"/>
      <c r="D28" s="85"/>
      <c r="E28" s="86"/>
      <c r="G28" s="87"/>
      <c r="H28" s="88"/>
    </row>
    <row r="29" spans="2:17" x14ac:dyDescent="0.25">
      <c r="C29" s="84"/>
      <c r="D29" s="85"/>
      <c r="E29" s="86"/>
      <c r="G29" s="87"/>
      <c r="H29" s="88"/>
      <c r="P29" s="119">
        <f>+O20+P21+P22+P23</f>
        <v>82</v>
      </c>
    </row>
    <row r="30" spans="2:17" x14ac:dyDescent="0.25">
      <c r="C30" s="84"/>
      <c r="D30" s="85"/>
      <c r="E30" s="86"/>
      <c r="G30" s="87"/>
      <c r="H30" s="88"/>
    </row>
    <row r="31" spans="2:17" x14ac:dyDescent="0.25">
      <c r="C31" s="84"/>
      <c r="D31" s="85"/>
      <c r="E31" s="86"/>
      <c r="G31" s="87"/>
      <c r="H31" s="88"/>
    </row>
    <row r="32" spans="2:17" x14ac:dyDescent="0.25">
      <c r="C32" s="84"/>
      <c r="D32" s="85"/>
      <c r="E32" s="86"/>
      <c r="G32" s="87"/>
      <c r="H32" s="88"/>
    </row>
    <row r="33" spans="3:8" x14ac:dyDescent="0.25">
      <c r="C33" s="84"/>
      <c r="D33" s="85"/>
      <c r="E33" s="86"/>
      <c r="G33" s="87"/>
      <c r="H33" s="88"/>
    </row>
    <row r="34" spans="3:8" x14ac:dyDescent="0.25">
      <c r="C34" s="84"/>
      <c r="D34" s="85"/>
      <c r="E34" s="86"/>
      <c r="G34" s="87"/>
      <c r="H34" s="88"/>
    </row>
    <row r="35" spans="3:8" x14ac:dyDescent="0.25">
      <c r="C35" s="84"/>
      <c r="D35" s="85"/>
      <c r="E35" s="86"/>
      <c r="G35" s="87"/>
      <c r="H35" s="88"/>
    </row>
    <row r="36" spans="3:8" x14ac:dyDescent="0.25">
      <c r="C36" s="84"/>
      <c r="D36" s="85"/>
      <c r="E36" s="86"/>
      <c r="G36" s="87"/>
      <c r="H36" s="88"/>
    </row>
    <row r="37" spans="3:8" x14ac:dyDescent="0.25">
      <c r="C37" s="84"/>
      <c r="D37" s="85"/>
      <c r="E37" s="86"/>
      <c r="G37" s="87"/>
      <c r="H37" s="88"/>
    </row>
    <row r="38" spans="3:8" x14ac:dyDescent="0.25">
      <c r="C38" s="84"/>
      <c r="D38" s="85"/>
      <c r="E38" s="86"/>
      <c r="G38" s="87"/>
      <c r="H38" s="88"/>
    </row>
    <row r="39" spans="3:8" x14ac:dyDescent="0.25">
      <c r="C39" s="84"/>
      <c r="D39" s="85"/>
      <c r="E39" s="86"/>
      <c r="G39" s="87"/>
      <c r="H39" s="88"/>
    </row>
    <row r="40" spans="3:8" x14ac:dyDescent="0.25">
      <c r="C40" s="84"/>
      <c r="D40" s="85"/>
      <c r="E40" s="86"/>
      <c r="G40" s="87"/>
      <c r="H40" s="88"/>
    </row>
    <row r="41" spans="3:8" x14ac:dyDescent="0.25">
      <c r="C41" s="84"/>
      <c r="D41" s="85"/>
      <c r="E41" s="86"/>
      <c r="G41" s="87"/>
      <c r="H41" s="88"/>
    </row>
    <row r="42" spans="3:8" x14ac:dyDescent="0.25">
      <c r="C42" s="84"/>
      <c r="D42" s="85"/>
      <c r="E42" s="86"/>
      <c r="G42" s="87"/>
      <c r="H42" s="88"/>
    </row>
    <row r="43" spans="3:8" x14ac:dyDescent="0.25">
      <c r="C43" s="84"/>
      <c r="D43" s="85"/>
      <c r="E43" s="86"/>
      <c r="G43" s="87"/>
      <c r="H43" s="88"/>
    </row>
    <row r="44" spans="3:8" x14ac:dyDescent="0.25">
      <c r="C44" s="84"/>
      <c r="D44" s="85"/>
      <c r="E44" s="86"/>
      <c r="G44" s="87"/>
      <c r="H44" s="88"/>
    </row>
    <row r="45" spans="3:8" x14ac:dyDescent="0.25">
      <c r="C45" s="84"/>
      <c r="D45" s="85"/>
      <c r="E45" s="86"/>
      <c r="G45" s="87"/>
      <c r="H45" s="88"/>
    </row>
    <row r="46" spans="3:8" x14ac:dyDescent="0.25">
      <c r="C46" s="84"/>
      <c r="D46" s="85"/>
      <c r="E46" s="86"/>
      <c r="G46" s="87"/>
      <c r="H46" s="88"/>
    </row>
    <row r="47" spans="3:8" x14ac:dyDescent="0.25">
      <c r="C47" s="84"/>
      <c r="D47" s="85"/>
      <c r="E47" s="86"/>
      <c r="G47" s="87"/>
      <c r="H47" s="88"/>
    </row>
    <row r="48" spans="3:8" x14ac:dyDescent="0.25">
      <c r="C48" s="84"/>
      <c r="D48" s="85"/>
      <c r="E48" s="86"/>
      <c r="G48" s="87"/>
      <c r="H48" s="88"/>
    </row>
    <row r="49" spans="2:8" x14ac:dyDescent="0.25">
      <c r="C49" s="84"/>
      <c r="D49" s="85"/>
      <c r="E49" s="86"/>
      <c r="G49" s="87"/>
      <c r="H49" s="88"/>
    </row>
    <row r="50" spans="2:8" x14ac:dyDescent="0.25">
      <c r="C50" s="52"/>
      <c r="E50" s="52"/>
    </row>
    <row r="52" spans="2:8" ht="15.75" thickBot="1" x14ac:dyDescent="0.3">
      <c r="B52" s="52" t="s">
        <v>120</v>
      </c>
      <c r="G52" s="62"/>
    </row>
    <row r="53" spans="2:8" ht="34.5" thickBot="1" x14ac:dyDescent="0.3">
      <c r="B53" s="63" t="s">
        <v>102</v>
      </c>
      <c r="C53" s="64" t="s">
        <v>98</v>
      </c>
      <c r="D53" s="64" t="s">
        <v>68</v>
      </c>
      <c r="E53" s="65" t="s">
        <v>103</v>
      </c>
      <c r="F53" s="76" t="s">
        <v>107</v>
      </c>
      <c r="G53" s="77" t="s">
        <v>108</v>
      </c>
      <c r="H53" s="77" t="s">
        <v>119</v>
      </c>
    </row>
    <row r="54" spans="2:8" ht="28.5" customHeight="1" x14ac:dyDescent="0.25">
      <c r="B54" s="95" t="s">
        <v>121</v>
      </c>
      <c r="C54" s="66">
        <v>0</v>
      </c>
      <c r="D54" s="67" t="e">
        <f>+C54*100%/C59</f>
        <v>#DIV/0!</v>
      </c>
      <c r="E54" s="68" t="e">
        <f>+C54/C16</f>
        <v>#DIV/0!</v>
      </c>
      <c r="F54" s="118">
        <f>+F20</f>
        <v>72</v>
      </c>
      <c r="G54" s="78"/>
      <c r="H54" s="75"/>
    </row>
    <row r="55" spans="2:8" ht="25.5" customHeight="1" x14ac:dyDescent="0.25">
      <c r="B55" s="95" t="s">
        <v>122</v>
      </c>
      <c r="C55" s="66">
        <v>0</v>
      </c>
      <c r="D55" s="67" t="e">
        <f>+C55*100%/C59</f>
        <v>#DIV/0!</v>
      </c>
      <c r="E55" s="68" t="e">
        <f>+C55/C16</f>
        <v>#DIV/0!</v>
      </c>
      <c r="F55" s="81"/>
      <c r="G55" s="83">
        <v>3</v>
      </c>
      <c r="H55" s="83"/>
    </row>
    <row r="56" spans="2:8" ht="24.75" customHeight="1" x14ac:dyDescent="0.25">
      <c r="B56" s="97" t="s">
        <v>123</v>
      </c>
      <c r="C56" s="66">
        <v>0</v>
      </c>
      <c r="D56" s="71" t="e">
        <f>+C56*100%/C59</f>
        <v>#DIV/0!</v>
      </c>
      <c r="E56" s="68" t="e">
        <f>+C56/C16</f>
        <v>#DIV/0!</v>
      </c>
      <c r="F56" s="72"/>
      <c r="G56" s="83">
        <v>1</v>
      </c>
      <c r="H56" s="83"/>
    </row>
    <row r="57" spans="2:8" ht="29.25" customHeight="1" x14ac:dyDescent="0.25">
      <c r="B57" s="97" t="s">
        <v>124</v>
      </c>
      <c r="C57" s="66">
        <v>0</v>
      </c>
      <c r="D57" s="71" t="e">
        <f>+C57*100%/C59</f>
        <v>#DIV/0!</v>
      </c>
      <c r="E57" s="68" t="e">
        <f>+C57/C16</f>
        <v>#DIV/0!</v>
      </c>
      <c r="F57" s="72"/>
      <c r="G57" s="83">
        <v>6</v>
      </c>
      <c r="H57" s="83"/>
    </row>
    <row r="58" spans="2:8" ht="22.5" customHeight="1" x14ac:dyDescent="0.25">
      <c r="B58" s="96" t="s">
        <v>125</v>
      </c>
      <c r="C58" s="66">
        <v>0</v>
      </c>
      <c r="D58" s="71" t="e">
        <f>+C58*100%/C59</f>
        <v>#DIV/0!</v>
      </c>
      <c r="E58" s="68" t="e">
        <f>+C58/C16</f>
        <v>#DIV/0!</v>
      </c>
      <c r="F58" s="72"/>
      <c r="G58" s="82"/>
      <c r="H58" s="83">
        <v>2</v>
      </c>
    </row>
    <row r="59" spans="2:8" x14ac:dyDescent="0.25">
      <c r="B59" s="90" t="s">
        <v>113</v>
      </c>
      <c r="C59" s="91">
        <f>SUM(C54:C58)</f>
        <v>0</v>
      </c>
      <c r="D59" s="92" t="e">
        <f>SUM(D54:D58)</f>
        <v>#DIV/0!</v>
      </c>
      <c r="E59" s="93" t="e">
        <f>SUM(E54:E58)</f>
        <v>#DIV/0!</v>
      </c>
      <c r="F59" s="90"/>
      <c r="G59" s="94"/>
      <c r="H59" s="94"/>
    </row>
    <row r="87" spans="2:11" ht="15.75" thickBot="1" x14ac:dyDescent="0.3"/>
    <row r="88" spans="2:11" ht="30" x14ac:dyDescent="0.25">
      <c r="C88" s="128" t="s">
        <v>99</v>
      </c>
      <c r="D88" s="129" t="s">
        <v>100</v>
      </c>
      <c r="E88" s="129" t="s">
        <v>101</v>
      </c>
      <c r="F88" s="130" t="s">
        <v>106</v>
      </c>
    </row>
    <row r="89" spans="2:11" ht="15.75" thickBot="1" x14ac:dyDescent="0.3">
      <c r="C89" s="131">
        <f>+C16</f>
        <v>0</v>
      </c>
      <c r="D89" s="132">
        <f>+D16</f>
        <v>270000</v>
      </c>
      <c r="E89" s="133">
        <f>+C89*D89</f>
        <v>0</v>
      </c>
      <c r="F89" s="134">
        <f>+F16</f>
        <v>84</v>
      </c>
    </row>
    <row r="90" spans="2:11" x14ac:dyDescent="0.25">
      <c r="C90" s="126"/>
      <c r="D90" s="124"/>
      <c r="E90" s="125"/>
      <c r="F90" s="125"/>
      <c r="K90" s="127"/>
    </row>
    <row r="91" spans="2:11" ht="15.75" thickBot="1" x14ac:dyDescent="0.3">
      <c r="C91" s="126"/>
      <c r="D91" s="124"/>
      <c r="E91" s="125"/>
      <c r="F91" s="125"/>
      <c r="K91" s="127"/>
    </row>
    <row r="92" spans="2:11" x14ac:dyDescent="0.25">
      <c r="B92" s="196" t="s">
        <v>160</v>
      </c>
      <c r="C92" s="197"/>
      <c r="D92" s="198"/>
    </row>
    <row r="93" spans="2:11" x14ac:dyDescent="0.25">
      <c r="B93" s="135" t="s">
        <v>158</v>
      </c>
      <c r="C93" s="137">
        <f>+C25</f>
        <v>0</v>
      </c>
      <c r="D93" s="139" t="e">
        <f>+C93/C96</f>
        <v>#DIV/0!</v>
      </c>
    </row>
    <row r="94" spans="2:11" x14ac:dyDescent="0.25">
      <c r="B94" s="135" t="s">
        <v>120</v>
      </c>
      <c r="C94" s="137">
        <f>+C59</f>
        <v>0</v>
      </c>
      <c r="D94" s="139" t="e">
        <f>+C94/C96</f>
        <v>#DIV/0!</v>
      </c>
    </row>
    <row r="95" spans="2:11" ht="15.75" thickBot="1" x14ac:dyDescent="0.3">
      <c r="B95" s="136" t="s">
        <v>114</v>
      </c>
      <c r="C95" s="138">
        <f>+L25</f>
        <v>0</v>
      </c>
      <c r="D95" s="140" t="e">
        <f>+C95/C96</f>
        <v>#DIV/0!</v>
      </c>
    </row>
    <row r="96" spans="2:11" ht="15.75" thickBot="1" x14ac:dyDescent="0.3">
      <c r="B96" s="141" t="s">
        <v>137</v>
      </c>
      <c r="C96" s="142">
        <f>SUM(C93:C95)</f>
        <v>0</v>
      </c>
      <c r="D96" s="143" t="e">
        <f>SUM(D93:D95)</f>
        <v>#DIV/0!</v>
      </c>
    </row>
  </sheetData>
  <autoFilter ref="B19:H26" xr:uid="{00000000-0001-0000-0000-000000000000}"/>
  <mergeCells count="2">
    <mergeCell ref="C13:H13"/>
    <mergeCell ref="B92:D92"/>
  </mergeCells>
  <pageMargins left="0.19685039370078741" right="0.19685039370078741" top="0.19685039370078741" bottom="0.19685039370078741" header="0.31496062992125984" footer="0.31496062992125984"/>
  <pageSetup paperSize="9" scale="70" orientation="landscape" horizontalDpi="0" verticalDpi="0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894DC-3AF1-4952-8106-5F653534C966}">
  <sheetPr>
    <tabColor theme="5" tint="-0.249977111117893"/>
  </sheetPr>
  <dimension ref="B13:Q96"/>
  <sheetViews>
    <sheetView topLeftCell="A40" zoomScale="90" zoomScaleNormal="90" workbookViewId="0">
      <selection activeCell="C59" sqref="C59"/>
    </sheetView>
  </sheetViews>
  <sheetFormatPr baseColWidth="10" defaultColWidth="11" defaultRowHeight="15" x14ac:dyDescent="0.25"/>
  <cols>
    <col min="1" max="1" width="11" style="52"/>
    <col min="2" max="2" width="31.42578125" style="52" customWidth="1"/>
    <col min="3" max="3" width="15.5703125" style="61" customWidth="1"/>
    <col min="4" max="4" width="9.5703125" style="52" customWidth="1"/>
    <col min="5" max="5" width="14" style="62" customWidth="1"/>
    <col min="6" max="6" width="10.85546875" style="52" customWidth="1"/>
    <col min="7" max="8" width="13.28515625" style="52" customWidth="1"/>
    <col min="9" max="9" width="12.42578125" style="52" bestFit="1" customWidth="1"/>
    <col min="10" max="10" width="11" style="52"/>
    <col min="11" max="11" width="33.5703125" style="62" customWidth="1"/>
    <col min="12" max="12" width="19.7109375" style="52" customWidth="1"/>
    <col min="13" max="16384" width="11" style="52"/>
  </cols>
  <sheetData>
    <row r="13" spans="2:8" x14ac:dyDescent="0.25">
      <c r="C13" s="195" t="s">
        <v>104</v>
      </c>
      <c r="D13" s="195"/>
      <c r="E13" s="195"/>
      <c r="F13" s="195"/>
      <c r="G13" s="195"/>
      <c r="H13" s="195"/>
    </row>
    <row r="14" spans="2:8" ht="15.75" thickBot="1" x14ac:dyDescent="0.3">
      <c r="C14" s="53"/>
      <c r="D14" s="53"/>
      <c r="E14" s="53"/>
      <c r="F14" s="53"/>
      <c r="G14" s="53"/>
      <c r="H14" s="53"/>
    </row>
    <row r="15" spans="2:8" ht="30" x14ac:dyDescent="0.25">
      <c r="C15" s="113" t="s">
        <v>99</v>
      </c>
      <c r="D15" s="114" t="s">
        <v>100</v>
      </c>
      <c r="E15" s="114" t="s">
        <v>101</v>
      </c>
      <c r="F15" s="89" t="s">
        <v>106</v>
      </c>
    </row>
    <row r="16" spans="2:8" ht="15.75" thickBot="1" x14ac:dyDescent="0.3">
      <c r="B16" s="56"/>
      <c r="C16" s="115">
        <f>+'PRODUC ACUMULADA'!B16</f>
        <v>0</v>
      </c>
      <c r="D16" s="116">
        <v>280000</v>
      </c>
      <c r="E16" s="117">
        <f>+C16*D16</f>
        <v>0</v>
      </c>
      <c r="F16" s="59">
        <v>70</v>
      </c>
      <c r="G16" s="60"/>
    </row>
    <row r="18" spans="2:17" ht="21.75" thickBot="1" x14ac:dyDescent="0.4">
      <c r="B18" s="98" t="s">
        <v>126</v>
      </c>
      <c r="K18" s="99" t="s">
        <v>114</v>
      </c>
      <c r="L18" s="61"/>
      <c r="N18" s="62"/>
      <c r="P18" s="62"/>
    </row>
    <row r="19" spans="2:17" ht="45.75" thickBot="1" x14ac:dyDescent="0.3">
      <c r="B19" s="63" t="s">
        <v>102</v>
      </c>
      <c r="C19" s="64" t="s">
        <v>98</v>
      </c>
      <c r="D19" s="64" t="s">
        <v>68</v>
      </c>
      <c r="E19" s="65" t="s">
        <v>103</v>
      </c>
      <c r="F19" s="76" t="s">
        <v>107</v>
      </c>
      <c r="G19" s="77" t="s">
        <v>108</v>
      </c>
      <c r="H19" s="77" t="s">
        <v>119</v>
      </c>
      <c r="K19" s="63" t="s">
        <v>102</v>
      </c>
      <c r="L19" s="64" t="s">
        <v>98</v>
      </c>
      <c r="M19" s="64" t="s">
        <v>68</v>
      </c>
      <c r="N19" s="65" t="s">
        <v>103</v>
      </c>
      <c r="O19" s="74" t="s">
        <v>106</v>
      </c>
      <c r="P19" s="76" t="s">
        <v>107</v>
      </c>
      <c r="Q19" s="77" t="s">
        <v>119</v>
      </c>
    </row>
    <row r="20" spans="2:17" x14ac:dyDescent="0.25">
      <c r="B20" s="73" t="s">
        <v>105</v>
      </c>
      <c r="C20" s="66">
        <f>+'RESUMEN 2026'!BX22</f>
        <v>0</v>
      </c>
      <c r="D20" s="67" t="e">
        <f>+C20*100%/C25</f>
        <v>#DIV/0!</v>
      </c>
      <c r="E20" s="68" t="e">
        <f>+C20/C16</f>
        <v>#DIV/0!</v>
      </c>
      <c r="F20" s="78">
        <f>+F16-G21-G22-G23-H24</f>
        <v>58</v>
      </c>
      <c r="G20" s="75"/>
      <c r="H20" s="75"/>
      <c r="K20" s="100" t="s">
        <v>115</v>
      </c>
      <c r="L20" s="66">
        <v>0</v>
      </c>
      <c r="M20" s="67" t="e">
        <f>+L20*100%/L25</f>
        <v>#DIV/0!</v>
      </c>
      <c r="N20" s="68" t="e">
        <f>+L20/C16</f>
        <v>#DIV/0!</v>
      </c>
      <c r="O20" s="118">
        <f>+F20</f>
        <v>58</v>
      </c>
      <c r="P20" s="78"/>
      <c r="Q20" s="75"/>
    </row>
    <row r="21" spans="2:17" x14ac:dyDescent="0.25">
      <c r="B21" s="79" t="s">
        <v>109</v>
      </c>
      <c r="C21" s="66">
        <v>0</v>
      </c>
      <c r="D21" s="67" t="e">
        <f>+C21*100%/C25</f>
        <v>#DIV/0!</v>
      </c>
      <c r="E21" s="68" t="e">
        <f>+C21/C16</f>
        <v>#DIV/0!</v>
      </c>
      <c r="F21" s="82"/>
      <c r="G21" s="83">
        <v>3</v>
      </c>
      <c r="H21" s="83"/>
      <c r="K21" s="100" t="s">
        <v>116</v>
      </c>
      <c r="L21" s="66">
        <v>0</v>
      </c>
      <c r="M21" s="67" t="e">
        <f>+L21*100%/L25</f>
        <v>#DIV/0!</v>
      </c>
      <c r="N21" s="68" t="e">
        <f>+L21/C16</f>
        <v>#DIV/0!</v>
      </c>
      <c r="O21" s="81"/>
      <c r="P21" s="83">
        <v>3</v>
      </c>
      <c r="Q21" s="83"/>
    </row>
    <row r="22" spans="2:17" ht="30" customHeight="1" x14ac:dyDescent="0.25">
      <c r="B22" s="70" t="s">
        <v>110</v>
      </c>
      <c r="C22" s="66">
        <v>0</v>
      </c>
      <c r="D22" s="71" t="e">
        <f>+C22*100%/C25</f>
        <v>#DIV/0!</v>
      </c>
      <c r="E22" s="68" t="e">
        <f>+C22/C16</f>
        <v>#DIV/0!</v>
      </c>
      <c r="F22" s="82"/>
      <c r="G22" s="83">
        <v>1</v>
      </c>
      <c r="H22" s="83"/>
      <c r="K22" s="97" t="s">
        <v>117</v>
      </c>
      <c r="L22" s="66">
        <v>0</v>
      </c>
      <c r="M22" s="71" t="e">
        <f>+L22*100%/L25</f>
        <v>#DIV/0!</v>
      </c>
      <c r="N22" s="68" t="e">
        <f>+L22/C16</f>
        <v>#DIV/0!</v>
      </c>
      <c r="O22" s="72"/>
      <c r="P22" s="83">
        <v>1</v>
      </c>
      <c r="Q22" s="83"/>
    </row>
    <row r="23" spans="2:17" x14ac:dyDescent="0.25">
      <c r="B23" s="70" t="s">
        <v>111</v>
      </c>
      <c r="C23" s="66">
        <v>0</v>
      </c>
      <c r="D23" s="71" t="e">
        <f>+C23*100%/C25</f>
        <v>#DIV/0!</v>
      </c>
      <c r="E23" s="68" t="e">
        <f>+C23/C16</f>
        <v>#DIV/0!</v>
      </c>
      <c r="F23" s="82"/>
      <c r="G23" s="83">
        <v>6</v>
      </c>
      <c r="H23" s="83"/>
      <c r="K23" s="96" t="s">
        <v>118</v>
      </c>
      <c r="L23" s="66">
        <v>0</v>
      </c>
      <c r="M23" s="71" t="e">
        <f>+L23*100%/L25</f>
        <v>#DIV/0!</v>
      </c>
      <c r="N23" s="68" t="e">
        <f>+L23/C16</f>
        <v>#DIV/0!</v>
      </c>
      <c r="O23" s="72"/>
      <c r="P23" s="83">
        <v>6</v>
      </c>
      <c r="Q23" s="83"/>
    </row>
    <row r="24" spans="2:17" x14ac:dyDescent="0.25">
      <c r="B24" s="70" t="s">
        <v>112</v>
      </c>
      <c r="C24" s="66">
        <v>0</v>
      </c>
      <c r="D24" s="71" t="e">
        <f>+C24*100%/C25</f>
        <v>#DIV/0!</v>
      </c>
      <c r="E24" s="68" t="e">
        <f>+C24/C16</f>
        <v>#DIV/0!</v>
      </c>
      <c r="F24" s="82"/>
      <c r="G24" s="83"/>
      <c r="H24" s="83">
        <v>2</v>
      </c>
      <c r="K24" s="96" t="s">
        <v>112</v>
      </c>
      <c r="L24" s="66">
        <f>+'NOVIEMBRE 2026'!L24</f>
        <v>0</v>
      </c>
      <c r="M24" s="71" t="e">
        <f>+L24*100%/L25</f>
        <v>#DIV/0!</v>
      </c>
      <c r="N24" s="68" t="e">
        <f>+L24/C16</f>
        <v>#DIV/0!</v>
      </c>
      <c r="O24" s="72"/>
      <c r="P24" s="82"/>
      <c r="Q24" s="83">
        <v>2</v>
      </c>
    </row>
    <row r="25" spans="2:17" x14ac:dyDescent="0.25">
      <c r="B25" s="90" t="s">
        <v>113</v>
      </c>
      <c r="C25" s="91">
        <f>SUM(C20:C24)</f>
        <v>0</v>
      </c>
      <c r="D25" s="92" t="e">
        <f>SUM(D20:D24)</f>
        <v>#DIV/0!</v>
      </c>
      <c r="E25" s="93" t="e">
        <f>SUM(E20:E24)</f>
        <v>#DIV/0!</v>
      </c>
      <c r="F25" s="94"/>
      <c r="G25" s="94"/>
      <c r="H25" s="94"/>
      <c r="K25" s="90" t="s">
        <v>113</v>
      </c>
      <c r="L25" s="91">
        <f>SUM(L20:L24)</f>
        <v>0</v>
      </c>
      <c r="M25" s="92" t="e">
        <f>SUM(M20:M24)</f>
        <v>#DIV/0!</v>
      </c>
      <c r="N25" s="93" t="e">
        <f>SUM(N20:N24)</f>
        <v>#DIV/0!</v>
      </c>
      <c r="O25" s="90"/>
      <c r="P25" s="94"/>
      <c r="Q25" s="94"/>
    </row>
    <row r="26" spans="2:17" x14ac:dyDescent="0.25">
      <c r="C26" s="84"/>
      <c r="D26" s="85"/>
      <c r="E26" s="86">
        <f>+G25/(340000-H26)</f>
        <v>0</v>
      </c>
      <c r="G26" s="87"/>
      <c r="H26" s="88"/>
      <c r="K26" s="52"/>
    </row>
    <row r="27" spans="2:17" x14ac:dyDescent="0.25">
      <c r="C27" s="84"/>
      <c r="D27" s="85"/>
      <c r="E27" s="86"/>
      <c r="G27" s="87"/>
      <c r="H27" s="88"/>
    </row>
    <row r="28" spans="2:17" x14ac:dyDescent="0.25">
      <c r="C28" s="84"/>
      <c r="D28" s="85"/>
      <c r="E28" s="86"/>
      <c r="G28" s="87"/>
      <c r="H28" s="88"/>
    </row>
    <row r="29" spans="2:17" x14ac:dyDescent="0.25">
      <c r="C29" s="84"/>
      <c r="D29" s="85"/>
      <c r="E29" s="86"/>
      <c r="G29" s="87"/>
      <c r="H29" s="88"/>
      <c r="P29" s="119">
        <f>+O20+P21+P22+P23</f>
        <v>68</v>
      </c>
    </row>
    <row r="30" spans="2:17" x14ac:dyDescent="0.25">
      <c r="C30" s="84"/>
      <c r="D30" s="85"/>
      <c r="E30" s="86"/>
      <c r="G30" s="87"/>
      <c r="H30" s="88"/>
    </row>
    <row r="31" spans="2:17" x14ac:dyDescent="0.25">
      <c r="C31" s="84"/>
      <c r="D31" s="85"/>
      <c r="E31" s="86"/>
      <c r="G31" s="87"/>
      <c r="H31" s="88"/>
    </row>
    <row r="32" spans="2:17" x14ac:dyDescent="0.25">
      <c r="C32" s="84"/>
      <c r="D32" s="85"/>
      <c r="E32" s="86"/>
      <c r="G32" s="87"/>
      <c r="H32" s="88"/>
    </row>
    <row r="33" spans="3:8" x14ac:dyDescent="0.25">
      <c r="C33" s="84"/>
      <c r="D33" s="85"/>
      <c r="E33" s="86"/>
      <c r="G33" s="87"/>
      <c r="H33" s="88"/>
    </row>
    <row r="34" spans="3:8" x14ac:dyDescent="0.25">
      <c r="C34" s="84"/>
      <c r="D34" s="85"/>
      <c r="E34" s="86"/>
      <c r="G34" s="87"/>
      <c r="H34" s="88"/>
    </row>
    <row r="35" spans="3:8" x14ac:dyDescent="0.25">
      <c r="C35" s="84"/>
      <c r="D35" s="85"/>
      <c r="E35" s="86"/>
      <c r="G35" s="87"/>
      <c r="H35" s="88"/>
    </row>
    <row r="36" spans="3:8" x14ac:dyDescent="0.25">
      <c r="C36" s="84"/>
      <c r="D36" s="85"/>
      <c r="E36" s="86"/>
      <c r="G36" s="87"/>
      <c r="H36" s="88"/>
    </row>
    <row r="37" spans="3:8" x14ac:dyDescent="0.25">
      <c r="C37" s="84"/>
      <c r="D37" s="85"/>
      <c r="E37" s="86"/>
      <c r="G37" s="87"/>
      <c r="H37" s="88"/>
    </row>
    <row r="38" spans="3:8" x14ac:dyDescent="0.25">
      <c r="C38" s="84"/>
      <c r="D38" s="85"/>
      <c r="E38" s="86"/>
      <c r="G38" s="87"/>
      <c r="H38" s="88"/>
    </row>
    <row r="39" spans="3:8" x14ac:dyDescent="0.25">
      <c r="C39" s="84"/>
      <c r="D39" s="85"/>
      <c r="E39" s="86"/>
      <c r="G39" s="87"/>
      <c r="H39" s="88"/>
    </row>
    <row r="40" spans="3:8" x14ac:dyDescent="0.25">
      <c r="C40" s="84"/>
      <c r="D40" s="85"/>
      <c r="E40" s="86"/>
      <c r="G40" s="87"/>
      <c r="H40" s="88"/>
    </row>
    <row r="41" spans="3:8" x14ac:dyDescent="0.25">
      <c r="C41" s="84"/>
      <c r="D41" s="85"/>
      <c r="E41" s="86"/>
      <c r="G41" s="87"/>
      <c r="H41" s="88"/>
    </row>
    <row r="42" spans="3:8" x14ac:dyDescent="0.25">
      <c r="C42" s="84"/>
      <c r="D42" s="85"/>
      <c r="E42" s="86"/>
      <c r="G42" s="87"/>
      <c r="H42" s="88"/>
    </row>
    <row r="43" spans="3:8" x14ac:dyDescent="0.25">
      <c r="C43" s="84"/>
      <c r="D43" s="85"/>
      <c r="E43" s="86"/>
      <c r="G43" s="87"/>
      <c r="H43" s="88"/>
    </row>
    <row r="44" spans="3:8" x14ac:dyDescent="0.25">
      <c r="C44" s="84"/>
      <c r="D44" s="85"/>
      <c r="E44" s="86"/>
      <c r="G44" s="87"/>
      <c r="H44" s="88"/>
    </row>
    <row r="45" spans="3:8" x14ac:dyDescent="0.25">
      <c r="C45" s="84"/>
      <c r="D45" s="85"/>
      <c r="E45" s="86"/>
      <c r="G45" s="87"/>
      <c r="H45" s="88"/>
    </row>
    <row r="46" spans="3:8" x14ac:dyDescent="0.25">
      <c r="C46" s="84"/>
      <c r="D46" s="85"/>
      <c r="E46" s="86"/>
      <c r="G46" s="87"/>
      <c r="H46" s="88"/>
    </row>
    <row r="47" spans="3:8" x14ac:dyDescent="0.25">
      <c r="C47" s="84"/>
      <c r="D47" s="85"/>
      <c r="E47" s="86"/>
      <c r="G47" s="87"/>
      <c r="H47" s="88"/>
    </row>
    <row r="48" spans="3:8" x14ac:dyDescent="0.25">
      <c r="C48" s="84"/>
      <c r="D48" s="85"/>
      <c r="E48" s="86"/>
      <c r="G48" s="87"/>
      <c r="H48" s="88"/>
    </row>
    <row r="49" spans="2:8" x14ac:dyDescent="0.25">
      <c r="C49" s="84"/>
      <c r="D49" s="85"/>
      <c r="E49" s="86"/>
      <c r="G49" s="87"/>
      <c r="H49" s="88"/>
    </row>
    <row r="50" spans="2:8" x14ac:dyDescent="0.25">
      <c r="C50" s="52"/>
      <c r="E50" s="52"/>
    </row>
    <row r="52" spans="2:8" ht="15.75" thickBot="1" x14ac:dyDescent="0.3">
      <c r="B52" s="52" t="s">
        <v>120</v>
      </c>
      <c r="G52" s="62"/>
    </row>
    <row r="53" spans="2:8" ht="34.5" thickBot="1" x14ac:dyDescent="0.3">
      <c r="B53" s="63" t="s">
        <v>102</v>
      </c>
      <c r="C53" s="64" t="s">
        <v>98</v>
      </c>
      <c r="D53" s="64" t="s">
        <v>68</v>
      </c>
      <c r="E53" s="65" t="s">
        <v>103</v>
      </c>
      <c r="F53" s="76" t="s">
        <v>107</v>
      </c>
      <c r="G53" s="77" t="s">
        <v>108</v>
      </c>
      <c r="H53" s="77" t="s">
        <v>119</v>
      </c>
    </row>
    <row r="54" spans="2:8" ht="28.5" customHeight="1" x14ac:dyDescent="0.25">
      <c r="B54" s="95" t="s">
        <v>121</v>
      </c>
      <c r="C54" s="66">
        <v>0</v>
      </c>
      <c r="D54" s="67" t="e">
        <f>+C54*100%/C59</f>
        <v>#DIV/0!</v>
      </c>
      <c r="E54" s="68" t="e">
        <f>+C54/C16</f>
        <v>#DIV/0!</v>
      </c>
      <c r="F54" s="118">
        <f>+F20</f>
        <v>58</v>
      </c>
      <c r="G54" s="78"/>
      <c r="H54" s="75"/>
    </row>
    <row r="55" spans="2:8" ht="25.5" customHeight="1" x14ac:dyDescent="0.25">
      <c r="B55" s="95" t="s">
        <v>122</v>
      </c>
      <c r="C55" s="66">
        <v>0</v>
      </c>
      <c r="D55" s="67" t="e">
        <f>+C55*100%/C59</f>
        <v>#DIV/0!</v>
      </c>
      <c r="E55" s="68" t="e">
        <f>+C55/C16</f>
        <v>#DIV/0!</v>
      </c>
      <c r="F55" s="81"/>
      <c r="G55" s="83">
        <v>3</v>
      </c>
      <c r="H55" s="83"/>
    </row>
    <row r="56" spans="2:8" ht="24.75" customHeight="1" x14ac:dyDescent="0.25">
      <c r="B56" s="97" t="s">
        <v>123</v>
      </c>
      <c r="C56" s="66">
        <v>0</v>
      </c>
      <c r="D56" s="71" t="e">
        <f>+C56*100%/C59</f>
        <v>#DIV/0!</v>
      </c>
      <c r="E56" s="68" t="e">
        <f>+C56/C16</f>
        <v>#DIV/0!</v>
      </c>
      <c r="F56" s="72"/>
      <c r="G56" s="83">
        <v>1</v>
      </c>
      <c r="H56" s="83"/>
    </row>
    <row r="57" spans="2:8" ht="29.25" customHeight="1" x14ac:dyDescent="0.25">
      <c r="B57" s="97" t="s">
        <v>124</v>
      </c>
      <c r="C57" s="66">
        <v>0</v>
      </c>
      <c r="D57" s="71" t="e">
        <f>+C57*100%/C59</f>
        <v>#DIV/0!</v>
      </c>
      <c r="E57" s="68" t="e">
        <f>+C57/C16</f>
        <v>#DIV/0!</v>
      </c>
      <c r="F57" s="72"/>
      <c r="G57" s="83">
        <v>6</v>
      </c>
      <c r="H57" s="83"/>
    </row>
    <row r="58" spans="2:8" ht="22.5" customHeight="1" x14ac:dyDescent="0.25">
      <c r="B58" s="96" t="s">
        <v>125</v>
      </c>
      <c r="C58" s="66">
        <v>0</v>
      </c>
      <c r="D58" s="71" t="e">
        <f>+C58*100%/C59</f>
        <v>#DIV/0!</v>
      </c>
      <c r="E58" s="68" t="e">
        <f>+C58/C16</f>
        <v>#DIV/0!</v>
      </c>
      <c r="F58" s="72"/>
      <c r="G58" s="82"/>
      <c r="H58" s="83">
        <v>2</v>
      </c>
    </row>
    <row r="59" spans="2:8" x14ac:dyDescent="0.25">
      <c r="B59" s="90" t="s">
        <v>113</v>
      </c>
      <c r="C59" s="91">
        <f>SUM(C54:C58)</f>
        <v>0</v>
      </c>
      <c r="D59" s="92" t="e">
        <f>SUM(D54:D58)</f>
        <v>#DIV/0!</v>
      </c>
      <c r="E59" s="93" t="e">
        <f>SUM(E54:E58)</f>
        <v>#DIV/0!</v>
      </c>
      <c r="F59" s="90"/>
      <c r="G59" s="94"/>
      <c r="H59" s="94"/>
    </row>
    <row r="87" spans="2:11" ht="15.75" thickBot="1" x14ac:dyDescent="0.3"/>
    <row r="88" spans="2:11" ht="30" x14ac:dyDescent="0.25">
      <c r="C88" s="128" t="s">
        <v>99</v>
      </c>
      <c r="D88" s="129" t="s">
        <v>100</v>
      </c>
      <c r="E88" s="129" t="s">
        <v>101</v>
      </c>
      <c r="F88" s="130" t="s">
        <v>106</v>
      </c>
    </row>
    <row r="89" spans="2:11" ht="15.75" thickBot="1" x14ac:dyDescent="0.3">
      <c r="C89" s="131">
        <f>+C16</f>
        <v>0</v>
      </c>
      <c r="D89" s="132">
        <f>+D16</f>
        <v>280000</v>
      </c>
      <c r="E89" s="133">
        <f>+C89*D89</f>
        <v>0</v>
      </c>
      <c r="F89" s="134">
        <f>+F16</f>
        <v>70</v>
      </c>
    </row>
    <row r="90" spans="2:11" x14ac:dyDescent="0.25">
      <c r="C90" s="126"/>
      <c r="D90" s="124"/>
      <c r="E90" s="125"/>
      <c r="F90" s="125"/>
      <c r="K90" s="127"/>
    </row>
    <row r="91" spans="2:11" ht="15.75" thickBot="1" x14ac:dyDescent="0.3">
      <c r="C91" s="126"/>
      <c r="D91" s="124"/>
      <c r="E91" s="125"/>
      <c r="F91" s="125"/>
      <c r="K91" s="127"/>
    </row>
    <row r="92" spans="2:11" x14ac:dyDescent="0.25">
      <c r="B92" s="196" t="s">
        <v>152</v>
      </c>
      <c r="C92" s="197"/>
      <c r="D92" s="198"/>
    </row>
    <row r="93" spans="2:11" x14ac:dyDescent="0.25">
      <c r="B93" s="135" t="s">
        <v>149</v>
      </c>
      <c r="C93" s="137">
        <f>+C25</f>
        <v>0</v>
      </c>
      <c r="D93" s="139" t="e">
        <f>+C93/C96</f>
        <v>#DIV/0!</v>
      </c>
    </row>
    <row r="94" spans="2:11" x14ac:dyDescent="0.25">
      <c r="B94" s="135" t="s">
        <v>120</v>
      </c>
      <c r="C94" s="137">
        <f>+C59</f>
        <v>0</v>
      </c>
      <c r="D94" s="139" t="e">
        <f>+C94/C96</f>
        <v>#DIV/0!</v>
      </c>
    </row>
    <row r="95" spans="2:11" ht="15.75" thickBot="1" x14ac:dyDescent="0.3">
      <c r="B95" s="136" t="s">
        <v>114</v>
      </c>
      <c r="C95" s="138">
        <f>+L25</f>
        <v>0</v>
      </c>
      <c r="D95" s="140" t="e">
        <f>+C95/C96</f>
        <v>#DIV/0!</v>
      </c>
    </row>
    <row r="96" spans="2:11" ht="15.75" thickBot="1" x14ac:dyDescent="0.3">
      <c r="B96" s="141" t="s">
        <v>137</v>
      </c>
      <c r="C96" s="142">
        <f>SUM(C93:C95)</f>
        <v>0</v>
      </c>
      <c r="D96" s="143" t="e">
        <f>SUM(D93:D95)</f>
        <v>#DIV/0!</v>
      </c>
    </row>
  </sheetData>
  <autoFilter ref="B19:H26" xr:uid="{00000000-0001-0000-0000-000000000000}"/>
  <mergeCells count="2">
    <mergeCell ref="C13:H13"/>
    <mergeCell ref="B92:D92"/>
  </mergeCells>
  <pageMargins left="0.19685039370078741" right="0.19685039370078741" top="0.19685039370078741" bottom="0.19685039370078741" header="0.31496062992125984" footer="0.31496062992125984"/>
  <pageSetup paperSize="9" scale="70" orientation="landscape" horizontalDpi="0" verticalDpi="0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68E13-1480-4357-9C76-608C52ED2461}">
  <sheetPr>
    <tabColor theme="5" tint="-0.249977111117893"/>
  </sheetPr>
  <dimension ref="B13:Q121"/>
  <sheetViews>
    <sheetView topLeftCell="A7" zoomScale="90" zoomScaleNormal="90" workbookViewId="0">
      <selection activeCell="C16" sqref="C16"/>
    </sheetView>
  </sheetViews>
  <sheetFormatPr baseColWidth="10" defaultColWidth="11" defaultRowHeight="15" x14ac:dyDescent="0.25"/>
  <cols>
    <col min="1" max="1" width="11" style="52"/>
    <col min="2" max="2" width="15.140625" style="52" customWidth="1"/>
    <col min="3" max="3" width="20.28515625" style="61" customWidth="1"/>
    <col min="4" max="4" width="12.140625" style="52" customWidth="1"/>
    <col min="5" max="5" width="19.7109375" style="62" customWidth="1"/>
    <col min="6" max="6" width="12.42578125" style="52" customWidth="1"/>
    <col min="7" max="8" width="13.28515625" style="52" customWidth="1"/>
    <col min="9" max="9" width="12.42578125" style="52" bestFit="1" customWidth="1"/>
    <col min="10" max="10" width="11" style="52"/>
    <col min="11" max="11" width="13.42578125" style="62" customWidth="1"/>
    <col min="12" max="12" width="13" style="52" customWidth="1"/>
    <col min="13" max="16384" width="11" style="52"/>
  </cols>
  <sheetData>
    <row r="13" spans="2:8" x14ac:dyDescent="0.25">
      <c r="C13" s="195" t="s">
        <v>167</v>
      </c>
      <c r="D13" s="195"/>
      <c r="E13" s="195"/>
      <c r="F13" s="195"/>
      <c r="G13" s="195"/>
      <c r="H13" s="195"/>
    </row>
    <row r="14" spans="2:8" ht="15.75" thickBot="1" x14ac:dyDescent="0.3">
      <c r="C14" s="53"/>
      <c r="D14" s="53"/>
      <c r="E14" s="53"/>
      <c r="F14" s="53"/>
      <c r="G14" s="53"/>
      <c r="H14" s="53"/>
    </row>
    <row r="15" spans="2:8" ht="45" x14ac:dyDescent="0.25">
      <c r="C15" s="113" t="s">
        <v>153</v>
      </c>
      <c r="D15" s="114" t="s">
        <v>154</v>
      </c>
      <c r="E15" s="114" t="s">
        <v>101</v>
      </c>
      <c r="F15" s="89" t="s">
        <v>155</v>
      </c>
    </row>
    <row r="16" spans="2:8" ht="15.75" thickBot="1" x14ac:dyDescent="0.3">
      <c r="B16" s="56"/>
      <c r="C16" s="115">
        <f>+'PRODUC ACUMULADA'!B17</f>
        <v>9192.5999999999985</v>
      </c>
      <c r="D16" s="116">
        <v>290000</v>
      </c>
      <c r="E16" s="117">
        <f>+C16*D16</f>
        <v>2665853999.9999995</v>
      </c>
      <c r="F16" s="59">
        <f>+'ENERO 2026'!F16</f>
        <v>71</v>
      </c>
      <c r="G16" s="60"/>
    </row>
    <row r="18" spans="2:17" ht="21" x14ac:dyDescent="0.35">
      <c r="B18" s="98"/>
      <c r="C18" s="144"/>
      <c r="E18" s="127"/>
      <c r="K18" s="99"/>
      <c r="L18" s="144"/>
      <c r="N18" s="127"/>
      <c r="P18" s="127"/>
    </row>
    <row r="19" spans="2:17" ht="15.75" thickBot="1" x14ac:dyDescent="0.3">
      <c r="B19" s="145"/>
      <c r="C19" s="56"/>
      <c r="D19" s="56"/>
      <c r="E19" s="146"/>
      <c r="F19" s="147"/>
      <c r="G19" s="148"/>
      <c r="H19" s="148"/>
      <c r="K19" s="52"/>
      <c r="M19" s="56"/>
      <c r="N19" s="146"/>
      <c r="O19" s="149"/>
      <c r="P19" s="147"/>
      <c r="Q19" s="148"/>
    </row>
    <row r="20" spans="2:17" ht="27" customHeight="1" thickBot="1" x14ac:dyDescent="0.3">
      <c r="B20" s="199" t="s">
        <v>156</v>
      </c>
      <c r="C20" s="200"/>
      <c r="D20" s="175" t="s">
        <v>128</v>
      </c>
      <c r="E20" s="152"/>
      <c r="F20" s="119"/>
      <c r="G20" s="119"/>
      <c r="H20" s="119"/>
      <c r="K20" s="52"/>
      <c r="M20" s="151"/>
      <c r="N20" s="152"/>
      <c r="O20" s="153"/>
      <c r="P20" s="119"/>
      <c r="Q20" s="119"/>
    </row>
    <row r="21" spans="2:17" x14ac:dyDescent="0.25">
      <c r="B21" s="166" t="s">
        <v>56</v>
      </c>
      <c r="C21" s="171">
        <f>+'ENERO 2026'!C93</f>
        <v>244689564.49192381</v>
      </c>
      <c r="D21" s="163">
        <f>+'PRODUC ACUMULADA'!B5</f>
        <v>1698.66</v>
      </c>
      <c r="E21" s="152"/>
      <c r="F21" s="119"/>
      <c r="G21" s="119"/>
      <c r="H21" s="119"/>
      <c r="K21" s="52"/>
      <c r="M21" s="151"/>
      <c r="N21" s="152"/>
      <c r="O21" s="154"/>
      <c r="P21" s="119"/>
      <c r="Q21" s="119"/>
    </row>
    <row r="22" spans="2:17" ht="19.5" customHeight="1" x14ac:dyDescent="0.25">
      <c r="B22" s="164" t="s">
        <v>60</v>
      </c>
      <c r="C22" s="172">
        <f>+'FEBRERO 2026'!C95</f>
        <v>269825390.13624936</v>
      </c>
      <c r="D22" s="163">
        <f>+'PRODUC ACUMULADA'!B6</f>
        <v>1830.15</v>
      </c>
      <c r="E22" s="152"/>
      <c r="F22" s="119"/>
      <c r="G22" s="119"/>
      <c r="H22" s="119"/>
      <c r="K22" s="52"/>
      <c r="M22" s="155"/>
      <c r="N22" s="152"/>
      <c r="O22" s="156"/>
      <c r="P22" s="119"/>
      <c r="Q22" s="119"/>
    </row>
    <row r="23" spans="2:17" x14ac:dyDescent="0.25">
      <c r="B23" s="164" t="s">
        <v>157</v>
      </c>
      <c r="C23" s="172">
        <f>+'MARZO 2026'!C96</f>
        <v>290271561.69818497</v>
      </c>
      <c r="D23" s="163">
        <f>+'PRODUC ACUMULADA'!B7</f>
        <v>1898.77</v>
      </c>
      <c r="E23" s="152"/>
      <c r="F23" s="119"/>
      <c r="G23" s="119"/>
      <c r="H23" s="119"/>
      <c r="K23" s="52"/>
      <c r="M23" s="155"/>
      <c r="N23" s="152"/>
      <c r="O23" s="156"/>
      <c r="P23" s="119"/>
      <c r="Q23" s="119"/>
    </row>
    <row r="24" spans="2:17" x14ac:dyDescent="0.25">
      <c r="B24" s="164" t="s">
        <v>81</v>
      </c>
      <c r="C24" s="172">
        <f>+'ABRIL 2026'!C95</f>
        <v>291108216.84869874</v>
      </c>
      <c r="D24" s="163">
        <f>+'PRODUC ACUMULADA'!B8</f>
        <v>1800.91</v>
      </c>
      <c r="E24" s="152"/>
      <c r="F24" s="119"/>
      <c r="G24" s="119"/>
      <c r="H24" s="119"/>
      <c r="K24" s="52"/>
      <c r="M24" s="155"/>
      <c r="N24" s="152"/>
      <c r="O24" s="156"/>
      <c r="P24" s="119"/>
      <c r="Q24" s="119"/>
    </row>
    <row r="25" spans="2:17" x14ac:dyDescent="0.25">
      <c r="B25" s="135" t="s">
        <v>83</v>
      </c>
      <c r="C25" s="172">
        <f>+'MAYO 2026'!C96</f>
        <v>238395520.79618371</v>
      </c>
      <c r="D25" s="163">
        <f>+'PRODUC ACUMULADA'!B9</f>
        <v>1964.1099999999997</v>
      </c>
      <c r="E25" s="127"/>
      <c r="F25" s="150"/>
      <c r="G25" s="150"/>
      <c r="H25" s="150"/>
      <c r="K25" s="52"/>
      <c r="M25" s="165"/>
      <c r="N25" s="127"/>
      <c r="P25" s="150"/>
      <c r="Q25" s="150"/>
    </row>
    <row r="26" spans="2:17" x14ac:dyDescent="0.25">
      <c r="B26" s="135" t="s">
        <v>84</v>
      </c>
      <c r="C26" s="173">
        <f>+'JUNIO 2026'!C94</f>
        <v>0</v>
      </c>
      <c r="D26" s="163">
        <f>+'PRODUC ACUMULADA'!B10</f>
        <v>0</v>
      </c>
      <c r="E26" s="154"/>
      <c r="G26" s="87"/>
      <c r="H26" s="88"/>
      <c r="K26" s="52"/>
    </row>
    <row r="27" spans="2:17" x14ac:dyDescent="0.25">
      <c r="B27" s="135" t="s">
        <v>85</v>
      </c>
      <c r="C27" s="173">
        <f>+'JULIO 2026'!C96</f>
        <v>0</v>
      </c>
      <c r="D27" s="163">
        <f>+'PRODUC ACUMULADA'!B11</f>
        <v>0</v>
      </c>
      <c r="E27" s="154"/>
      <c r="G27" s="87"/>
      <c r="H27" s="88"/>
      <c r="K27" s="52"/>
    </row>
    <row r="28" spans="2:17" x14ac:dyDescent="0.25">
      <c r="B28" s="135" t="s">
        <v>86</v>
      </c>
      <c r="C28" s="173">
        <f>+'AGOSTO 2026'!C96</f>
        <v>0</v>
      </c>
      <c r="D28" s="163">
        <f>+'PRODUC ACUMULADA'!B12</f>
        <v>0</v>
      </c>
      <c r="E28" s="154"/>
      <c r="G28" s="87"/>
      <c r="H28" s="88"/>
      <c r="K28" s="52"/>
    </row>
    <row r="29" spans="2:17" x14ac:dyDescent="0.25">
      <c r="B29" s="135" t="s">
        <v>87</v>
      </c>
      <c r="C29" s="173">
        <f>+'SEPTIEMBRE 2026'!C96</f>
        <v>0</v>
      </c>
      <c r="D29" s="163">
        <f>+'PRODUC ACUMULADA'!B13</f>
        <v>0</v>
      </c>
      <c r="E29" s="154"/>
      <c r="G29" s="87"/>
      <c r="H29" s="88"/>
      <c r="K29" s="52"/>
      <c r="P29" s="119"/>
    </row>
    <row r="30" spans="2:17" x14ac:dyDescent="0.25">
      <c r="B30" s="135" t="s">
        <v>57</v>
      </c>
      <c r="C30" s="170">
        <f>+'OCTUBRE 2026'!C96</f>
        <v>0</v>
      </c>
      <c r="D30" s="163">
        <f>+'PRODUC ACUMULADA'!B14</f>
        <v>0</v>
      </c>
      <c r="E30" s="154"/>
      <c r="G30" s="87"/>
      <c r="H30" s="88"/>
      <c r="K30" s="52"/>
    </row>
    <row r="31" spans="2:17" x14ac:dyDescent="0.25">
      <c r="B31" s="135" t="s">
        <v>58</v>
      </c>
      <c r="C31" s="170">
        <f>+'NOVIEMBRE 2026'!C96</f>
        <v>0</v>
      </c>
      <c r="D31" s="163">
        <f>+'PRODUC ACUMULADA'!B15</f>
        <v>0</v>
      </c>
      <c r="E31" s="154"/>
      <c r="G31" s="87"/>
      <c r="H31" s="88"/>
      <c r="K31" s="52"/>
    </row>
    <row r="32" spans="2:17" ht="15.75" thickBot="1" x14ac:dyDescent="0.3">
      <c r="B32" s="136" t="s">
        <v>59</v>
      </c>
      <c r="C32" s="174">
        <f>+'DICIEMBRE 2026'!C25</f>
        <v>0</v>
      </c>
      <c r="D32" s="163">
        <f>+'PRODUC ACUMULADA'!B16</f>
        <v>0</v>
      </c>
      <c r="E32" s="154"/>
      <c r="G32" s="87"/>
      <c r="H32" s="88"/>
      <c r="K32" s="52"/>
    </row>
    <row r="33" spans="2:11" x14ac:dyDescent="0.25">
      <c r="C33" s="157"/>
      <c r="D33" s="85"/>
      <c r="E33" s="154"/>
      <c r="G33" s="87"/>
      <c r="H33" s="88"/>
      <c r="K33" s="127"/>
    </row>
    <row r="34" spans="2:11" x14ac:dyDescent="0.25">
      <c r="C34" s="157"/>
      <c r="D34" s="85"/>
      <c r="E34" s="154"/>
      <c r="G34" s="87"/>
      <c r="H34" s="88"/>
      <c r="K34" s="127"/>
    </row>
    <row r="35" spans="2:11" x14ac:dyDescent="0.25">
      <c r="C35" s="157"/>
      <c r="D35" s="85"/>
      <c r="E35" s="154"/>
      <c r="G35" s="87"/>
      <c r="H35" s="88"/>
      <c r="K35" s="127"/>
    </row>
    <row r="36" spans="2:11" x14ac:dyDescent="0.25">
      <c r="C36" s="157"/>
      <c r="D36" s="85"/>
      <c r="E36" s="154"/>
      <c r="G36" s="87"/>
      <c r="H36" s="88"/>
      <c r="K36" s="127"/>
    </row>
    <row r="37" spans="2:11" x14ac:dyDescent="0.25">
      <c r="C37" s="157"/>
      <c r="D37" s="85"/>
      <c r="E37" s="154"/>
      <c r="G37" s="87"/>
      <c r="H37" s="88"/>
      <c r="K37" s="127"/>
    </row>
    <row r="38" spans="2:11" x14ac:dyDescent="0.25">
      <c r="C38" s="157"/>
      <c r="D38" s="85"/>
      <c r="E38" s="154"/>
      <c r="G38" s="87"/>
      <c r="H38" s="88"/>
      <c r="K38" s="127"/>
    </row>
    <row r="39" spans="2:11" x14ac:dyDescent="0.25">
      <c r="C39" s="157"/>
      <c r="D39" s="85"/>
      <c r="E39" s="154"/>
      <c r="G39" s="87"/>
      <c r="H39" s="88"/>
      <c r="K39" s="127"/>
    </row>
    <row r="40" spans="2:11" x14ac:dyDescent="0.25">
      <c r="C40" s="157"/>
      <c r="D40" s="85"/>
      <c r="E40" s="154"/>
      <c r="G40" s="87"/>
      <c r="H40" s="88"/>
      <c r="K40" s="127"/>
    </row>
    <row r="41" spans="2:11" x14ac:dyDescent="0.25">
      <c r="C41" s="157"/>
      <c r="D41" s="85"/>
      <c r="E41" s="154"/>
      <c r="G41" s="87"/>
      <c r="H41" s="88"/>
      <c r="K41" s="127"/>
    </row>
    <row r="42" spans="2:11" x14ac:dyDescent="0.25">
      <c r="C42" s="157"/>
      <c r="D42" s="85"/>
      <c r="E42" s="154"/>
      <c r="G42" s="87"/>
      <c r="H42" s="88"/>
      <c r="K42" s="127"/>
    </row>
    <row r="43" spans="2:11" x14ac:dyDescent="0.25">
      <c r="C43" s="157"/>
      <c r="D43" s="85"/>
      <c r="E43" s="154"/>
      <c r="G43" s="87"/>
      <c r="H43" s="88"/>
      <c r="K43" s="127"/>
    </row>
    <row r="44" spans="2:11" x14ac:dyDescent="0.25">
      <c r="C44" s="157"/>
      <c r="D44" s="85"/>
      <c r="E44" s="154"/>
      <c r="G44" s="87"/>
      <c r="H44" s="88"/>
      <c r="K44" s="127"/>
    </row>
    <row r="45" spans="2:11" x14ac:dyDescent="0.25">
      <c r="B45" s="167"/>
      <c r="C45" s="167"/>
      <c r="D45" s="85"/>
      <c r="E45" s="154"/>
      <c r="G45" s="87"/>
      <c r="H45" s="88"/>
      <c r="K45" s="127"/>
    </row>
    <row r="46" spans="2:11" x14ac:dyDescent="0.25">
      <c r="B46" s="168"/>
      <c r="C46" s="169"/>
      <c r="D46" s="85"/>
      <c r="E46" s="154"/>
      <c r="G46" s="87"/>
      <c r="H46" s="88"/>
      <c r="K46" s="127"/>
    </row>
    <row r="47" spans="2:11" x14ac:dyDescent="0.25">
      <c r="B47" s="168"/>
      <c r="C47" s="169"/>
      <c r="D47" s="85"/>
      <c r="E47" s="154"/>
      <c r="G47" s="87"/>
      <c r="H47" s="88"/>
      <c r="K47" s="127"/>
    </row>
    <row r="48" spans="2:11" x14ac:dyDescent="0.25">
      <c r="B48" s="168"/>
      <c r="C48" s="169"/>
      <c r="D48" s="85"/>
      <c r="E48" s="154"/>
      <c r="G48" s="87"/>
      <c r="H48" s="88"/>
      <c r="K48" s="127"/>
    </row>
    <row r="49" spans="2:11" x14ac:dyDescent="0.25">
      <c r="B49" s="168"/>
      <c r="C49" s="169"/>
      <c r="D49" s="85"/>
      <c r="E49" s="154"/>
      <c r="G49" s="87"/>
      <c r="H49" s="88"/>
      <c r="K49" s="127"/>
    </row>
    <row r="50" spans="2:11" x14ac:dyDescent="0.25">
      <c r="B50" s="168"/>
      <c r="C50" s="169"/>
      <c r="E50" s="52"/>
      <c r="K50" s="127"/>
    </row>
    <row r="51" spans="2:11" x14ac:dyDescent="0.25">
      <c r="B51" s="168"/>
      <c r="C51" s="169"/>
      <c r="E51" s="127"/>
      <c r="K51" s="127"/>
    </row>
    <row r="52" spans="2:11" ht="15.75" thickBot="1" x14ac:dyDescent="0.3">
      <c r="B52" s="168"/>
      <c r="C52" s="169"/>
      <c r="E52" s="127"/>
      <c r="G52" s="127"/>
      <c r="K52" s="127"/>
    </row>
    <row r="53" spans="2:11" ht="15.75" thickBot="1" x14ac:dyDescent="0.3">
      <c r="B53" s="199" t="s">
        <v>156</v>
      </c>
      <c r="C53" s="200"/>
      <c r="D53" s="56"/>
      <c r="E53" s="146"/>
      <c r="F53" s="147"/>
      <c r="G53" s="148"/>
      <c r="H53" s="148"/>
      <c r="K53" s="127"/>
    </row>
    <row r="54" spans="2:11" ht="16.5" customHeight="1" x14ac:dyDescent="0.25">
      <c r="B54" s="166" t="s">
        <v>56</v>
      </c>
      <c r="C54" s="176">
        <f>+'ENERO 2026'!E25+'ENERO 2026'!E59+'ENERO 2026'!N25</f>
        <v>144048.58211291477</v>
      </c>
      <c r="D54" s="151"/>
      <c r="E54" s="152"/>
      <c r="F54" s="153"/>
      <c r="G54" s="119"/>
      <c r="H54" s="119"/>
      <c r="K54" s="127"/>
    </row>
    <row r="55" spans="2:11" ht="20.25" customHeight="1" x14ac:dyDescent="0.25">
      <c r="B55" s="164" t="s">
        <v>60</v>
      </c>
      <c r="C55" s="177">
        <f>+'FEBRERO 2026'!E25+'FEBRERO 2026'!N25+'FEBRERO 2026'!E59</f>
        <v>147433.48366868799</v>
      </c>
      <c r="D55" s="151"/>
      <c r="E55" s="152"/>
      <c r="F55" s="154"/>
      <c r="G55" s="119"/>
      <c r="H55" s="119"/>
      <c r="K55" s="127"/>
    </row>
    <row r="56" spans="2:11" ht="14.25" customHeight="1" x14ac:dyDescent="0.25">
      <c r="B56" s="164" t="s">
        <v>157</v>
      </c>
      <c r="C56" s="177">
        <f>+'MARZO 2026'!E25+'MARZO 2026'!N25+'MARZO 2026'!E59</f>
        <v>152873.47161487961</v>
      </c>
      <c r="D56" s="155"/>
      <c r="E56" s="152"/>
      <c r="F56" s="156"/>
      <c r="G56" s="119"/>
      <c r="H56" s="119"/>
      <c r="K56" s="127"/>
    </row>
    <row r="57" spans="2:11" ht="15" customHeight="1" x14ac:dyDescent="0.25">
      <c r="B57" s="164" t="s">
        <v>81</v>
      </c>
      <c r="C57" s="177">
        <f>+'ABRIL 2026'!E25+'ABRIL 2026'!N25+'ABRIL 2026'!E59</f>
        <v>161645.06657672994</v>
      </c>
      <c r="D57" s="155"/>
      <c r="E57" s="152"/>
      <c r="F57" s="156"/>
      <c r="G57" s="119"/>
      <c r="H57" s="119"/>
      <c r="K57" s="127"/>
    </row>
    <row r="58" spans="2:11" ht="22.5" customHeight="1" x14ac:dyDescent="0.25">
      <c r="B58" s="135" t="s">
        <v>83</v>
      </c>
      <c r="C58" s="177">
        <f>+'MAYO 2026'!E25+'MAYO 2026'!N25+'MAYO 2026'!E59</f>
        <v>121375.85002682322</v>
      </c>
      <c r="D58" s="155"/>
      <c r="E58" s="152"/>
      <c r="F58" s="156"/>
      <c r="G58" s="119"/>
      <c r="H58" s="119"/>
      <c r="K58" s="127"/>
    </row>
    <row r="59" spans="2:11" x14ac:dyDescent="0.25">
      <c r="B59" s="135" t="s">
        <v>84</v>
      </c>
      <c r="C59" s="178" t="e">
        <f>+'JUNIO 2026'!E25+'JUNIO 2026'!N25+'JUNIO 2026'!E59</f>
        <v>#DIV/0!</v>
      </c>
      <c r="D59" s="165"/>
      <c r="E59" s="127"/>
      <c r="G59" s="150"/>
      <c r="H59" s="150"/>
      <c r="K59" s="127"/>
    </row>
    <row r="60" spans="2:11" x14ac:dyDescent="0.25">
      <c r="B60" s="135" t="s">
        <v>85</v>
      </c>
      <c r="C60" s="178" t="e">
        <f>+'JULIO 2026'!E25+'JULIO 2026'!N25+'JULIO 2026'!E59</f>
        <v>#DIV/0!</v>
      </c>
      <c r="E60" s="127"/>
      <c r="K60" s="127"/>
    </row>
    <row r="61" spans="2:11" x14ac:dyDescent="0.25">
      <c r="B61" s="135" t="s">
        <v>86</v>
      </c>
      <c r="C61" s="178" t="e">
        <f>+'AGOSTO 2026'!E25+'AGOSTO 2026'!N25+'AGOSTO 2026'!E59</f>
        <v>#DIV/0!</v>
      </c>
      <c r="E61" s="127"/>
      <c r="K61" s="127"/>
    </row>
    <row r="62" spans="2:11" x14ac:dyDescent="0.25">
      <c r="B62" s="135" t="s">
        <v>87</v>
      </c>
      <c r="C62" s="178" t="e">
        <f>+'SEPTIEMBRE 2026'!E25+'SEPTIEMBRE 2026'!N25+'SEPTIEMBRE 2026'!E59</f>
        <v>#DIV/0!</v>
      </c>
      <c r="E62" s="127"/>
      <c r="K62" s="127"/>
    </row>
    <row r="63" spans="2:11" x14ac:dyDescent="0.25">
      <c r="B63" s="135" t="s">
        <v>57</v>
      </c>
      <c r="C63" s="178" t="e">
        <f>+'OCTUBRE 2026'!E25+'OCTUBRE 2026'!E59+'OCTUBRE 2026'!N25</f>
        <v>#DIV/0!</v>
      </c>
      <c r="E63" s="127"/>
      <c r="K63" s="127"/>
    </row>
    <row r="64" spans="2:11" x14ac:dyDescent="0.25">
      <c r="B64" s="135" t="s">
        <v>58</v>
      </c>
      <c r="C64" s="178" t="e">
        <f>+'NOVIEMBRE 2026'!E25+'NOVIEMBRE 2026'!N25+'NOVIEMBRE 2026'!E59</f>
        <v>#DIV/0!</v>
      </c>
      <c r="E64" s="127"/>
      <c r="K64" s="127"/>
    </row>
    <row r="65" spans="2:11" ht="15.75" thickBot="1" x14ac:dyDescent="0.3">
      <c r="B65" s="136" t="s">
        <v>59</v>
      </c>
      <c r="C65" s="178" t="e">
        <f>+'DICIEMBRE 2026'!E25+'DICIEMBRE 2026'!N25+'DICIEMBRE 2026'!E59</f>
        <v>#DIV/0!</v>
      </c>
      <c r="E65" s="127"/>
      <c r="K65" s="127"/>
    </row>
    <row r="66" spans="2:11" x14ac:dyDescent="0.25">
      <c r="C66" s="144"/>
      <c r="E66" s="127"/>
      <c r="K66" s="127"/>
    </row>
    <row r="67" spans="2:11" x14ac:dyDescent="0.25">
      <c r="C67" s="144"/>
      <c r="E67" s="127"/>
      <c r="K67" s="127"/>
    </row>
    <row r="68" spans="2:11" x14ac:dyDescent="0.25">
      <c r="C68" s="144"/>
      <c r="E68" s="127"/>
      <c r="K68" s="127"/>
    </row>
    <row r="69" spans="2:11" x14ac:dyDescent="0.25">
      <c r="C69" s="144"/>
      <c r="E69" s="127"/>
      <c r="K69" s="127"/>
    </row>
    <row r="70" spans="2:11" x14ac:dyDescent="0.25">
      <c r="C70" s="144"/>
      <c r="E70" s="127"/>
      <c r="K70" s="127"/>
    </row>
    <row r="71" spans="2:11" x14ac:dyDescent="0.25">
      <c r="C71" s="144"/>
      <c r="E71" s="127"/>
      <c r="K71" s="127"/>
    </row>
    <row r="72" spans="2:11" x14ac:dyDescent="0.25">
      <c r="C72" s="144"/>
      <c r="E72" s="127"/>
      <c r="K72" s="127"/>
    </row>
    <row r="73" spans="2:11" x14ac:dyDescent="0.25">
      <c r="C73" s="144"/>
      <c r="E73" s="127"/>
      <c r="K73" s="127"/>
    </row>
    <row r="74" spans="2:11" x14ac:dyDescent="0.25">
      <c r="C74" s="144"/>
      <c r="E74" s="127"/>
      <c r="K74" s="127"/>
    </row>
    <row r="75" spans="2:11" x14ac:dyDescent="0.25">
      <c r="C75" s="144"/>
      <c r="E75" s="127"/>
      <c r="K75" s="127"/>
    </row>
    <row r="76" spans="2:11" x14ac:dyDescent="0.25">
      <c r="C76" s="144"/>
      <c r="E76" s="127"/>
      <c r="K76" s="127"/>
    </row>
    <row r="77" spans="2:11" x14ac:dyDescent="0.25">
      <c r="C77" s="144"/>
      <c r="E77" s="127"/>
      <c r="K77" s="127"/>
    </row>
    <row r="78" spans="2:11" x14ac:dyDescent="0.25">
      <c r="C78" s="144"/>
      <c r="E78" s="127"/>
      <c r="K78" s="127"/>
    </row>
    <row r="79" spans="2:11" x14ac:dyDescent="0.25">
      <c r="C79" s="144"/>
      <c r="E79" s="127"/>
      <c r="K79" s="127"/>
    </row>
    <row r="80" spans="2:11" x14ac:dyDescent="0.25">
      <c r="C80" s="144"/>
      <c r="E80" s="127"/>
      <c r="K80" s="127"/>
    </row>
    <row r="81" spans="2:11" x14ac:dyDescent="0.25">
      <c r="C81" s="144"/>
      <c r="E81" s="127"/>
      <c r="K81" s="127"/>
    </row>
    <row r="82" spans="2:11" x14ac:dyDescent="0.25">
      <c r="C82" s="144"/>
      <c r="E82" s="127"/>
      <c r="K82" s="127"/>
    </row>
    <row r="83" spans="2:11" x14ac:dyDescent="0.25">
      <c r="C83" s="144"/>
      <c r="E83" s="127"/>
      <c r="K83" s="127"/>
    </row>
    <row r="84" spans="2:11" x14ac:dyDescent="0.25">
      <c r="C84" s="144"/>
      <c r="E84" s="127"/>
      <c r="K84" s="127"/>
    </row>
    <row r="85" spans="2:11" x14ac:dyDescent="0.25">
      <c r="C85" s="144"/>
      <c r="E85" s="127"/>
      <c r="K85" s="127"/>
    </row>
    <row r="86" spans="2:11" x14ac:dyDescent="0.25">
      <c r="C86" s="144"/>
      <c r="E86" s="127"/>
      <c r="K86" s="127"/>
    </row>
    <row r="87" spans="2:11" x14ac:dyDescent="0.25">
      <c r="C87" s="144"/>
      <c r="E87" s="127"/>
      <c r="K87" s="127"/>
    </row>
    <row r="88" spans="2:11" x14ac:dyDescent="0.25">
      <c r="C88" s="158"/>
      <c r="D88" s="159"/>
      <c r="E88" s="159"/>
      <c r="F88" s="146"/>
      <c r="K88" s="127"/>
    </row>
    <row r="89" spans="2:11" x14ac:dyDescent="0.25">
      <c r="C89" s="126"/>
      <c r="D89" s="124"/>
      <c r="E89" s="125"/>
      <c r="F89" s="125"/>
      <c r="K89" s="127"/>
    </row>
    <row r="90" spans="2:11" x14ac:dyDescent="0.25">
      <c r="C90" s="126"/>
      <c r="D90" s="124"/>
      <c r="E90" s="125"/>
      <c r="F90" s="125"/>
      <c r="K90" s="127"/>
    </row>
    <row r="91" spans="2:11" x14ac:dyDescent="0.25">
      <c r="C91" s="126"/>
      <c r="D91" s="124"/>
      <c r="E91" s="125"/>
      <c r="F91" s="125"/>
      <c r="K91" s="127"/>
    </row>
    <row r="92" spans="2:11" x14ac:dyDescent="0.25">
      <c r="B92" s="201"/>
      <c r="C92" s="201"/>
      <c r="D92" s="201"/>
      <c r="E92" s="127"/>
      <c r="K92" s="127"/>
    </row>
    <row r="93" spans="2:11" x14ac:dyDescent="0.25">
      <c r="C93" s="160"/>
      <c r="D93" s="151"/>
      <c r="E93" s="127"/>
      <c r="K93" s="127"/>
    </row>
    <row r="94" spans="2:11" x14ac:dyDescent="0.25">
      <c r="C94" s="160"/>
      <c r="D94" s="151"/>
      <c r="E94" s="127"/>
      <c r="K94" s="127"/>
    </row>
    <row r="95" spans="2:11" x14ac:dyDescent="0.25">
      <c r="C95" s="160"/>
      <c r="D95" s="151"/>
      <c r="E95" s="127"/>
      <c r="K95" s="127"/>
    </row>
    <row r="96" spans="2:11" x14ac:dyDescent="0.25">
      <c r="B96" s="56"/>
      <c r="C96" s="161"/>
      <c r="D96" s="162"/>
      <c r="E96" s="127"/>
      <c r="K96" s="127"/>
    </row>
    <row r="97" spans="3:11" x14ac:dyDescent="0.25">
      <c r="C97" s="144"/>
      <c r="E97" s="127"/>
      <c r="K97" s="127"/>
    </row>
    <row r="98" spans="3:11" x14ac:dyDescent="0.25">
      <c r="C98" s="144"/>
      <c r="E98" s="127"/>
      <c r="K98" s="127"/>
    </row>
    <row r="99" spans="3:11" x14ac:dyDescent="0.25">
      <c r="C99" s="144"/>
      <c r="E99" s="127"/>
      <c r="K99" s="127"/>
    </row>
    <row r="100" spans="3:11" x14ac:dyDescent="0.25">
      <c r="C100" s="144"/>
      <c r="E100" s="127"/>
      <c r="K100" s="127"/>
    </row>
    <row r="101" spans="3:11" x14ac:dyDescent="0.25">
      <c r="C101" s="144"/>
      <c r="E101" s="127"/>
      <c r="K101" s="127"/>
    </row>
    <row r="102" spans="3:11" x14ac:dyDescent="0.25">
      <c r="C102" s="144"/>
      <c r="E102" s="127"/>
      <c r="K102" s="127"/>
    </row>
    <row r="103" spans="3:11" x14ac:dyDescent="0.25">
      <c r="C103" s="144"/>
      <c r="E103" s="127"/>
      <c r="K103" s="127"/>
    </row>
    <row r="104" spans="3:11" x14ac:dyDescent="0.25">
      <c r="C104" s="144"/>
      <c r="E104" s="127"/>
      <c r="K104" s="127"/>
    </row>
    <row r="105" spans="3:11" x14ac:dyDescent="0.25">
      <c r="C105" s="144"/>
      <c r="E105" s="127"/>
      <c r="K105" s="127"/>
    </row>
    <row r="106" spans="3:11" x14ac:dyDescent="0.25">
      <c r="C106" s="144"/>
      <c r="E106" s="127"/>
      <c r="K106" s="127"/>
    </row>
    <row r="107" spans="3:11" x14ac:dyDescent="0.25">
      <c r="C107" s="144"/>
      <c r="E107" s="127"/>
      <c r="K107" s="127"/>
    </row>
    <row r="108" spans="3:11" x14ac:dyDescent="0.25">
      <c r="C108" s="144"/>
      <c r="E108" s="127"/>
      <c r="K108" s="127"/>
    </row>
    <row r="109" spans="3:11" x14ac:dyDescent="0.25">
      <c r="C109" s="144"/>
      <c r="E109" s="127"/>
      <c r="K109" s="127"/>
    </row>
    <row r="110" spans="3:11" x14ac:dyDescent="0.25">
      <c r="C110" s="144"/>
      <c r="E110" s="127"/>
      <c r="K110" s="127"/>
    </row>
    <row r="111" spans="3:11" x14ac:dyDescent="0.25">
      <c r="C111" s="144"/>
      <c r="E111" s="127"/>
      <c r="K111" s="127"/>
    </row>
    <row r="112" spans="3:11" x14ac:dyDescent="0.25">
      <c r="C112" s="144"/>
      <c r="E112" s="127"/>
      <c r="K112" s="127"/>
    </row>
    <row r="113" spans="3:11" x14ac:dyDescent="0.25">
      <c r="C113" s="144"/>
      <c r="E113" s="127"/>
      <c r="K113" s="127"/>
    </row>
    <row r="114" spans="3:11" x14ac:dyDescent="0.25">
      <c r="C114" s="144"/>
      <c r="E114" s="127"/>
      <c r="K114" s="127"/>
    </row>
    <row r="115" spans="3:11" x14ac:dyDescent="0.25">
      <c r="C115" s="144"/>
      <c r="E115" s="127"/>
      <c r="K115" s="127"/>
    </row>
    <row r="116" spans="3:11" x14ac:dyDescent="0.25">
      <c r="C116" s="144"/>
      <c r="E116" s="127"/>
      <c r="K116" s="127"/>
    </row>
    <row r="117" spans="3:11" x14ac:dyDescent="0.25">
      <c r="C117" s="144"/>
      <c r="E117" s="127"/>
      <c r="K117" s="127"/>
    </row>
    <row r="118" spans="3:11" x14ac:dyDescent="0.25">
      <c r="C118" s="144"/>
      <c r="E118" s="127"/>
      <c r="K118" s="127"/>
    </row>
    <row r="119" spans="3:11" x14ac:dyDescent="0.25">
      <c r="C119" s="144"/>
      <c r="E119" s="127"/>
      <c r="K119" s="127"/>
    </row>
    <row r="120" spans="3:11" x14ac:dyDescent="0.25">
      <c r="C120" s="144"/>
      <c r="E120" s="127"/>
      <c r="K120" s="127"/>
    </row>
    <row r="121" spans="3:11" x14ac:dyDescent="0.25">
      <c r="C121" s="144"/>
      <c r="E121" s="127"/>
      <c r="K121" s="127"/>
    </row>
  </sheetData>
  <mergeCells count="4">
    <mergeCell ref="C13:H13"/>
    <mergeCell ref="B20:C20"/>
    <mergeCell ref="B92:D92"/>
    <mergeCell ref="B53:C53"/>
  </mergeCells>
  <pageMargins left="0.19685039370078741" right="0.19685039370078741" top="0.19685039370078741" bottom="0.19685039370078741" header="0.31496062992125984" footer="0.31496062992125984"/>
  <pageSetup paperSize="9" scale="70" orientation="landscape" horizontalDpi="0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GRAFICO LABOR A LABOR</vt:lpstr>
      <vt:lpstr>CONSOLIDADO LABOR A LABOR</vt:lpstr>
      <vt:lpstr>resumen trimestral</vt:lpstr>
      <vt:lpstr>PRODUC ACUMULADA</vt:lpstr>
      <vt:lpstr>RESUMEN 2026</vt:lpstr>
      <vt:lpstr>ENERO 2026</vt:lpstr>
      <vt:lpstr>FEBRERO 2026</vt:lpstr>
      <vt:lpstr>MARZO 2026</vt:lpstr>
      <vt:lpstr>ABRIL 2026</vt:lpstr>
      <vt:lpstr>MAYO 2026</vt:lpstr>
      <vt:lpstr>JUNIO 2026</vt:lpstr>
      <vt:lpstr>JULIO 2026</vt:lpstr>
      <vt:lpstr>AGOSTO 2026</vt:lpstr>
      <vt:lpstr>SEPTIEMBRE 2026</vt:lpstr>
      <vt:lpstr>OCTUBRE 2026</vt:lpstr>
      <vt:lpstr>NOVIEMBRE 2026</vt:lpstr>
      <vt:lpstr>DICIEMBRE 2026</vt:lpstr>
      <vt:lpstr>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fernado rivera rivera</dc:creator>
  <cp:lastModifiedBy>NAC2</cp:lastModifiedBy>
  <dcterms:created xsi:type="dcterms:W3CDTF">2024-02-23T01:41:30Z</dcterms:created>
  <dcterms:modified xsi:type="dcterms:W3CDTF">2026-06-22T16:01:05Z</dcterms:modified>
</cp:coreProperties>
</file>
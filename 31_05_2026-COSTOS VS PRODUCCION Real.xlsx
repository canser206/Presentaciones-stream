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11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6.xml" ContentType="application/vnd.openxmlformats-officedocument.drawing+xml"/>
  <Override PartName="/xl/comments12.xml" ContentType="application/vnd.openxmlformats-officedocument.spreadsheetml.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8.xml" ContentType="application/vnd.openxmlformats-officedocument.drawing+xml"/>
  <Override PartName="/xl/comments13.xml" ContentType="application/vnd.openxmlformats-officedocument.spreadsheetml.comments+xml"/>
  <Override PartName="/xl/drawings/drawing19.xml" ContentType="application/vnd.openxmlformats-officedocument.drawing+xml"/>
  <Override PartName="/xl/comments14.xml" ContentType="application/vnd.openxmlformats-officedocument.spreadsheetml.comments+xml"/>
  <Override PartName="/xl/drawings/drawing20.xml" ContentType="application/vnd.openxmlformats-officedocument.drawing+xml"/>
  <Override PartName="/xl/comments15.xml" ContentType="application/vnd.openxmlformats-officedocument.spreadsheetml.comment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IDOR\nac sogamoso\CONTABILIDAD\COEXCCOL SAS\COEXCCOL SAS\GTOS MINA\SOCHA\COSTOS\2026\"/>
    </mc:Choice>
  </mc:AlternateContent>
  <xr:revisionPtr revIDLastSave="0" documentId="13_ncr:1_{C6807C3F-D710-43A1-8D0B-BE114F835AB5}" xr6:coauthVersionLast="47" xr6:coauthVersionMax="47" xr10:uidLastSave="{00000000-0000-0000-0000-000000000000}"/>
  <bookViews>
    <workbookView xWindow="-120" yWindow="-120" windowWidth="29040" windowHeight="15840" firstSheet="1" activeTab="4" xr2:uid="{00000000-000D-0000-FFFF-FFFF00000000}"/>
  </bookViews>
  <sheets>
    <sheet name="ENERO" sheetId="32" r:id="rId1"/>
    <sheet name="FEBRERO" sheetId="51" r:id="rId2"/>
    <sheet name="MARZO" sheetId="52" r:id="rId3"/>
    <sheet name="ABRIL" sheetId="53" r:id="rId4"/>
    <sheet name="MAYO" sheetId="54" r:id="rId5"/>
    <sheet name="JUNIO" sheetId="55" state="hidden" r:id="rId6"/>
    <sheet name="JULIO" sheetId="56" state="hidden" r:id="rId7"/>
    <sheet name="AGOSTO" sheetId="57" state="hidden" r:id="rId8"/>
    <sheet name="SEPTIEMBRE" sheetId="58" state="hidden" r:id="rId9"/>
    <sheet name="OCTUBRE " sheetId="50" state="hidden" r:id="rId10"/>
    <sheet name="EXPLOSIVO" sheetId="6" state="hidden" r:id="rId11"/>
    <sheet name="RETROESCA" sheetId="15" state="hidden" r:id="rId12"/>
    <sheet name="LABORAT" sheetId="27" state="hidden" r:id="rId13"/>
    <sheet name="PAJARITA" sheetId="12" state="hidden" r:id="rId14"/>
    <sheet name="NOVIEMBRE" sheetId="60" state="hidden" r:id="rId15"/>
    <sheet name="DICIEMBRE" sheetId="61" state="hidden" r:id="rId16"/>
    <sheet name="PRODUC ACUMULADA" sheetId="62" r:id="rId17"/>
    <sheet name="INVERSIONES MINA" sheetId="43" state="hidden" r:id="rId18"/>
    <sheet name="INFRAESTUCTURA" sheetId="28" state="hidden" r:id="rId19"/>
    <sheet name="FACTURACION ACERIAS" sheetId="64" r:id="rId20"/>
    <sheet name="FACTURACION ANDRES" sheetId="63" r:id="rId21"/>
    <sheet name="PRODUCCION VS FACTU" sheetId="59" r:id="rId22"/>
    <sheet name="PRECIOS 2024" sheetId="65" state="hidden" r:id="rId23"/>
    <sheet name="Hoja1" sheetId="34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0" hidden="1">ENERO!$B$19:$H$54</definedName>
    <definedName name="_xlnm._FilterDatabase" localSheetId="1" hidden="1">FEBRERO!$B$19:$H$54</definedName>
    <definedName name="_xlnm.Print_Area" localSheetId="19">'FACTURACION ACERIAS'!$B$3:$R$51</definedName>
    <definedName name="_xlnm.Print_Area" localSheetId="20">'FACTURACION ANDRES'!$B$3:$P$91</definedName>
    <definedName name="ARP">'[1]Datos Básicos'!$F$9</definedName>
    <definedName name="AT">'[1]Datos Básicos'!$B$6</definedName>
    <definedName name="CAJA">'[1]Datos Básicos'!$B$11</definedName>
    <definedName name="Cesantia">'[1]Datos Básicos'!$B$19</definedName>
    <definedName name="EMPLEADOS" localSheetId="19">#REF!</definedName>
    <definedName name="EMPLEADOS" localSheetId="20">#REF!</definedName>
    <definedName name="ESAP">'[1]Datos Básicos'!$F$15</definedName>
    <definedName name="ExtraDiurna" localSheetId="19">'[1]Datos Básicos'!#REF!</definedName>
    <definedName name="ExtraDiurna" localSheetId="20">'[1]Datos Básicos'!#REF!</definedName>
    <definedName name="ExtraDiurnaDominicalFestivo" localSheetId="19">'[1]Datos Básicos'!#REF!</definedName>
    <definedName name="ExtraDiurnaDominicalFestivo" localSheetId="20">'[1]Datos Básicos'!#REF!</definedName>
    <definedName name="ExtraNocturna" localSheetId="19">'[1]Datos Básicos'!#REF!</definedName>
    <definedName name="ExtraNocturna" localSheetId="20">'[1]Datos Básicos'!#REF!</definedName>
    <definedName name="FonSol1">'[1]Datos Básicos'!$B$26</definedName>
    <definedName name="FonSol2">'[1]Datos Básicos'!$B$27</definedName>
    <definedName name="FonSol3">'[1]Datos Básicos'!$B$28</definedName>
    <definedName name="FonSol4">'[1]Datos Básicos'!$B$29</definedName>
    <definedName name="FonSol5">'[1]Datos Básicos'!$B$30</definedName>
    <definedName name="FonSol6">'[1]Datos Básicos'!$B$31</definedName>
    <definedName name="ICBF">'[1]Datos Básicos'!$B$10</definedName>
    <definedName name="IND">'[1]Datos Básicos'!$F$16</definedName>
    <definedName name="IntCesantia">'[1]Datos Básicos'!$B$22</definedName>
    <definedName name="OrdinariaDominicalFestivo" localSheetId="19">'[1]Datos Básicos'!#REF!</definedName>
    <definedName name="OrdinariaDominicalFestivo" localSheetId="20">'[1]Datos Básicos'!#REF!</definedName>
    <definedName name="PensionEmpleado">'[1]Datos Básicos'!$B$16</definedName>
    <definedName name="PensionEmpresa">'[1]Datos Básicos'!$C$16</definedName>
    <definedName name="Prima">'[1]Datos Básicos'!$B$20</definedName>
    <definedName name="RecargoNocturno" localSheetId="19">'[1]Datos Básicos'!#REF!</definedName>
    <definedName name="RecargoNocturno" localSheetId="20">'[1]Datos Básicos'!#REF!</definedName>
    <definedName name="SaludEmpleado">'[1]Datos Básicos'!$B$15</definedName>
    <definedName name="SaludEmpresa">'[1]Datos Básicos'!$C$15</definedName>
    <definedName name="SENA">'[1]Datos Básicos'!$B$9</definedName>
    <definedName name="SM">'[1]Datos Básicos'!$B$5</definedName>
    <definedName name="UVT">'[1]Datos Básicos'!$F$11</definedName>
    <definedName name="Vacaciones">'[1]Datos Básicos'!$B$21</definedName>
    <definedName name="ValorHora">[1]Calculos!$B$4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8" i="59" l="1"/>
  <c r="D28" i="59"/>
  <c r="F28" i="59" s="1"/>
  <c r="F26" i="64"/>
  <c r="H26" i="64" s="1"/>
  <c r="H28" i="59"/>
  <c r="N29" i="64"/>
  <c r="J29" i="64"/>
  <c r="G29" i="64"/>
  <c r="E29" i="64"/>
  <c r="D29" i="64"/>
  <c r="F28" i="64"/>
  <c r="H28" i="64" s="1"/>
  <c r="H27" i="64"/>
  <c r="F27" i="64"/>
  <c r="H25" i="64"/>
  <c r="F25" i="64"/>
  <c r="F24" i="64"/>
  <c r="H24" i="64" s="1"/>
  <c r="H23" i="64"/>
  <c r="F23" i="64"/>
  <c r="F22" i="64"/>
  <c r="H22" i="64" s="1"/>
  <c r="H21" i="64"/>
  <c r="F21" i="64"/>
  <c r="F20" i="64"/>
  <c r="H20" i="64" s="1"/>
  <c r="H19" i="64"/>
  <c r="F19" i="64"/>
  <c r="F18" i="64"/>
  <c r="H18" i="64" s="1"/>
  <c r="H17" i="64"/>
  <c r="F17" i="64"/>
  <c r="F16" i="64"/>
  <c r="H16" i="64" s="1"/>
  <c r="H15" i="64"/>
  <c r="F15" i="64"/>
  <c r="F14" i="64"/>
  <c r="H14" i="64" s="1"/>
  <c r="H13" i="64"/>
  <c r="F13" i="64"/>
  <c r="F12" i="64"/>
  <c r="H12" i="64" s="1"/>
  <c r="O42" i="63"/>
  <c r="M42" i="63"/>
  <c r="K42" i="63"/>
  <c r="J42" i="63"/>
  <c r="I42" i="63"/>
  <c r="H42" i="63"/>
  <c r="C42" i="63"/>
  <c r="B42" i="63"/>
  <c r="F41" i="63"/>
  <c r="G41" i="63" s="1"/>
  <c r="E41" i="63"/>
  <c r="D41" i="63"/>
  <c r="E38" i="63"/>
  <c r="D38" i="63"/>
  <c r="F38" i="63" s="1"/>
  <c r="E33" i="63"/>
  <c r="D33" i="63"/>
  <c r="F33" i="63" s="1"/>
  <c r="E27" i="63"/>
  <c r="F27" i="63" s="1"/>
  <c r="E24" i="63"/>
  <c r="E42" i="63" s="1"/>
  <c r="D19" i="63"/>
  <c r="D42" i="63" s="1"/>
  <c r="F14" i="63"/>
  <c r="L13" i="63"/>
  <c r="H13" i="63"/>
  <c r="F13" i="63"/>
  <c r="G13" i="63" s="1"/>
  <c r="F12" i="63"/>
  <c r="J7" i="63"/>
  <c r="I20" i="64" l="1"/>
  <c r="L20" i="64" s="1"/>
  <c r="L15" i="64"/>
  <c r="I26" i="64"/>
  <c r="L26" i="64" s="1"/>
  <c r="I16" i="64"/>
  <c r="L16" i="64" s="1"/>
  <c r="I22" i="64"/>
  <c r="L22" i="64" s="1"/>
  <c r="I14" i="64"/>
  <c r="L14" i="64" s="1"/>
  <c r="I28" i="64"/>
  <c r="L28" i="64" s="1"/>
  <c r="L19" i="64"/>
  <c r="L12" i="64"/>
  <c r="I12" i="64"/>
  <c r="H29" i="64"/>
  <c r="I18" i="64"/>
  <c r="L18" i="64" s="1"/>
  <c r="L13" i="64"/>
  <c r="I24" i="64"/>
  <c r="L24" i="64" s="1"/>
  <c r="I13" i="64"/>
  <c r="I15" i="64"/>
  <c r="I17" i="64"/>
  <c r="L17" i="64" s="1"/>
  <c r="I19" i="64"/>
  <c r="I21" i="64"/>
  <c r="L21" i="64" s="1"/>
  <c r="I23" i="64"/>
  <c r="L23" i="64" s="1"/>
  <c r="I25" i="64"/>
  <c r="L25" i="64" s="1"/>
  <c r="I27" i="64"/>
  <c r="L27" i="64" s="1"/>
  <c r="F29" i="64"/>
  <c r="G33" i="63"/>
  <c r="L33" i="63"/>
  <c r="G27" i="63"/>
  <c r="L27" i="63" s="1"/>
  <c r="G38" i="63"/>
  <c r="L38" i="63"/>
  <c r="L14" i="63"/>
  <c r="L41" i="63"/>
  <c r="F19" i="63"/>
  <c r="F42" i="63" s="1"/>
  <c r="F24" i="63"/>
  <c r="G14" i="63"/>
  <c r="G12" i="63"/>
  <c r="L29" i="64" l="1"/>
  <c r="I29" i="64"/>
  <c r="L12" i="63"/>
  <c r="G42" i="63"/>
  <c r="G24" i="63"/>
  <c r="L24" i="63" s="1"/>
  <c r="G19" i="63"/>
  <c r="L19" i="63" s="1"/>
  <c r="L42" i="63" l="1"/>
  <c r="O46" i="63" s="1"/>
  <c r="F53" i="54" l="1"/>
  <c r="B53" i="54"/>
  <c r="B10" i="62"/>
  <c r="B9" i="62"/>
  <c r="C16" i="54" s="1"/>
  <c r="H58" i="53" l="1"/>
  <c r="I25" i="59" l="1"/>
  <c r="H25" i="59"/>
  <c r="E25" i="59"/>
  <c r="H21" i="52"/>
  <c r="H21" i="53"/>
  <c r="D16" i="53"/>
  <c r="H24" i="59"/>
  <c r="H23" i="59"/>
  <c r="K23" i="59"/>
  <c r="D23" i="59"/>
  <c r="I21" i="59"/>
  <c r="H21" i="59"/>
  <c r="D21" i="59"/>
  <c r="H20" i="59"/>
  <c r="H19" i="59"/>
  <c r="E19" i="59"/>
  <c r="D19" i="59"/>
  <c r="D25" i="59" l="1"/>
  <c r="E21" i="59"/>
  <c r="C16" i="52"/>
  <c r="B6" i="62" l="1"/>
  <c r="C16" i="51" s="1"/>
  <c r="B5" i="62"/>
  <c r="C53" i="32" l="1"/>
  <c r="S20" i="59" s="1"/>
  <c r="D20" i="32" l="1"/>
  <c r="D24" i="32"/>
  <c r="D28" i="32"/>
  <c r="D32" i="32"/>
  <c r="D36" i="32"/>
  <c r="D40" i="32"/>
  <c r="D44" i="32"/>
  <c r="D48" i="32"/>
  <c r="D52" i="32"/>
  <c r="D21" i="32"/>
  <c r="D25" i="32"/>
  <c r="D29" i="32"/>
  <c r="D33" i="32"/>
  <c r="D37" i="32"/>
  <c r="D41" i="32"/>
  <c r="D45" i="32"/>
  <c r="D49" i="32"/>
  <c r="D22" i="32"/>
  <c r="D26" i="32"/>
  <c r="D30" i="32"/>
  <c r="D34" i="32"/>
  <c r="D38" i="32"/>
  <c r="D42" i="32"/>
  <c r="D46" i="32"/>
  <c r="D50" i="32"/>
  <c r="D23" i="32"/>
  <c r="D27" i="32"/>
  <c r="D31" i="32"/>
  <c r="D35" i="32"/>
  <c r="D39" i="32"/>
  <c r="D43" i="32"/>
  <c r="D47" i="32"/>
  <c r="D51" i="32"/>
  <c r="G50" i="61" l="1"/>
  <c r="G50" i="60"/>
  <c r="G50" i="50"/>
  <c r="G50" i="58"/>
  <c r="G50" i="57"/>
  <c r="G50" i="56"/>
  <c r="E51" i="58"/>
  <c r="B51" i="56"/>
  <c r="C50" i="56" s="1"/>
  <c r="C53" i="53"/>
  <c r="D52" i="53" s="1"/>
  <c r="F53" i="52"/>
  <c r="C53" i="52"/>
  <c r="F53" i="51"/>
  <c r="F53" i="32"/>
  <c r="G50" i="55"/>
  <c r="G52" i="54"/>
  <c r="H52" i="53"/>
  <c r="E52" i="53"/>
  <c r="H52" i="52"/>
  <c r="H52" i="51"/>
  <c r="H52" i="32"/>
  <c r="D52" i="52" l="1"/>
  <c r="S24" i="59"/>
  <c r="B51" i="58"/>
  <c r="C50" i="58" s="1"/>
  <c r="B51" i="57"/>
  <c r="C50" i="57" s="1"/>
  <c r="C52" i="54"/>
  <c r="C53" i="51"/>
  <c r="D52" i="51" l="1"/>
  <c r="S22" i="59"/>
  <c r="E41" i="59"/>
  <c r="B40" i="59"/>
  <c r="B41" i="59"/>
  <c r="D41" i="59" l="1"/>
  <c r="B51" i="61" l="1"/>
  <c r="C50" i="61" s="1"/>
  <c r="E51" i="61" l="1"/>
  <c r="C48" i="61"/>
  <c r="F49" i="61"/>
  <c r="G48" i="61"/>
  <c r="F47" i="61"/>
  <c r="G46" i="61"/>
  <c r="F45" i="61"/>
  <c r="F44" i="61"/>
  <c r="F43" i="61"/>
  <c r="F42" i="61"/>
  <c r="G41" i="61"/>
  <c r="G40" i="61"/>
  <c r="F39" i="61"/>
  <c r="F38" i="61"/>
  <c r="F37" i="61"/>
  <c r="F36" i="61"/>
  <c r="F35" i="61"/>
  <c r="G34" i="61"/>
  <c r="G33" i="61"/>
  <c r="F32" i="61"/>
  <c r="G31" i="61"/>
  <c r="G30" i="61"/>
  <c r="F29" i="61"/>
  <c r="G28" i="61"/>
  <c r="G27" i="61"/>
  <c r="C27" i="61"/>
  <c r="F26" i="61"/>
  <c r="G25" i="61"/>
  <c r="G24" i="61"/>
  <c r="G23" i="61"/>
  <c r="G22" i="61"/>
  <c r="G21" i="61"/>
  <c r="G20" i="61"/>
  <c r="G19" i="61"/>
  <c r="F18" i="61"/>
  <c r="E17" i="61"/>
  <c r="D50" i="61" s="1"/>
  <c r="E40" i="59"/>
  <c r="D40" i="59"/>
  <c r="E39" i="59"/>
  <c r="D39" i="59"/>
  <c r="E38" i="59"/>
  <c r="D38" i="59"/>
  <c r="E36" i="59"/>
  <c r="D36" i="59"/>
  <c r="B13" i="60"/>
  <c r="C14" i="60" s="1"/>
  <c r="B51" i="60"/>
  <c r="S40" i="59" s="1"/>
  <c r="E51" i="60"/>
  <c r="F49" i="60"/>
  <c r="G48" i="60"/>
  <c r="F47" i="60"/>
  <c r="G46" i="60"/>
  <c r="F45" i="60"/>
  <c r="F44" i="60"/>
  <c r="F43" i="60"/>
  <c r="F42" i="60"/>
  <c r="G41" i="60"/>
  <c r="G40" i="60"/>
  <c r="F39" i="60"/>
  <c r="F38" i="60"/>
  <c r="F37" i="60"/>
  <c r="F36" i="60"/>
  <c r="F35" i="60"/>
  <c r="G34" i="60"/>
  <c r="G33" i="60"/>
  <c r="F32" i="60"/>
  <c r="G31" i="60"/>
  <c r="G30" i="60"/>
  <c r="F29" i="60"/>
  <c r="G28" i="60"/>
  <c r="G27" i="60"/>
  <c r="F26" i="60"/>
  <c r="G25" i="60"/>
  <c r="G24" i="60"/>
  <c r="G23" i="60"/>
  <c r="G22" i="60"/>
  <c r="G21" i="60"/>
  <c r="G20" i="60"/>
  <c r="G19" i="60"/>
  <c r="F18" i="60"/>
  <c r="E51" i="50"/>
  <c r="B51" i="50"/>
  <c r="C50" i="50" s="1"/>
  <c r="F51" i="61" l="1"/>
  <c r="G51" i="61"/>
  <c r="G52" i="61" s="1"/>
  <c r="D52" i="61" s="1"/>
  <c r="C27" i="60"/>
  <c r="C50" i="60"/>
  <c r="C25" i="61"/>
  <c r="C19" i="61"/>
  <c r="C35" i="61"/>
  <c r="C43" i="61"/>
  <c r="D45" i="61"/>
  <c r="D37" i="61"/>
  <c r="D29" i="61"/>
  <c r="D21" i="61"/>
  <c r="D22" i="61"/>
  <c r="D42" i="61"/>
  <c r="D34" i="61"/>
  <c r="D26" i="61"/>
  <c r="D18" i="61"/>
  <c r="D38" i="61"/>
  <c r="D47" i="61"/>
  <c r="D39" i="61"/>
  <c r="D31" i="61"/>
  <c r="D23" i="61"/>
  <c r="D46" i="61"/>
  <c r="D24" i="61"/>
  <c r="D44" i="61"/>
  <c r="D36" i="61"/>
  <c r="D28" i="61"/>
  <c r="D20" i="61"/>
  <c r="D30" i="61"/>
  <c r="D49" i="61"/>
  <c r="D41" i="61"/>
  <c r="D33" i="61"/>
  <c r="D25" i="61"/>
  <c r="D43" i="61"/>
  <c r="D35" i="61"/>
  <c r="D27" i="61"/>
  <c r="D19" i="61"/>
  <c r="D48" i="61"/>
  <c r="D40" i="61"/>
  <c r="D32" i="61"/>
  <c r="C22" i="61"/>
  <c r="C30" i="61"/>
  <c r="C38" i="61"/>
  <c r="C46" i="61"/>
  <c r="E14" i="61"/>
  <c r="C20" i="61"/>
  <c r="C28" i="61"/>
  <c r="C36" i="61"/>
  <c r="C44" i="61"/>
  <c r="C49" i="61"/>
  <c r="C23" i="61"/>
  <c r="C31" i="61"/>
  <c r="C39" i="61"/>
  <c r="C47" i="61"/>
  <c r="C18" i="61"/>
  <c r="C26" i="61"/>
  <c r="C34" i="61"/>
  <c r="C42" i="61"/>
  <c r="C33" i="61"/>
  <c r="C41" i="61"/>
  <c r="C21" i="61"/>
  <c r="C29" i="61"/>
  <c r="C37" i="61"/>
  <c r="C45" i="61"/>
  <c r="C24" i="61"/>
  <c r="C32" i="61"/>
  <c r="C40" i="61"/>
  <c r="C48" i="60"/>
  <c r="C19" i="60"/>
  <c r="F51" i="60"/>
  <c r="G51" i="60"/>
  <c r="G52" i="60" s="1"/>
  <c r="D52" i="60" s="1"/>
  <c r="E17" i="60"/>
  <c r="D50" i="60" s="1"/>
  <c r="E14" i="60"/>
  <c r="C22" i="60"/>
  <c r="C30" i="60"/>
  <c r="C38" i="60"/>
  <c r="C46" i="60"/>
  <c r="C25" i="60"/>
  <c r="C33" i="60"/>
  <c r="C41" i="60"/>
  <c r="C49" i="60"/>
  <c r="C20" i="60"/>
  <c r="C28" i="60"/>
  <c r="C36" i="60"/>
  <c r="C44" i="60"/>
  <c r="C23" i="60"/>
  <c r="C31" i="60"/>
  <c r="C39" i="60"/>
  <c r="C47" i="60"/>
  <c r="C18" i="60"/>
  <c r="C26" i="60"/>
  <c r="C34" i="60"/>
  <c r="C42" i="60"/>
  <c r="C35" i="60"/>
  <c r="C21" i="60"/>
  <c r="C29" i="60"/>
  <c r="C37" i="60"/>
  <c r="C45" i="60"/>
  <c r="C43" i="60"/>
  <c r="C24" i="60"/>
  <c r="C32" i="60"/>
  <c r="C40" i="60"/>
  <c r="D51" i="61" l="1"/>
  <c r="C51" i="61"/>
  <c r="C51" i="60"/>
  <c r="D45" i="60"/>
  <c r="D37" i="60"/>
  <c r="D29" i="60"/>
  <c r="D21" i="60"/>
  <c r="D42" i="60"/>
  <c r="D34" i="60"/>
  <c r="D26" i="60"/>
  <c r="D18" i="60"/>
  <c r="D47" i="60"/>
  <c r="D39" i="60"/>
  <c r="D31" i="60"/>
  <c r="D23" i="60"/>
  <c r="D32" i="60"/>
  <c r="D24" i="60"/>
  <c r="D44" i="60"/>
  <c r="D36" i="60"/>
  <c r="D28" i="60"/>
  <c r="D20" i="60"/>
  <c r="D49" i="60"/>
  <c r="D41" i="60"/>
  <c r="D33" i="60"/>
  <c r="D25" i="60"/>
  <c r="D40" i="60"/>
  <c r="D46" i="60"/>
  <c r="D38" i="60"/>
  <c r="D30" i="60"/>
  <c r="D22" i="60"/>
  <c r="D48" i="60"/>
  <c r="D43" i="60"/>
  <c r="D35" i="60"/>
  <c r="D27" i="60"/>
  <c r="D19" i="60"/>
  <c r="D51" i="60" l="1"/>
  <c r="B13" i="50" l="1"/>
  <c r="C14" i="50" s="1"/>
  <c r="E17" i="50" s="1"/>
  <c r="D50" i="50" s="1"/>
  <c r="F49" i="50"/>
  <c r="G48" i="50"/>
  <c r="F47" i="50"/>
  <c r="G46" i="50"/>
  <c r="F45" i="50"/>
  <c r="F44" i="50"/>
  <c r="F43" i="50"/>
  <c r="F42" i="50"/>
  <c r="G41" i="50"/>
  <c r="G40" i="50"/>
  <c r="F39" i="50"/>
  <c r="F38" i="50"/>
  <c r="F37" i="50"/>
  <c r="F36" i="50"/>
  <c r="F35" i="50"/>
  <c r="F51" i="50" s="1"/>
  <c r="G34" i="50"/>
  <c r="G33" i="50"/>
  <c r="F32" i="50"/>
  <c r="G31" i="50"/>
  <c r="G30" i="50"/>
  <c r="F29" i="50"/>
  <c r="G28" i="50"/>
  <c r="G27" i="50"/>
  <c r="F26" i="50"/>
  <c r="G25" i="50"/>
  <c r="G24" i="50"/>
  <c r="G23" i="50"/>
  <c r="G21" i="50"/>
  <c r="G20" i="50"/>
  <c r="G19" i="50"/>
  <c r="F18" i="50"/>
  <c r="D48" i="50" l="1"/>
  <c r="D28" i="50"/>
  <c r="D22" i="50"/>
  <c r="D44" i="50"/>
  <c r="D27" i="50"/>
  <c r="D33" i="50"/>
  <c r="D18" i="50"/>
  <c r="D41" i="50"/>
  <c r="D49" i="50"/>
  <c r="D43" i="50"/>
  <c r="D35" i="50"/>
  <c r="D36" i="50"/>
  <c r="D25" i="50"/>
  <c r="D19" i="50"/>
  <c r="E14" i="50"/>
  <c r="D20" i="50"/>
  <c r="G22" i="50"/>
  <c r="G51" i="50" s="1"/>
  <c r="D30" i="50"/>
  <c r="D38" i="50"/>
  <c r="D46" i="50"/>
  <c r="D21" i="50"/>
  <c r="D23" i="50"/>
  <c r="D31" i="50"/>
  <c r="D39" i="50"/>
  <c r="D47" i="50"/>
  <c r="D26" i="50"/>
  <c r="D34" i="50"/>
  <c r="D42" i="50"/>
  <c r="D29" i="50"/>
  <c r="D37" i="50"/>
  <c r="D45" i="50"/>
  <c r="D24" i="50"/>
  <c r="D32" i="50"/>
  <c r="D40" i="50"/>
  <c r="S28" i="59"/>
  <c r="D51" i="50" l="1"/>
  <c r="G52" i="50"/>
  <c r="D52" i="50" s="1"/>
  <c r="C32" i="50"/>
  <c r="C43" i="50"/>
  <c r="C35" i="50"/>
  <c r="C27" i="50"/>
  <c r="C48" i="50"/>
  <c r="C40" i="50"/>
  <c r="C21" i="50"/>
  <c r="C44" i="50"/>
  <c r="C28" i="50"/>
  <c r="C18" i="50"/>
  <c r="C45" i="50"/>
  <c r="C37" i="50"/>
  <c r="C29" i="50"/>
  <c r="C19" i="50"/>
  <c r="C47" i="50"/>
  <c r="C36" i="50"/>
  <c r="C42" i="50"/>
  <c r="C34" i="50"/>
  <c r="C26" i="50"/>
  <c r="C39" i="50"/>
  <c r="C31" i="50"/>
  <c r="C49" i="50"/>
  <c r="C41" i="50"/>
  <c r="C33" i="50"/>
  <c r="C25" i="50"/>
  <c r="C46" i="50"/>
  <c r="C38" i="50"/>
  <c r="C30" i="50"/>
  <c r="C20" i="50"/>
  <c r="C22" i="50"/>
  <c r="C23" i="50"/>
  <c r="C24" i="50" l="1"/>
  <c r="C51" i="50" s="1"/>
  <c r="E29" i="59" l="1"/>
  <c r="T23" i="59"/>
  <c r="E35" i="59"/>
  <c r="E33" i="59"/>
  <c r="E31" i="59"/>
  <c r="E26" i="59"/>
  <c r="T27" i="59" l="1"/>
  <c r="D35" i="59"/>
  <c r="D29" i="59"/>
  <c r="E23" i="59"/>
  <c r="D31" i="59"/>
  <c r="T31" i="59" s="1"/>
  <c r="D26" i="59"/>
  <c r="D33" i="59"/>
  <c r="T21" i="59"/>
  <c r="T19" i="59" l="1"/>
  <c r="B36" i="59" l="1"/>
  <c r="C37" i="58"/>
  <c r="F49" i="58"/>
  <c r="G48" i="58"/>
  <c r="F47" i="58"/>
  <c r="G46" i="58"/>
  <c r="F45" i="58"/>
  <c r="F44" i="58"/>
  <c r="F43" i="58"/>
  <c r="F42" i="58"/>
  <c r="G41" i="58"/>
  <c r="G40" i="58"/>
  <c r="F39" i="58"/>
  <c r="F38" i="58"/>
  <c r="F37" i="58"/>
  <c r="F36" i="58"/>
  <c r="C36" i="58"/>
  <c r="F35" i="58"/>
  <c r="G34" i="58"/>
  <c r="G33" i="58"/>
  <c r="F32" i="58"/>
  <c r="C32" i="58"/>
  <c r="G31" i="58"/>
  <c r="G30" i="58"/>
  <c r="F29" i="58"/>
  <c r="G28" i="58"/>
  <c r="C28" i="58"/>
  <c r="G27" i="58"/>
  <c r="F26" i="58"/>
  <c r="G25" i="58"/>
  <c r="G24" i="58"/>
  <c r="C24" i="58"/>
  <c r="G23" i="58"/>
  <c r="C23" i="58"/>
  <c r="G22" i="58"/>
  <c r="G21" i="58"/>
  <c r="G20" i="58"/>
  <c r="C20" i="58"/>
  <c r="G19" i="58"/>
  <c r="C19" i="58"/>
  <c r="F18" i="58"/>
  <c r="E17" i="58"/>
  <c r="E14" i="58"/>
  <c r="B33" i="59"/>
  <c r="F49" i="57"/>
  <c r="G48" i="57"/>
  <c r="F47" i="57"/>
  <c r="G46" i="57"/>
  <c r="F45" i="57"/>
  <c r="F44" i="57"/>
  <c r="F43" i="57"/>
  <c r="F42" i="57"/>
  <c r="G41" i="57"/>
  <c r="G40" i="57"/>
  <c r="F39" i="57"/>
  <c r="F38" i="57"/>
  <c r="F37" i="57"/>
  <c r="F36" i="57"/>
  <c r="F35" i="57"/>
  <c r="G34" i="57"/>
  <c r="G33" i="57"/>
  <c r="F32" i="57"/>
  <c r="G31" i="57"/>
  <c r="G30" i="57"/>
  <c r="F29" i="57"/>
  <c r="G28" i="57"/>
  <c r="G27" i="57"/>
  <c r="F26" i="57"/>
  <c r="G25" i="57"/>
  <c r="G24" i="57"/>
  <c r="G23" i="57"/>
  <c r="G22" i="57"/>
  <c r="G21" i="57"/>
  <c r="G20" i="57"/>
  <c r="G19" i="57"/>
  <c r="F18" i="57"/>
  <c r="E17" i="57"/>
  <c r="E14" i="57"/>
  <c r="B31" i="59"/>
  <c r="S32" i="59"/>
  <c r="F51" i="57" l="1"/>
  <c r="D49" i="57"/>
  <c r="D50" i="57"/>
  <c r="D49" i="58"/>
  <c r="D50" i="58"/>
  <c r="F51" i="58"/>
  <c r="G51" i="58"/>
  <c r="G52" i="58" s="1"/>
  <c r="D52" i="58" s="1"/>
  <c r="G51" i="57"/>
  <c r="G52" i="57" s="1"/>
  <c r="D52" i="57" s="1"/>
  <c r="C27" i="58"/>
  <c r="C31" i="58"/>
  <c r="C35" i="58"/>
  <c r="C46" i="58"/>
  <c r="C42" i="58"/>
  <c r="C21" i="58"/>
  <c r="C25" i="58"/>
  <c r="C29" i="58"/>
  <c r="C33" i="58"/>
  <c r="C49" i="58"/>
  <c r="S36" i="59"/>
  <c r="C18" i="58"/>
  <c r="C22" i="58"/>
  <c r="C26" i="58"/>
  <c r="C30" i="58"/>
  <c r="C34" i="58"/>
  <c r="C38" i="58"/>
  <c r="C44" i="57"/>
  <c r="S34" i="59"/>
  <c r="C39" i="58"/>
  <c r="C43" i="58"/>
  <c r="C47" i="58"/>
  <c r="C40" i="58"/>
  <c r="C44" i="58"/>
  <c r="C48" i="58"/>
  <c r="C41" i="58"/>
  <c r="C45" i="58"/>
  <c r="D20" i="58"/>
  <c r="D28" i="58"/>
  <c r="D36" i="58"/>
  <c r="D44" i="58"/>
  <c r="D23" i="58"/>
  <c r="D31" i="58"/>
  <c r="D39" i="58"/>
  <c r="D47" i="58"/>
  <c r="D26" i="58"/>
  <c r="D18" i="58"/>
  <c r="D34" i="58"/>
  <c r="D42" i="58"/>
  <c r="D21" i="58"/>
  <c r="D29" i="58"/>
  <c r="D37" i="58"/>
  <c r="D45" i="58"/>
  <c r="D32" i="58"/>
  <c r="D40" i="58"/>
  <c r="D48" i="58"/>
  <c r="D24" i="58"/>
  <c r="D19" i="58"/>
  <c r="D27" i="58"/>
  <c r="D35" i="58"/>
  <c r="D43" i="58"/>
  <c r="D22" i="58"/>
  <c r="D30" i="58"/>
  <c r="D38" i="58"/>
  <c r="D46" i="58"/>
  <c r="D25" i="58"/>
  <c r="D33" i="58"/>
  <c r="D41" i="58"/>
  <c r="C18" i="57"/>
  <c r="C26" i="57"/>
  <c r="C34" i="57"/>
  <c r="C19" i="57"/>
  <c r="C23" i="57"/>
  <c r="C27" i="57"/>
  <c r="C31" i="57"/>
  <c r="C35" i="57"/>
  <c r="C39" i="57"/>
  <c r="C24" i="57"/>
  <c r="C28" i="57"/>
  <c r="C32" i="57"/>
  <c r="C36" i="57"/>
  <c r="C40" i="57"/>
  <c r="C47" i="57"/>
  <c r="C22" i="57"/>
  <c r="C30" i="57"/>
  <c r="C38" i="57"/>
  <c r="C20" i="57"/>
  <c r="C21" i="57"/>
  <c r="C25" i="57"/>
  <c r="C29" i="57"/>
  <c r="C33" i="57"/>
  <c r="C37" i="57"/>
  <c r="C46" i="57"/>
  <c r="C42" i="57"/>
  <c r="C43" i="57"/>
  <c r="C48" i="57"/>
  <c r="C45" i="57"/>
  <c r="D47" i="57"/>
  <c r="D31" i="57"/>
  <c r="D21" i="57"/>
  <c r="D29" i="57"/>
  <c r="D37" i="57"/>
  <c r="D45" i="57"/>
  <c r="D23" i="57"/>
  <c r="D39" i="57"/>
  <c r="D24" i="57"/>
  <c r="D32" i="57"/>
  <c r="D40" i="57"/>
  <c r="D48" i="57"/>
  <c r="D20" i="57"/>
  <c r="D28" i="57"/>
  <c r="D36" i="57"/>
  <c r="D44" i="57"/>
  <c r="D19" i="57"/>
  <c r="D27" i="57"/>
  <c r="D35" i="57"/>
  <c r="D43" i="57"/>
  <c r="D34" i="57"/>
  <c r="D42" i="57"/>
  <c r="D22" i="57"/>
  <c r="D30" i="57"/>
  <c r="D38" i="57"/>
  <c r="C41" i="57"/>
  <c r="D46" i="57"/>
  <c r="C49" i="57"/>
  <c r="D18" i="57"/>
  <c r="D26" i="57"/>
  <c r="D25" i="57"/>
  <c r="D33" i="57"/>
  <c r="D41" i="57"/>
  <c r="C49" i="56"/>
  <c r="F49" i="56"/>
  <c r="G48" i="56"/>
  <c r="F47" i="56"/>
  <c r="G46" i="56"/>
  <c r="C46" i="56"/>
  <c r="F45" i="56"/>
  <c r="C45" i="56"/>
  <c r="F44" i="56"/>
  <c r="C44" i="56"/>
  <c r="F43" i="56"/>
  <c r="C43" i="56"/>
  <c r="F42" i="56"/>
  <c r="C42" i="56"/>
  <c r="G41" i="56"/>
  <c r="C41" i="56"/>
  <c r="G40" i="56"/>
  <c r="C40" i="56"/>
  <c r="F39" i="56"/>
  <c r="C39" i="56"/>
  <c r="F38" i="56"/>
  <c r="C38" i="56"/>
  <c r="F37" i="56"/>
  <c r="C37" i="56"/>
  <c r="F36" i="56"/>
  <c r="C36" i="56"/>
  <c r="F35" i="56"/>
  <c r="C35" i="56"/>
  <c r="G34" i="56"/>
  <c r="C34" i="56"/>
  <c r="G33" i="56"/>
  <c r="C33" i="56"/>
  <c r="F32" i="56"/>
  <c r="C32" i="56"/>
  <c r="G31" i="56"/>
  <c r="C31" i="56"/>
  <c r="G30" i="56"/>
  <c r="C30" i="56"/>
  <c r="F29" i="56"/>
  <c r="C29" i="56"/>
  <c r="G28" i="56"/>
  <c r="C28" i="56"/>
  <c r="G27" i="56"/>
  <c r="C27" i="56"/>
  <c r="F26" i="56"/>
  <c r="C26" i="56"/>
  <c r="G25" i="56"/>
  <c r="C25" i="56"/>
  <c r="G24" i="56"/>
  <c r="C24" i="56"/>
  <c r="G23" i="56"/>
  <c r="C23" i="56"/>
  <c r="G22" i="56"/>
  <c r="C22" i="56"/>
  <c r="G21" i="56"/>
  <c r="C21" i="56"/>
  <c r="G20" i="56"/>
  <c r="C20" i="56"/>
  <c r="G19" i="56"/>
  <c r="C19" i="56"/>
  <c r="F18" i="56"/>
  <c r="C18" i="56"/>
  <c r="E17" i="56"/>
  <c r="D50" i="56" s="1"/>
  <c r="E14" i="56"/>
  <c r="D51" i="58" l="1"/>
  <c r="F51" i="56"/>
  <c r="D51" i="57"/>
  <c r="C51" i="58"/>
  <c r="G51" i="56"/>
  <c r="D49" i="56"/>
  <c r="C51" i="57"/>
  <c r="C47" i="56"/>
  <c r="C51" i="56" s="1"/>
  <c r="G52" i="56"/>
  <c r="D52" i="56" s="1"/>
  <c r="D47" i="56"/>
  <c r="D44" i="56"/>
  <c r="D21" i="56"/>
  <c r="D29" i="56"/>
  <c r="D37" i="56"/>
  <c r="D45" i="56"/>
  <c r="C48" i="56"/>
  <c r="D36" i="56"/>
  <c r="D31" i="56"/>
  <c r="D26" i="56"/>
  <c r="D24" i="56"/>
  <c r="D32" i="56"/>
  <c r="D40" i="56"/>
  <c r="D48" i="56"/>
  <c r="D28" i="56"/>
  <c r="D18" i="56"/>
  <c r="D42" i="56"/>
  <c r="D19" i="56"/>
  <c r="D27" i="56"/>
  <c r="D35" i="56"/>
  <c r="D43" i="56"/>
  <c r="D23" i="56"/>
  <c r="D22" i="56"/>
  <c r="D30" i="56"/>
  <c r="D38" i="56"/>
  <c r="D46" i="56"/>
  <c r="D20" i="56"/>
  <c r="D39" i="56"/>
  <c r="D34" i="56"/>
  <c r="D25" i="56"/>
  <c r="D33" i="56"/>
  <c r="D41" i="56"/>
  <c r="D51" i="56" l="1"/>
  <c r="B29" i="59" l="1"/>
  <c r="B51" i="55" l="1"/>
  <c r="C50" i="55" s="1"/>
  <c r="F49" i="55"/>
  <c r="G48" i="55"/>
  <c r="F47" i="55"/>
  <c r="G46" i="55"/>
  <c r="F45" i="55"/>
  <c r="F44" i="55"/>
  <c r="F43" i="55"/>
  <c r="F42" i="55"/>
  <c r="G41" i="55"/>
  <c r="G40" i="55"/>
  <c r="F39" i="55"/>
  <c r="F38" i="55"/>
  <c r="F37" i="55"/>
  <c r="F36" i="55"/>
  <c r="F35" i="55"/>
  <c r="G34" i="55"/>
  <c r="G33" i="55"/>
  <c r="F32" i="55"/>
  <c r="G31" i="55"/>
  <c r="G30" i="55"/>
  <c r="F29" i="55"/>
  <c r="G28" i="55"/>
  <c r="G27" i="55"/>
  <c r="F26" i="55"/>
  <c r="G25" i="55"/>
  <c r="G24" i="55"/>
  <c r="G23" i="55"/>
  <c r="G22" i="55"/>
  <c r="G21" i="55"/>
  <c r="G20" i="55"/>
  <c r="G19" i="55"/>
  <c r="F18" i="55"/>
  <c r="E17" i="55"/>
  <c r="E14" i="55"/>
  <c r="D46" i="55" l="1"/>
  <c r="D50" i="55"/>
  <c r="G51" i="55"/>
  <c r="G52" i="55" s="1"/>
  <c r="C49" i="55"/>
  <c r="S30" i="59"/>
  <c r="C18" i="55"/>
  <c r="C26" i="55"/>
  <c r="C34" i="55"/>
  <c r="C42" i="55"/>
  <c r="C27" i="55"/>
  <c r="C35" i="55"/>
  <c r="C43" i="55"/>
  <c r="C19" i="55"/>
  <c r="C20" i="55"/>
  <c r="C28" i="55"/>
  <c r="C36" i="55"/>
  <c r="C44" i="55"/>
  <c r="C37" i="55"/>
  <c r="C45" i="55"/>
  <c r="C29" i="55"/>
  <c r="C22" i="55"/>
  <c r="C30" i="55"/>
  <c r="C38" i="55"/>
  <c r="C46" i="55"/>
  <c r="C21" i="55"/>
  <c r="C23" i="55"/>
  <c r="C31" i="55"/>
  <c r="C39" i="55"/>
  <c r="C47" i="55"/>
  <c r="C24" i="55"/>
  <c r="C32" i="55"/>
  <c r="C40" i="55"/>
  <c r="C48" i="55"/>
  <c r="F51" i="55"/>
  <c r="C25" i="55"/>
  <c r="C33" i="55"/>
  <c r="C41" i="55"/>
  <c r="D20" i="55"/>
  <c r="D24" i="55"/>
  <c r="D19" i="55"/>
  <c r="D25" i="55"/>
  <c r="D33" i="55"/>
  <c r="D41" i="55"/>
  <c r="D49" i="55"/>
  <c r="D28" i="55"/>
  <c r="D36" i="55"/>
  <c r="D44" i="55"/>
  <c r="D23" i="55"/>
  <c r="D31" i="55"/>
  <c r="D39" i="55"/>
  <c r="D47" i="55"/>
  <c r="D18" i="55"/>
  <c r="D26" i="55"/>
  <c r="D34" i="55"/>
  <c r="D42" i="55"/>
  <c r="D21" i="55"/>
  <c r="D29" i="55"/>
  <c r="D37" i="55"/>
  <c r="D45" i="55"/>
  <c r="D32" i="55"/>
  <c r="D40" i="55"/>
  <c r="D48" i="55"/>
  <c r="D27" i="55"/>
  <c r="D35" i="55"/>
  <c r="D43" i="55"/>
  <c r="D22" i="55"/>
  <c r="D30" i="55"/>
  <c r="D38" i="55"/>
  <c r="E19" i="54"/>
  <c r="D52" i="54" s="1"/>
  <c r="D52" i="55" l="1"/>
  <c r="C51" i="55"/>
  <c r="D51" i="55"/>
  <c r="B28" i="59" l="1"/>
  <c r="C51" i="54"/>
  <c r="F51" i="54"/>
  <c r="D51" i="54"/>
  <c r="G50" i="54"/>
  <c r="D50" i="54"/>
  <c r="C50" i="54"/>
  <c r="F49" i="54"/>
  <c r="D49" i="54"/>
  <c r="C49" i="54"/>
  <c r="G48" i="54"/>
  <c r="D48" i="54"/>
  <c r="C48" i="54"/>
  <c r="F47" i="54"/>
  <c r="D47" i="54"/>
  <c r="C47" i="54"/>
  <c r="F46" i="54"/>
  <c r="D46" i="54"/>
  <c r="C46" i="54"/>
  <c r="F45" i="54"/>
  <c r="D45" i="54"/>
  <c r="C45" i="54"/>
  <c r="F44" i="54"/>
  <c r="D44" i="54"/>
  <c r="C44" i="54"/>
  <c r="G43" i="54"/>
  <c r="D43" i="54"/>
  <c r="C43" i="54"/>
  <c r="G42" i="54"/>
  <c r="D42" i="54"/>
  <c r="C42" i="54"/>
  <c r="F41" i="54"/>
  <c r="D41" i="54"/>
  <c r="C41" i="54"/>
  <c r="F40" i="54"/>
  <c r="D40" i="54"/>
  <c r="C40" i="54"/>
  <c r="F39" i="54"/>
  <c r="D39" i="54"/>
  <c r="C39" i="54"/>
  <c r="F38" i="54"/>
  <c r="D38" i="54"/>
  <c r="C38" i="54"/>
  <c r="F37" i="54"/>
  <c r="D37" i="54"/>
  <c r="C37" i="54"/>
  <c r="G36" i="54"/>
  <c r="D36" i="54"/>
  <c r="C36" i="54"/>
  <c r="G35" i="54"/>
  <c r="D35" i="54"/>
  <c r="C35" i="54"/>
  <c r="F34" i="54"/>
  <c r="D34" i="54"/>
  <c r="C34" i="54"/>
  <c r="G33" i="54"/>
  <c r="D33" i="54"/>
  <c r="C33" i="54"/>
  <c r="G32" i="54"/>
  <c r="D32" i="54"/>
  <c r="C32" i="54"/>
  <c r="F31" i="54"/>
  <c r="D31" i="54"/>
  <c r="C31" i="54"/>
  <c r="G30" i="54"/>
  <c r="D30" i="54"/>
  <c r="C30" i="54"/>
  <c r="G29" i="54"/>
  <c r="D29" i="54"/>
  <c r="C29" i="54"/>
  <c r="F28" i="54"/>
  <c r="D28" i="54"/>
  <c r="C28" i="54"/>
  <c r="G27" i="54"/>
  <c r="D27" i="54"/>
  <c r="C27" i="54"/>
  <c r="G26" i="54"/>
  <c r="D26" i="54"/>
  <c r="C26" i="54"/>
  <c r="G25" i="54"/>
  <c r="D25" i="54"/>
  <c r="C25" i="54"/>
  <c r="G24" i="54"/>
  <c r="D24" i="54"/>
  <c r="C24" i="54"/>
  <c r="G23" i="54"/>
  <c r="D23" i="54"/>
  <c r="C23" i="54"/>
  <c r="G22" i="54"/>
  <c r="D22" i="54"/>
  <c r="C22" i="54"/>
  <c r="G21" i="54"/>
  <c r="D21" i="54"/>
  <c r="C21" i="54"/>
  <c r="F20" i="54"/>
  <c r="D20" i="54"/>
  <c r="C20" i="54"/>
  <c r="E16" i="54"/>
  <c r="D53" i="54" l="1"/>
  <c r="G53" i="54"/>
  <c r="G54" i="54" s="1"/>
  <c r="D54" i="54" s="1"/>
  <c r="C53" i="54"/>
  <c r="F16" i="53"/>
  <c r="G51" i="53"/>
  <c r="H50" i="53"/>
  <c r="G49" i="53"/>
  <c r="H48" i="53"/>
  <c r="G47" i="53"/>
  <c r="G46" i="53"/>
  <c r="G45" i="53"/>
  <c r="G44" i="53"/>
  <c r="H43" i="53"/>
  <c r="H42" i="53"/>
  <c r="G41" i="53"/>
  <c r="G40" i="53"/>
  <c r="G39" i="53"/>
  <c r="G38" i="53"/>
  <c r="G37" i="53"/>
  <c r="H36" i="53"/>
  <c r="H35" i="53"/>
  <c r="G34" i="53"/>
  <c r="H33" i="53"/>
  <c r="H32" i="53"/>
  <c r="G31" i="53"/>
  <c r="H30" i="53"/>
  <c r="H29" i="53"/>
  <c r="G28" i="53"/>
  <c r="H27" i="53"/>
  <c r="H26" i="53"/>
  <c r="H25" i="53"/>
  <c r="H24" i="53"/>
  <c r="H23" i="53"/>
  <c r="H22" i="53"/>
  <c r="G20" i="53"/>
  <c r="G53" i="53" l="1"/>
  <c r="H53" i="53"/>
  <c r="H54" i="53" s="1"/>
  <c r="B23" i="59"/>
  <c r="B21" i="59"/>
  <c r="E54" i="53" l="1"/>
  <c r="G51" i="52"/>
  <c r="H50" i="52"/>
  <c r="G49" i="52"/>
  <c r="H48" i="52"/>
  <c r="G47" i="52"/>
  <c r="G46" i="52"/>
  <c r="G45" i="52"/>
  <c r="G44" i="52"/>
  <c r="H43" i="52"/>
  <c r="H42" i="52"/>
  <c r="G41" i="52"/>
  <c r="G40" i="52"/>
  <c r="G39" i="52"/>
  <c r="G38" i="52"/>
  <c r="G37" i="52"/>
  <c r="H36" i="52"/>
  <c r="H35" i="52"/>
  <c r="G34" i="52"/>
  <c r="H33" i="52"/>
  <c r="H32" i="52"/>
  <c r="G31" i="52"/>
  <c r="H30" i="52"/>
  <c r="H29" i="52"/>
  <c r="G28" i="52"/>
  <c r="H27" i="52"/>
  <c r="H26" i="52"/>
  <c r="H25" i="52"/>
  <c r="H24" i="52"/>
  <c r="H23" i="52"/>
  <c r="H22" i="52"/>
  <c r="G20" i="52"/>
  <c r="F19" i="52"/>
  <c r="E16" i="52"/>
  <c r="G51" i="51"/>
  <c r="H50" i="51"/>
  <c r="G49" i="51"/>
  <c r="H48" i="51"/>
  <c r="G47" i="51"/>
  <c r="G46" i="51"/>
  <c r="G45" i="51"/>
  <c r="G44" i="51"/>
  <c r="H43" i="51"/>
  <c r="H42" i="51"/>
  <c r="G41" i="51"/>
  <c r="G40" i="51"/>
  <c r="G39" i="51"/>
  <c r="G38" i="51"/>
  <c r="D38" i="51"/>
  <c r="G37" i="51"/>
  <c r="H36" i="51"/>
  <c r="H35" i="51"/>
  <c r="G34" i="51"/>
  <c r="H33" i="51"/>
  <c r="H32" i="51"/>
  <c r="G31" i="51"/>
  <c r="H30" i="51"/>
  <c r="H29" i="51"/>
  <c r="G28" i="51"/>
  <c r="H27" i="51"/>
  <c r="H26" i="51"/>
  <c r="H25" i="51"/>
  <c r="H24" i="51"/>
  <c r="H23" i="51"/>
  <c r="H22" i="51"/>
  <c r="H21" i="51"/>
  <c r="G20" i="51"/>
  <c r="F19" i="51"/>
  <c r="E16" i="51"/>
  <c r="E16" i="32"/>
  <c r="G37" i="32"/>
  <c r="G34" i="32"/>
  <c r="H43" i="32"/>
  <c r="H42" i="32"/>
  <c r="G41" i="32"/>
  <c r="G44" i="32"/>
  <c r="G45" i="32"/>
  <c r="G46" i="32"/>
  <c r="G47" i="32"/>
  <c r="H48" i="32"/>
  <c r="G49" i="32"/>
  <c r="H50" i="32"/>
  <c r="G51" i="32"/>
  <c r="G53" i="52" l="1"/>
  <c r="H53" i="52"/>
  <c r="G53" i="51"/>
  <c r="E46" i="51"/>
  <c r="E52" i="51"/>
  <c r="E47" i="52"/>
  <c r="E52" i="52"/>
  <c r="H54" i="52"/>
  <c r="E54" i="52" s="1"/>
  <c r="H53" i="51"/>
  <c r="E41" i="51"/>
  <c r="E51" i="51"/>
  <c r="D51" i="51"/>
  <c r="D50" i="52"/>
  <c r="D22" i="52"/>
  <c r="D26" i="52"/>
  <c r="D30" i="52"/>
  <c r="D34" i="52"/>
  <c r="D38" i="52"/>
  <c r="D42" i="52"/>
  <c r="D23" i="52"/>
  <c r="D27" i="52"/>
  <c r="D31" i="52"/>
  <c r="D35" i="52"/>
  <c r="D39" i="52"/>
  <c r="D43" i="52"/>
  <c r="D20" i="52"/>
  <c r="D24" i="52"/>
  <c r="D28" i="52"/>
  <c r="D32" i="52"/>
  <c r="D36" i="52"/>
  <c r="D40" i="52"/>
  <c r="D21" i="52"/>
  <c r="D25" i="52"/>
  <c r="D29" i="52"/>
  <c r="D33" i="52"/>
  <c r="D37" i="52"/>
  <c r="D41" i="52"/>
  <c r="D46" i="52"/>
  <c r="D45" i="52"/>
  <c r="D49" i="52"/>
  <c r="D51" i="52"/>
  <c r="D47" i="52"/>
  <c r="D44" i="52"/>
  <c r="D48" i="52"/>
  <c r="E24" i="52"/>
  <c r="E27" i="52"/>
  <c r="E40" i="52"/>
  <c r="E43" i="52"/>
  <c r="E50" i="52"/>
  <c r="E21" i="52"/>
  <c r="E34" i="52"/>
  <c r="E37" i="52"/>
  <c r="E51" i="52"/>
  <c r="E32" i="52"/>
  <c r="E35" i="52"/>
  <c r="E48" i="52"/>
  <c r="E26" i="52"/>
  <c r="E29" i="52"/>
  <c r="E45" i="52"/>
  <c r="E42" i="52"/>
  <c r="E30" i="52"/>
  <c r="E38" i="52"/>
  <c r="E20" i="52"/>
  <c r="E28" i="52"/>
  <c r="E36" i="52"/>
  <c r="E44" i="52"/>
  <c r="E22" i="52"/>
  <c r="E46" i="52"/>
  <c r="E25" i="52"/>
  <c r="E33" i="52"/>
  <c r="E41" i="52"/>
  <c r="E49" i="52"/>
  <c r="E23" i="52"/>
  <c r="E31" i="52"/>
  <c r="E39" i="52"/>
  <c r="D29" i="51"/>
  <c r="D25" i="51"/>
  <c r="D43" i="51"/>
  <c r="D21" i="51"/>
  <c r="D35" i="51"/>
  <c r="D42" i="51"/>
  <c r="D39" i="51"/>
  <c r="D26" i="51"/>
  <c r="D31" i="51"/>
  <c r="D40" i="51"/>
  <c r="D49" i="51"/>
  <c r="D33" i="51"/>
  <c r="D48" i="51"/>
  <c r="D22" i="51"/>
  <c r="D36" i="51"/>
  <c r="D45" i="51"/>
  <c r="D32" i="51"/>
  <c r="D23" i="51"/>
  <c r="D28" i="51"/>
  <c r="D46" i="51"/>
  <c r="E21" i="51"/>
  <c r="E25" i="51"/>
  <c r="E29" i="51"/>
  <c r="E33" i="51"/>
  <c r="E37" i="51"/>
  <c r="E45" i="51"/>
  <c r="E49" i="51"/>
  <c r="E27" i="51"/>
  <c r="E35" i="51"/>
  <c r="E43" i="51"/>
  <c r="D20" i="51"/>
  <c r="D27" i="51"/>
  <c r="D30" i="51"/>
  <c r="D37" i="51"/>
  <c r="D47" i="51"/>
  <c r="D24" i="51"/>
  <c r="D34" i="51"/>
  <c r="D41" i="51"/>
  <c r="D44" i="51"/>
  <c r="E20" i="51"/>
  <c r="E28" i="51"/>
  <c r="E36" i="51"/>
  <c r="E44" i="51"/>
  <c r="E23" i="51"/>
  <c r="E31" i="51"/>
  <c r="E39" i="51"/>
  <c r="E47" i="51"/>
  <c r="D50" i="51"/>
  <c r="E26" i="51"/>
  <c r="E34" i="51"/>
  <c r="E42" i="51"/>
  <c r="E50" i="51"/>
  <c r="E24" i="51"/>
  <c r="E32" i="51"/>
  <c r="E40" i="51"/>
  <c r="E48" i="51"/>
  <c r="E22" i="51"/>
  <c r="E30" i="51"/>
  <c r="E38" i="51"/>
  <c r="I51" i="51" l="1"/>
  <c r="E53" i="51"/>
  <c r="E53" i="52"/>
  <c r="D53" i="52"/>
  <c r="D53" i="51"/>
  <c r="D53" i="32"/>
  <c r="H54" i="51"/>
  <c r="E54" i="51" s="1"/>
  <c r="I51" i="52"/>
  <c r="F19" i="32" l="1"/>
  <c r="G40" i="32"/>
  <c r="G39" i="32"/>
  <c r="G38" i="32"/>
  <c r="H36" i="32"/>
  <c r="H35" i="32"/>
  <c r="H33" i="32"/>
  <c r="H32" i="32"/>
  <c r="G31" i="32"/>
  <c r="H30" i="32"/>
  <c r="H29" i="32"/>
  <c r="G28" i="32"/>
  <c r="H27" i="32"/>
  <c r="H26" i="32"/>
  <c r="H25" i="32"/>
  <c r="H24" i="32"/>
  <c r="H23" i="32"/>
  <c r="H22" i="32"/>
  <c r="H21" i="32"/>
  <c r="G20" i="32"/>
  <c r="E23" i="32" l="1"/>
  <c r="E31" i="32"/>
  <c r="E39" i="32"/>
  <c r="E47" i="32"/>
  <c r="E26" i="32"/>
  <c r="E34" i="32"/>
  <c r="E42" i="32"/>
  <c r="E50" i="32"/>
  <c r="E30" i="32"/>
  <c r="E46" i="32"/>
  <c r="E24" i="32"/>
  <c r="E32" i="32"/>
  <c r="E40" i="32"/>
  <c r="E48" i="32"/>
  <c r="E25" i="32"/>
  <c r="E33" i="32"/>
  <c r="E41" i="32"/>
  <c r="E49" i="32"/>
  <c r="E27" i="32"/>
  <c r="E35" i="32"/>
  <c r="E43" i="32"/>
  <c r="E51" i="32"/>
  <c r="E22" i="32"/>
  <c r="E38" i="32"/>
  <c r="E20" i="32"/>
  <c r="E28" i="32"/>
  <c r="E36" i="32"/>
  <c r="E44" i="32"/>
  <c r="E52" i="32"/>
  <c r="E21" i="32"/>
  <c r="E29" i="32"/>
  <c r="E37" i="32"/>
  <c r="E45" i="32"/>
  <c r="H53" i="32"/>
  <c r="H54" i="32" s="1"/>
  <c r="E54" i="32" s="1"/>
  <c r="G53" i="32"/>
  <c r="I51" i="32"/>
  <c r="K19" i="59"/>
  <c r="I19" i="59"/>
  <c r="E53" i="32" l="1"/>
  <c r="J19" i="59"/>
  <c r="L19" i="59" s="1"/>
  <c r="S26" i="59" l="1"/>
  <c r="B57" i="59"/>
  <c r="K41" i="59"/>
  <c r="E37" i="59"/>
  <c r="D37" i="59"/>
  <c r="T41" i="59" l="1"/>
  <c r="S41" i="59" l="1"/>
  <c r="B58" i="59" s="1"/>
  <c r="K40" i="59"/>
  <c r="K39" i="59"/>
  <c r="K38" i="59"/>
  <c r="K37" i="59"/>
  <c r="K31" i="59"/>
  <c r="K36" i="59"/>
  <c r="K35" i="59"/>
  <c r="E34" i="65" l="1"/>
  <c r="E41" i="65" l="1"/>
  <c r="E40" i="65"/>
  <c r="E39" i="65"/>
  <c r="E38" i="65"/>
  <c r="E37" i="65"/>
  <c r="E36" i="65"/>
  <c r="E35" i="65"/>
  <c r="E33" i="65"/>
  <c r="E42" i="65" l="1"/>
  <c r="E31" i="65" l="1"/>
  <c r="E29" i="65"/>
  <c r="E28" i="65"/>
  <c r="D32" i="65"/>
  <c r="B53" i="59"/>
  <c r="B52" i="59"/>
  <c r="K32" i="59"/>
  <c r="K30" i="59"/>
  <c r="K28" i="59"/>
  <c r="K27" i="59"/>
  <c r="K24" i="59"/>
  <c r="K22" i="59"/>
  <c r="K33" i="59"/>
  <c r="E24" i="59" l="1"/>
  <c r="D24" i="65" s="1"/>
  <c r="D24" i="59"/>
  <c r="E22" i="59"/>
  <c r="D22" i="59"/>
  <c r="E20" i="59"/>
  <c r="D20" i="65" s="1"/>
  <c r="D19" i="65"/>
  <c r="D20" i="59"/>
  <c r="T20" i="59" s="1"/>
  <c r="D26" i="65"/>
  <c r="K29" i="59"/>
  <c r="K26" i="59"/>
  <c r="K25" i="59"/>
  <c r="K21" i="59"/>
  <c r="K20" i="59"/>
  <c r="T24" i="59" l="1"/>
  <c r="U20" i="59"/>
  <c r="T28" i="59"/>
  <c r="E26" i="65"/>
  <c r="E30" i="65"/>
  <c r="D27" i="65"/>
  <c r="E27" i="65"/>
  <c r="D29" i="65"/>
  <c r="D28" i="65"/>
  <c r="E32" i="65"/>
  <c r="D33" i="65"/>
  <c r="T22" i="59"/>
  <c r="T26" i="59"/>
  <c r="T30" i="59"/>
  <c r="T33" i="59"/>
  <c r="E20" i="65"/>
  <c r="D25" i="65"/>
  <c r="T25" i="59"/>
  <c r="T29" i="59" l="1"/>
  <c r="U30" i="59" s="1"/>
  <c r="U28" i="59"/>
  <c r="F26" i="59"/>
  <c r="U26" i="59"/>
  <c r="E27" i="28" l="1"/>
  <c r="C27" i="28"/>
  <c r="B27" i="28"/>
  <c r="E26" i="28"/>
  <c r="B26" i="28"/>
  <c r="E25" i="28"/>
  <c r="D25" i="28"/>
  <c r="C25" i="28"/>
  <c r="B25" i="28"/>
  <c r="E24" i="28"/>
  <c r="B24" i="28"/>
  <c r="E23" i="28"/>
  <c r="D23" i="28"/>
  <c r="B23" i="28"/>
  <c r="E22" i="28"/>
  <c r="E21" i="28"/>
  <c r="D21" i="28"/>
  <c r="C21" i="28"/>
  <c r="F20" i="28"/>
  <c r="E20" i="28"/>
  <c r="F19" i="28"/>
  <c r="E19" i="28"/>
  <c r="D19" i="28"/>
  <c r="E18" i="28"/>
  <c r="E28" i="28" s="1"/>
  <c r="D17" i="28"/>
  <c r="C16" i="28"/>
  <c r="F28" i="43"/>
  <c r="B28" i="43"/>
  <c r="B27" i="43"/>
  <c r="C26" i="43"/>
  <c r="D25" i="43"/>
  <c r="C25" i="43"/>
  <c r="D24" i="43"/>
  <c r="C24" i="43"/>
  <c r="D23" i="43"/>
  <c r="D22" i="43"/>
  <c r="E21" i="43"/>
  <c r="D21" i="43"/>
  <c r="E20" i="43"/>
  <c r="D20" i="43"/>
  <c r="D18" i="43"/>
  <c r="C18" i="43"/>
  <c r="E17" i="43"/>
  <c r="D16" i="43"/>
  <c r="C16" i="43"/>
  <c r="C28" i="43" s="1"/>
  <c r="B51" i="59"/>
  <c r="E31" i="53"/>
  <c r="B49" i="59"/>
  <c r="E46" i="53"/>
  <c r="E45" i="53"/>
  <c r="E23" i="53"/>
  <c r="E36" i="53"/>
  <c r="E37" i="53"/>
  <c r="E50" i="53"/>
  <c r="B50" i="59"/>
  <c r="E33" i="53"/>
  <c r="E22" i="65"/>
  <c r="E21" i="65"/>
  <c r="D22" i="65"/>
  <c r="J21" i="59"/>
  <c r="L21" i="59" s="1"/>
  <c r="F22" i="59"/>
  <c r="B19" i="59"/>
  <c r="B48" i="59"/>
  <c r="D31" i="65"/>
  <c r="E25" i="65"/>
  <c r="E24" i="65"/>
  <c r="E23" i="65"/>
  <c r="J41" i="59"/>
  <c r="L41" i="59" s="1"/>
  <c r="K42" i="59"/>
  <c r="D35" i="65"/>
  <c r="D23" i="65"/>
  <c r="D37" i="65"/>
  <c r="F41" i="59"/>
  <c r="D41" i="65"/>
  <c r="D39" i="65"/>
  <c r="J42" i="59"/>
  <c r="L42" i="59" s="1"/>
  <c r="S38" i="59"/>
  <c r="B56" i="59" s="1"/>
  <c r="T40" i="59"/>
  <c r="J37" i="59"/>
  <c r="L37" i="59" s="1"/>
  <c r="T37" i="59"/>
  <c r="J36" i="59"/>
  <c r="T36" i="59"/>
  <c r="J38" i="59"/>
  <c r="J40" i="59"/>
  <c r="L40" i="59" s="1"/>
  <c r="B55" i="59"/>
  <c r="B54" i="59"/>
  <c r="J33" i="59"/>
  <c r="J32" i="59"/>
  <c r="L32" i="59" s="1"/>
  <c r="E32" i="59"/>
  <c r="D32" i="59"/>
  <c r="T32" i="59" s="1"/>
  <c r="U32" i="59" s="1"/>
  <c r="J27" i="59"/>
  <c r="F25" i="59"/>
  <c r="J24" i="59"/>
  <c r="U24" i="59"/>
  <c r="J39" i="59"/>
  <c r="L39" i="59" s="1"/>
  <c r="J22" i="59"/>
  <c r="L22" i="59" s="1"/>
  <c r="J29" i="59"/>
  <c r="L29" i="59" s="1"/>
  <c r="J26" i="59"/>
  <c r="L26" i="59" s="1"/>
  <c r="Q26" i="59" s="1"/>
  <c r="B35" i="59"/>
  <c r="T42" i="59"/>
  <c r="G43" i="59"/>
  <c r="M43" i="59"/>
  <c r="N43" i="59"/>
  <c r="O43" i="59"/>
  <c r="F42" i="59"/>
  <c r="B39" i="59"/>
  <c r="C43" i="59"/>
  <c r="P21" i="59"/>
  <c r="P22" i="59"/>
  <c r="P23" i="59"/>
  <c r="P24" i="59"/>
  <c r="P25" i="59"/>
  <c r="P27" i="59"/>
  <c r="P28" i="59"/>
  <c r="P29" i="59"/>
  <c r="P30" i="59"/>
  <c r="P19" i="59"/>
  <c r="P43" i="59"/>
  <c r="F31" i="59"/>
  <c r="F29" i="59"/>
  <c r="F19" i="59"/>
  <c r="F33" i="59"/>
  <c r="F24" i="59"/>
  <c r="F28" i="28" l="1"/>
  <c r="Q19" i="59"/>
  <c r="E28" i="43"/>
  <c r="D28" i="43"/>
  <c r="C28" i="28"/>
  <c r="Q29" i="59"/>
  <c r="E27" i="53"/>
  <c r="E24" i="53"/>
  <c r="E29" i="53"/>
  <c r="E39" i="53"/>
  <c r="E40" i="53"/>
  <c r="E35" i="53"/>
  <c r="E48" i="53"/>
  <c r="E26" i="53"/>
  <c r="E51" i="53"/>
  <c r="E22" i="53"/>
  <c r="E47" i="53"/>
  <c r="E20" i="53"/>
  <c r="E44" i="53"/>
  <c r="E32" i="53"/>
  <c r="E34" i="53"/>
  <c r="E49" i="53"/>
  <c r="E41" i="53"/>
  <c r="E38" i="53"/>
  <c r="E42" i="53"/>
  <c r="E28" i="53"/>
  <c r="E25" i="53"/>
  <c r="E43" i="53"/>
  <c r="E30" i="53"/>
  <c r="E21" i="53"/>
  <c r="S43" i="59"/>
  <c r="B47" i="59"/>
  <c r="Q42" i="59"/>
  <c r="U42" i="59"/>
  <c r="F37" i="59"/>
  <c r="Q37" i="59" s="1"/>
  <c r="F39" i="59"/>
  <c r="Q39" i="59" s="1"/>
  <c r="T39" i="59"/>
  <c r="U40" i="59" s="1"/>
  <c r="L38" i="59"/>
  <c r="J35" i="59"/>
  <c r="L35" i="59" s="1"/>
  <c r="L36" i="59"/>
  <c r="Q41" i="59"/>
  <c r="R41" i="59" s="1"/>
  <c r="C23" i="65"/>
  <c r="C19" i="65"/>
  <c r="C21" i="65"/>
  <c r="C31" i="65"/>
  <c r="D28" i="28"/>
  <c r="B28" i="28"/>
  <c r="C27" i="65"/>
  <c r="F21" i="59"/>
  <c r="Q21" i="59" s="1"/>
  <c r="U22" i="59"/>
  <c r="F35" i="59"/>
  <c r="F36" i="59"/>
  <c r="D26" i="53"/>
  <c r="D28" i="53"/>
  <c r="D38" i="53"/>
  <c r="D34" i="53"/>
  <c r="D20" i="53"/>
  <c r="D39" i="53"/>
  <c r="D29" i="53"/>
  <c r="D22" i="53"/>
  <c r="D47" i="53"/>
  <c r="D25" i="53"/>
  <c r="D27" i="53"/>
  <c r="D35" i="53"/>
  <c r="D37" i="53"/>
  <c r="D33" i="53"/>
  <c r="D51" i="53"/>
  <c r="D31" i="53"/>
  <c r="D48" i="53"/>
  <c r="D24" i="53"/>
  <c r="D23" i="53"/>
  <c r="D46" i="53"/>
  <c r="D41" i="53"/>
  <c r="D32" i="53"/>
  <c r="D42" i="53"/>
  <c r="D43" i="53"/>
  <c r="D30" i="53"/>
  <c r="D44" i="53"/>
  <c r="D49" i="53"/>
  <c r="D40" i="53"/>
  <c r="D36" i="53"/>
  <c r="D50" i="53"/>
  <c r="D45" i="53"/>
  <c r="D21" i="53"/>
  <c r="L24" i="59"/>
  <c r="Q24" i="59" s="1"/>
  <c r="F32" i="59"/>
  <c r="Q32" i="59" s="1"/>
  <c r="F23" i="59"/>
  <c r="F40" i="59"/>
  <c r="Q40" i="59" s="1"/>
  <c r="Q22" i="59"/>
  <c r="J31" i="59"/>
  <c r="L31" i="59" s="1"/>
  <c r="Q31" i="59" s="1"/>
  <c r="D43" i="59"/>
  <c r="E43" i="59"/>
  <c r="D43" i="65"/>
  <c r="T38" i="59"/>
  <c r="U38" i="59" s="1"/>
  <c r="F20" i="59"/>
  <c r="J28" i="59"/>
  <c r="L28" i="59" s="1"/>
  <c r="Q28" i="59" s="1"/>
  <c r="J30" i="59"/>
  <c r="L30" i="59" s="1"/>
  <c r="Q30" i="59" s="1"/>
  <c r="L33" i="59"/>
  <c r="Q33" i="59" s="1"/>
  <c r="J23" i="59"/>
  <c r="L23" i="59" s="1"/>
  <c r="L27" i="59"/>
  <c r="Q27" i="59" s="1"/>
  <c r="K43" i="59"/>
  <c r="J20" i="59"/>
  <c r="L20" i="59" s="1"/>
  <c r="T35" i="59"/>
  <c r="U36" i="59" s="1"/>
  <c r="J25" i="59"/>
  <c r="L25" i="59" s="1"/>
  <c r="E43" i="65"/>
  <c r="I43" i="59"/>
  <c r="T34" i="59"/>
  <c r="U34" i="59" s="1"/>
  <c r="H43" i="59"/>
  <c r="E53" i="53" l="1"/>
  <c r="D53" i="53"/>
  <c r="C25" i="65"/>
  <c r="B25" i="59"/>
  <c r="R32" i="59"/>
  <c r="C53" i="59" s="1"/>
  <c r="Q23" i="59"/>
  <c r="R24" i="59" s="1"/>
  <c r="C49" i="59" s="1"/>
  <c r="R30" i="59"/>
  <c r="C52" i="59" s="1"/>
  <c r="Q36" i="59"/>
  <c r="R22" i="59"/>
  <c r="C48" i="59" s="1"/>
  <c r="R28" i="59"/>
  <c r="C51" i="59" s="1"/>
  <c r="Q35" i="59"/>
  <c r="Q25" i="59"/>
  <c r="R26" i="59" s="1"/>
  <c r="C50" i="59" s="1"/>
  <c r="C58" i="59"/>
  <c r="R40" i="59"/>
  <c r="C57" i="59" s="1"/>
  <c r="F38" i="59"/>
  <c r="Q38" i="59" s="1"/>
  <c r="R38" i="59" s="1"/>
  <c r="C33" i="65"/>
  <c r="B17" i="62"/>
  <c r="C29" i="65"/>
  <c r="Q20" i="59"/>
  <c r="U43" i="59"/>
  <c r="J34" i="59"/>
  <c r="L34" i="59" s="1"/>
  <c r="Q34" i="59" s="1"/>
  <c r="T43" i="59"/>
  <c r="R34" i="59" l="1"/>
  <c r="C54" i="59" s="1"/>
  <c r="R36" i="59"/>
  <c r="C55" i="59" s="1"/>
  <c r="R20" i="59"/>
  <c r="C47" i="59" s="1"/>
  <c r="B43" i="59"/>
  <c r="C43" i="65"/>
  <c r="C56" i="59"/>
  <c r="F43" i="59"/>
  <c r="L43" i="59"/>
  <c r="J43" i="59"/>
  <c r="Q43" i="59"/>
  <c r="R43" i="5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54" authorId="0" shapeId="0" xr:uid="{DE58D29B-3C22-429B-B765-4FCD9FDED1E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54" authorId="0" shapeId="0" xr:uid="{A55CD465-37F9-4666-9CB1-82714D74CB2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54" authorId="0" shapeId="0" xr:uid="{0FCD2918-287A-442E-88E8-9353CF4BD19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54" authorId="0" shapeId="0" xr:uid="{9BD8E0AA-8F32-4835-AB43-D35A9B1C6D7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F54" authorId="0" shapeId="0" xr:uid="{B97C7A8E-4D63-4493-B97B-45E93C6CDD1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F52" authorId="0" shapeId="0" xr:uid="{FE2A8068-6E6C-4674-892B-A5AB780F011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F52" authorId="0" shapeId="0" xr:uid="{03D10D68-3F8D-435E-8361-E99F4A9C4AB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F52" authorId="0" shapeId="0" xr:uid="{92B0DC06-AE58-4FEE-A7E8-14922725F3B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F52" authorId="0" shapeId="0" xr:uid="{8AB0C8BD-6DEA-4190-B51A-57418E2B061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F52" authorId="0" shapeId="0" xr:uid="{6836804E-7127-4969-AA5F-9865F8B9E15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F52" authorId="0" shapeId="0" xr:uid="{77F5D0A1-6D38-4477-9A6A-2A7AFDFD5D3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F52" authorId="0" shapeId="0" xr:uid="{F97BD97D-5164-43A8-BE2A-E97639F101C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COSTO VARIABLE UNITARIO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Janus</author>
    <author>CONTABILIDAD</author>
    <author>Usuario</author>
    <author>NAC2</author>
  </authors>
  <commentList>
    <comment ref="C16" authorId="0" shapeId="0" xr:uid="{6BF2CE38-BCBE-4988-99F0-AC2025C036FA}">
      <text>
        <r>
          <rPr>
            <b/>
            <sz val="9"/>
            <color indexed="81"/>
            <rFont val="Tahoma"/>
            <family val="2"/>
          </rPr>
          <t>Janus:
1.</t>
        </r>
        <r>
          <rPr>
            <sz val="9"/>
            <color indexed="81"/>
            <rFont val="Tahoma"/>
            <family val="2"/>
          </rPr>
          <t xml:space="preserve"> 3 MARTILLOS M37
2. MOBILIARIO
3. 10.000.000 SIST MONITOREO
4. 10.000.000 JR</t>
        </r>
      </text>
    </comment>
    <comment ref="D16" authorId="0" shapeId="0" xr:uid="{31C0DDD4-855D-48A0-B48C-CB36B961369E}">
      <text>
        <r>
          <rPr>
            <b/>
            <sz val="9"/>
            <color indexed="81"/>
            <rFont val="Tahoma"/>
            <family val="2"/>
          </rPr>
          <t>Janus:</t>
        </r>
        <r>
          <rPr>
            <sz val="9"/>
            <color indexed="81"/>
            <rFont val="Tahoma"/>
            <family val="2"/>
          </rPr>
          <t xml:space="preserve">
Compra ventillador
adecu via $17,960,000</t>
        </r>
      </text>
    </comment>
    <comment ref="C17" authorId="0" shapeId="0" xr:uid="{F01B6A74-8AC5-4E9E-9C59-2C52A9B8C3ED}">
      <text>
        <r>
          <rPr>
            <b/>
            <sz val="9"/>
            <color indexed="81"/>
            <rFont val="Tahoma"/>
            <family val="2"/>
          </rPr>
          <t>Janus:</t>
        </r>
        <r>
          <rPr>
            <sz val="9"/>
            <color indexed="81"/>
            <rFont val="Tahoma"/>
            <family val="2"/>
          </rPr>
          <t xml:space="preserve">
AUTORESCATADORES</t>
        </r>
      </text>
    </comment>
    <comment ref="D17" authorId="1" shapeId="0" xr:uid="{B1FC1A58-51F0-499B-BDE6-5952A8AA4406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COMPRA RIEL</t>
        </r>
      </text>
    </comment>
    <comment ref="E17" authorId="2" shapeId="0" xr:uid="{3579474A-39EC-46D6-9817-622CAEA0025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telefonos $5,800,000
Tablero control $31,654,000
Wincher $16,410,256
Vigas tolva $8,996,535
Cable encauchetado $5,972,000
Bomba neumatica $8.967.304
Vigas $5,905,275
</t>
        </r>
      </text>
    </comment>
    <comment ref="C18" authorId="0" shapeId="0" xr:uid="{7192E0C7-C0A0-439F-956E-F98690DC23CB}">
      <text>
        <r>
          <rPr>
            <b/>
            <sz val="9"/>
            <color indexed="81"/>
            <rFont val="Tahoma"/>
            <family val="2"/>
          </rPr>
          <t>Janus:</t>
        </r>
        <r>
          <rPr>
            <sz val="9"/>
            <color indexed="81"/>
            <rFont val="Tahoma"/>
            <family val="2"/>
          </rPr>
          <t xml:space="preserve">
VIDEOPROYECTOR 2.000.000
MALACATE 7.000.000
COMPUTA 2.925.000</t>
        </r>
      </text>
    </comment>
    <comment ref="D18" authorId="1" shapeId="0" xr:uid="{50D4A171-104F-463B-8BCB-8CA1C0B38135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LAMPARAS
8 AUTORESCATADORES</t>
        </r>
      </text>
    </comment>
    <comment ref="F18" authorId="3" shapeId="0" xr:uid="{8DE2B727-7525-45F1-BE4A-61D7BD5D88CB}">
      <text>
        <r>
          <rPr>
            <b/>
            <sz val="9"/>
            <color indexed="81"/>
            <rFont val="Tahoma"/>
            <family val="2"/>
          </rPr>
          <t>NAC2:</t>
        </r>
        <r>
          <rPr>
            <sz val="9"/>
            <color indexed="81"/>
            <rFont val="Tahoma"/>
            <family val="2"/>
          </rPr>
          <t xml:space="preserve">
motor remanufacturado</t>
        </r>
      </text>
    </comment>
    <comment ref="C19" authorId="0" shapeId="0" xr:uid="{6996403E-DD58-4FDC-97A3-1951845D9C6D}">
      <text>
        <r>
          <rPr>
            <b/>
            <sz val="9"/>
            <color indexed="81"/>
            <rFont val="Tahoma"/>
            <family val="2"/>
          </rPr>
          <t>Janus:</t>
        </r>
        <r>
          <rPr>
            <sz val="9"/>
            <color indexed="81"/>
            <rFont val="Tahoma"/>
            <family val="2"/>
          </rPr>
          <t xml:space="preserve">
6</t>
        </r>
      </text>
    </comment>
    <comment ref="D19" authorId="1" shapeId="0" xr:uid="{9C19F118-8AE4-49C2-A032-17484DC061EC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CAMARAS Y ALARMAS</t>
        </r>
      </text>
    </comment>
    <comment ref="C20" authorId="0" shapeId="0" xr:uid="{37A906AA-7D29-40B7-AD16-D664040F4BE5}">
      <text>
        <r>
          <rPr>
            <b/>
            <sz val="9"/>
            <color indexed="81"/>
            <rFont val="Tahoma"/>
            <family val="2"/>
          </rPr>
          <t>Janus:</t>
        </r>
        <r>
          <rPr>
            <sz val="9"/>
            <color indexed="81"/>
            <rFont val="Tahoma"/>
            <family val="2"/>
          </rPr>
          <t xml:space="preserve">
SISTEMA MONITOREO 19.920.000
GENOFONO $10.910.000</t>
        </r>
      </text>
    </comment>
    <comment ref="D20" authorId="1" shapeId="0" xr:uid="{D14D8131-FE79-4A19-B772-3B5E52013F19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2 MULTIDETECTORES $17,199,964
COMPUTADOR $4.800.000
RIEL $17.050.320
MOTOR $7,300,000
MUEBLES TV $1,200,000</t>
        </r>
      </text>
    </comment>
    <comment ref="E20" authorId="3" shapeId="0" xr:uid="{DB3ECD55-ED16-47AB-AFD9-B28D65717C7F}">
      <text>
        <r>
          <rPr>
            <b/>
            <sz val="9"/>
            <color indexed="81"/>
            <rFont val="Tahoma"/>
            <family val="2"/>
          </rPr>
          <t>NAC2:</t>
        </r>
        <r>
          <rPr>
            <sz val="9"/>
            <color indexed="81"/>
            <rFont val="Tahoma"/>
            <family val="2"/>
          </rPr>
          <t xml:space="preserve">
arcos $168.408.800
motor bomba $16,362,500
sistema monitoreo $15.970.000
tolva $181.231.649</t>
        </r>
      </text>
    </comment>
    <comment ref="C21" authorId="0" shapeId="0" xr:uid="{4FDE5CB0-7730-416C-9449-BF0CB8E96E2A}">
      <text>
        <r>
          <rPr>
            <b/>
            <sz val="9"/>
            <color indexed="81"/>
            <rFont val="Tahoma"/>
            <family val="2"/>
          </rPr>
          <t>Janus:</t>
        </r>
        <r>
          <rPr>
            <sz val="9"/>
            <color indexed="81"/>
            <rFont val="Tahoma"/>
            <family val="2"/>
          </rPr>
          <t xml:space="preserve">
coche 800,000</t>
        </r>
      </text>
    </comment>
    <comment ref="D21" authorId="1" shapeId="0" xr:uid="{B67F63B1-6CE3-4A84-A5FE-5D6826D8705A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VIA 27,100,000
MARTILLO $2,320,500</t>
        </r>
      </text>
    </comment>
    <comment ref="E21" authorId="3" shapeId="0" xr:uid="{CD9E0D27-07D3-4D3A-BAD0-EF36F94E9074}">
      <text>
        <r>
          <rPr>
            <b/>
            <sz val="9"/>
            <color indexed="81"/>
            <rFont val="Tahoma"/>
            <family val="2"/>
          </rPr>
          <t>NAC2:</t>
        </r>
        <r>
          <rPr>
            <sz val="9"/>
            <color indexed="81"/>
            <rFont val="Tahoma"/>
            <family val="2"/>
          </rPr>
          <t xml:space="preserve">
Malacate $41.650.000
Ventilador $4.582.452
</t>
        </r>
      </text>
    </comment>
    <comment ref="C22" authorId="0" shapeId="0" xr:uid="{91D31EA8-7505-4D8D-826D-872F35CBA997}">
      <text>
        <r>
          <rPr>
            <b/>
            <sz val="9"/>
            <color indexed="81"/>
            <rFont val="Tahoma"/>
            <family val="2"/>
          </rPr>
          <t>Janus:</t>
        </r>
        <r>
          <rPr>
            <sz val="9"/>
            <color indexed="81"/>
            <rFont val="Tahoma"/>
            <family val="2"/>
          </rPr>
          <t xml:space="preserve">
Compra multi</t>
        </r>
      </text>
    </comment>
    <comment ref="D22" authorId="1" shapeId="0" xr:uid="{0EBA76B1-CD1E-4E22-A0A2-51E01D0B92EF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RIEL 14430000
DUCTO 13852790</t>
        </r>
      </text>
    </comment>
    <comment ref="B23" authorId="0" shapeId="0" xr:uid="{5CFBFAEF-D788-40ED-8C12-172D67183E61}">
      <text>
        <r>
          <rPr>
            <b/>
            <sz val="9"/>
            <color indexed="81"/>
            <rFont val="Tahoma"/>
            <family val="2"/>
          </rPr>
          <t>Janus:</t>
        </r>
        <r>
          <rPr>
            <sz val="9"/>
            <color indexed="81"/>
            <rFont val="Tahoma"/>
            <family val="2"/>
          </rPr>
          <t xml:space="preserve">
VENTILADOR</t>
        </r>
      </text>
    </comment>
    <comment ref="C23" authorId="0" shapeId="0" xr:uid="{965EFD72-BCD4-41AE-92DA-B388F668A4F8}">
      <text>
        <r>
          <rPr>
            <b/>
            <sz val="9"/>
            <color indexed="81"/>
            <rFont val="Tahoma"/>
            <family val="2"/>
          </rPr>
          <t>Janus:</t>
        </r>
        <r>
          <rPr>
            <sz val="9"/>
            <color indexed="81"/>
            <rFont val="Tahoma"/>
            <family val="2"/>
          </rPr>
          <t xml:space="preserve">
COMPRESOR $45.000.000</t>
        </r>
      </text>
    </comment>
    <comment ref="D23" authorId="1" shapeId="0" xr:uid="{E9A4B2F6-E4C2-4C55-9661-2BB2308D0853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material construccion
WINCHER 19,040.000
RIEL 15.955.605</t>
        </r>
      </text>
    </comment>
    <comment ref="B24" authorId="0" shapeId="0" xr:uid="{6E4FDACC-B3F7-4A62-BFA9-7FAE3D01C346}">
      <text>
        <r>
          <rPr>
            <b/>
            <sz val="9"/>
            <color indexed="81"/>
            <rFont val="Tahoma"/>
            <family val="2"/>
          </rPr>
          <t>Janus:</t>
        </r>
        <r>
          <rPr>
            <sz val="9"/>
            <color indexed="81"/>
            <rFont val="Tahoma"/>
            <family val="2"/>
          </rPr>
          <t xml:space="preserve">
CARRETONES PARA COCHES</t>
        </r>
      </text>
    </comment>
    <comment ref="C24" authorId="0" shapeId="0" xr:uid="{F01ECEFC-00FB-4AEB-B11F-6C68CCC0AA32}">
      <text>
        <r>
          <rPr>
            <b/>
            <sz val="9"/>
            <color indexed="81"/>
            <rFont val="Tahoma"/>
            <family val="2"/>
          </rPr>
          <t>Janus:
TRANS MALACATE MULTI 3.671.150
AUTORESCATADORES
$7.254.240
MALACATE GRANDE 100.000.000</t>
        </r>
      </text>
    </comment>
    <comment ref="D24" authorId="1" shapeId="0" xr:uid="{5C84A91F-4956-4D4D-BBE2-21EBB5EDAB6D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coches 11.350.000
PERFORACION 30.000.000</t>
        </r>
      </text>
    </comment>
    <comment ref="C25" authorId="0" shapeId="0" xr:uid="{147D2CD9-F6CD-4486-A7FB-9985D663F234}">
      <text>
        <r>
          <rPr>
            <b/>
            <sz val="9"/>
            <color indexed="81"/>
            <rFont val="Tahoma"/>
            <family val="2"/>
          </rPr>
          <t>Janus:</t>
        </r>
        <r>
          <rPr>
            <sz val="9"/>
            <color indexed="81"/>
            <rFont val="Tahoma"/>
            <family val="2"/>
          </rPr>
          <t xml:space="preserve">
GEOFONOS 12.900.000
2 COCHE $15,795,250
1 POLEA Y ESTRUCTURA</t>
        </r>
      </text>
    </comment>
    <comment ref="D25" authorId="1" shapeId="0" xr:uid="{DDB3CC3B-1AEE-40B7-A79F-9CE9D2EEC454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RIEL 40.112.377
VENTILADOR 9.725.454
RIEL 15.600.900
</t>
        </r>
      </text>
    </comment>
    <comment ref="B26" authorId="0" shapeId="0" xr:uid="{4AE00E10-26CD-4665-BAE5-11D25B147CA7}">
      <text>
        <r>
          <rPr>
            <b/>
            <sz val="9"/>
            <color indexed="81"/>
            <rFont val="Tahoma"/>
            <family val="2"/>
          </rPr>
          <t>Janus:</t>
        </r>
        <r>
          <rPr>
            <sz val="9"/>
            <color indexed="81"/>
            <rFont val="Tahoma"/>
            <family val="2"/>
          </rPr>
          <t xml:space="preserve">
RIEL
</t>
        </r>
      </text>
    </comment>
    <comment ref="C26" authorId="0" shapeId="0" xr:uid="{B9B4DC27-A4C1-4ABF-9E89-DAA90527ED82}">
      <text>
        <r>
          <rPr>
            <sz val="9"/>
            <color indexed="81"/>
            <rFont val="Tahoma"/>
            <family val="2"/>
          </rPr>
          <t xml:space="preserve">2 coches y carretilla
WINCHE CAPACIDAD 80 TN    
</t>
        </r>
      </text>
    </comment>
    <comment ref="B27" authorId="0" shapeId="0" xr:uid="{491282EC-2D91-4ECF-8B2A-46623A1281C5}">
      <text>
        <r>
          <rPr>
            <b/>
            <sz val="9"/>
            <color indexed="81"/>
            <rFont val="Tahoma"/>
            <family val="2"/>
          </rPr>
          <t>Janus:</t>
        </r>
        <r>
          <rPr>
            <sz val="9"/>
            <color indexed="81"/>
            <rFont val="Tahoma"/>
            <family val="2"/>
          </rPr>
          <t xml:space="preserve">
VENTILADOR, ANTICIPOS DADOS PARA EL SISTEMA DE MONITOREO</t>
        </r>
      </text>
    </comment>
    <comment ref="C27" authorId="0" shapeId="0" xr:uid="{2253ECB6-A8F8-45FB-9E6A-7EA624C963B1}">
      <text>
        <r>
          <rPr>
            <b/>
            <sz val="9"/>
            <color indexed="81"/>
            <rFont val="Tahoma"/>
            <family val="2"/>
          </rPr>
          <t>Janus:</t>
        </r>
        <r>
          <rPr>
            <sz val="9"/>
            <color indexed="81"/>
            <rFont val="Tahoma"/>
            <family val="2"/>
          </rPr>
          <t xml:space="preserve">
VENTILADOR, ANTICIPOS DADOS PARA EL SISTEMA DE MONITOREO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Janus</author>
    <author>CONTABILIDAD</author>
    <author>NAC2</author>
  </authors>
  <commentList>
    <comment ref="C16" authorId="0" shapeId="0" xr:uid="{D435EF92-7971-4BBC-AC3F-92653911049A}">
      <text>
        <r>
          <rPr>
            <b/>
            <sz val="9"/>
            <color indexed="81"/>
            <rFont val="Tahoma"/>
            <family val="2"/>
          </rPr>
          <t>Janus:</t>
        </r>
        <r>
          <rPr>
            <sz val="9"/>
            <color indexed="81"/>
            <rFont val="Tahoma"/>
            <family val="2"/>
          </rPr>
          <t xml:space="preserve">
3,000,000 MAESTRO</t>
        </r>
      </text>
    </comment>
    <comment ref="D16" authorId="0" shapeId="0" xr:uid="{C7CE1046-2054-4881-AE3D-76D67AEAB91F}">
      <text>
        <r>
          <rPr>
            <b/>
            <sz val="9"/>
            <color indexed="81"/>
            <rFont val="Tahoma"/>
            <family val="2"/>
          </rPr>
          <t>Janus:</t>
        </r>
        <r>
          <rPr>
            <sz val="9"/>
            <color indexed="81"/>
            <rFont val="Tahoma"/>
            <family val="2"/>
          </rPr>
          <t xml:space="preserve">
Materiales</t>
        </r>
      </text>
    </comment>
    <comment ref="D17" authorId="1" shapeId="0" xr:uid="{124A360A-1058-4248-85D8-5D06E5E7BF08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RETRO VIA $14,115.652
MAT CON 17.708.846</t>
        </r>
      </text>
    </comment>
    <comment ref="E18" authorId="2" shapeId="0" xr:uid="{D5D04F48-F9E4-4504-9A96-B71B2618EC41}">
      <text>
        <r>
          <rPr>
            <b/>
            <sz val="9"/>
            <color indexed="81"/>
            <rFont val="Tahoma"/>
            <family val="2"/>
          </rPr>
          <t>NAC2:</t>
        </r>
        <r>
          <rPr>
            <sz val="9"/>
            <color indexed="81"/>
            <rFont val="Tahoma"/>
            <family val="2"/>
          </rPr>
          <t xml:space="preserve">
LOCERKS $3.641.400
MAT CONS $2.309.641</t>
        </r>
      </text>
    </comment>
    <comment ref="D19" authorId="1" shapeId="0" xr:uid="{8D86ECDC-791C-4F8B-B899-96DFD106BB01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ORNAMENTACION $10.800.000
BLOQUE 950,000
TERMINADOS 27.711.389
RETRO VIA 16.253.165
CAMARAS Y ALARMAS</t>
        </r>
      </text>
    </comment>
    <comment ref="E19" authorId="2" shapeId="0" xr:uid="{9FF88ACA-3E66-4496-8D68-8C556646C414}">
      <text>
        <r>
          <rPr>
            <b/>
            <sz val="9"/>
            <color indexed="81"/>
            <rFont val="Tahoma"/>
            <family val="2"/>
          </rPr>
          <t>NAC2:</t>
        </r>
        <r>
          <rPr>
            <sz val="9"/>
            <color indexed="81"/>
            <rFont val="Tahoma"/>
            <family val="2"/>
          </rPr>
          <t xml:space="preserve">
MAT CONST</t>
        </r>
      </text>
    </comment>
    <comment ref="F19" authorId="2" shapeId="0" xr:uid="{B85E5422-67BF-496E-83CA-D6DEAEA70192}">
      <text>
        <r>
          <rPr>
            <b/>
            <sz val="9"/>
            <color indexed="81"/>
            <rFont val="Tahoma"/>
            <family val="2"/>
          </rPr>
          <t>NAC2:</t>
        </r>
        <r>
          <rPr>
            <sz val="9"/>
            <color indexed="81"/>
            <rFont val="Tahoma"/>
            <family val="2"/>
          </rPr>
          <t xml:space="preserve">
Red manto 7</t>
        </r>
      </text>
    </comment>
    <comment ref="D20" authorId="1" shapeId="0" xr:uid="{B1CAD84F-F80C-4EA6-B314-3132736509EB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" authorId="2" shapeId="0" xr:uid="{AF33ACB2-8F70-42F2-9221-DDC980F13553}">
      <text>
        <r>
          <rPr>
            <b/>
            <sz val="9"/>
            <color indexed="81"/>
            <rFont val="Tahoma"/>
            <family val="2"/>
          </rPr>
          <t>MAT CONS $21.096.926</t>
        </r>
        <r>
          <rPr>
            <sz val="9"/>
            <color indexed="81"/>
            <rFont val="Tahoma"/>
            <family val="2"/>
          </rPr>
          <t xml:space="preserve">
TOLVA $181.231.649</t>
        </r>
      </text>
    </comment>
    <comment ref="F20" authorId="2" shapeId="0" xr:uid="{4D46AF2C-A00A-486B-8979-2DED3037E7BA}">
      <text>
        <r>
          <rPr>
            <b/>
            <sz val="9"/>
            <color indexed="81"/>
            <rFont val="Tahoma"/>
            <family val="2"/>
          </rPr>
          <t>NAC2:</t>
        </r>
        <r>
          <rPr>
            <sz val="9"/>
            <color indexed="81"/>
            <rFont val="Tahoma"/>
            <family val="2"/>
          </rPr>
          <t xml:space="preserve">
Oruga via nueva</t>
        </r>
      </text>
    </comment>
    <comment ref="D21" authorId="1" shapeId="0" xr:uid="{968C0E05-FF62-4210-9916-C1280F17179F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PLANTA 16,800,000</t>
        </r>
      </text>
    </comment>
    <comment ref="E21" authorId="2" shapeId="0" xr:uid="{8C41AAE5-657F-40A9-AE4E-AA602BA8A2AE}">
      <text>
        <r>
          <rPr>
            <b/>
            <sz val="9"/>
            <color indexed="81"/>
            <rFont val="Tahoma"/>
            <family val="2"/>
          </rPr>
          <t>Iluminacion fotovoltaiva $18.900.029
Mat constr 17.211.975
Ornamentacion 16.533.333</t>
        </r>
      </text>
    </comment>
    <comment ref="D22" authorId="1" shapeId="0" xr:uid="{69A55FAC-A503-4414-838F-16FD88AD3A23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PAJARITA $26388000</t>
        </r>
      </text>
    </comment>
    <comment ref="E22" authorId="2" shapeId="0" xr:uid="{ADF94250-5877-4814-9FE8-3A81C33D68A6}">
      <text>
        <r>
          <rPr>
            <b/>
            <sz val="9"/>
            <color indexed="81"/>
            <rFont val="Tahoma"/>
            <family val="2"/>
          </rPr>
          <t>NAC2:</t>
        </r>
        <r>
          <rPr>
            <sz val="9"/>
            <color indexed="81"/>
            <rFont val="Tahoma"/>
            <family val="2"/>
          </rPr>
          <t xml:space="preserve">
SISTEMA FILTRACION PLANTA 14,200,000
mat cons 3150000
Archivadores $8,028,812
</t>
        </r>
      </text>
    </comment>
    <comment ref="F22" authorId="2" shapeId="0" xr:uid="{5E8DE6C2-9454-4DE2-904C-654300B8FF42}">
      <text>
        <r>
          <rPr>
            <b/>
            <sz val="9"/>
            <color indexed="81"/>
            <rFont val="Tahoma"/>
            <family val="2"/>
          </rPr>
          <t>NAC2:</t>
        </r>
        <r>
          <rPr>
            <sz val="9"/>
            <color indexed="81"/>
            <rFont val="Tahoma"/>
            <family val="2"/>
          </rPr>
          <t xml:space="preserve">
Chancha Futbol</t>
        </r>
      </text>
    </comment>
    <comment ref="D23" authorId="1" shapeId="0" xr:uid="{3A75278B-C68A-4A1D-B9B1-6092EB52750A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PAJARITA $20.000.000
</t>
        </r>
      </text>
    </comment>
    <comment ref="E23" authorId="2" shapeId="0" xr:uid="{F5C63704-9BB7-4E70-B07E-C983332EF2F7}">
      <text>
        <r>
          <rPr>
            <b/>
            <sz val="9"/>
            <color indexed="81"/>
            <rFont val="Tahoma"/>
            <family val="2"/>
          </rPr>
          <t>NAC2:</t>
        </r>
        <r>
          <rPr>
            <sz val="9"/>
            <color indexed="81"/>
            <rFont val="Tahoma"/>
            <family val="2"/>
          </rPr>
          <t xml:space="preserve">
mat const, vidrios ornamentacion
</t>
        </r>
      </text>
    </comment>
    <comment ref="B24" authorId="0" shapeId="0" xr:uid="{820C1199-0090-4B95-A603-A394D39C02D4}">
      <text>
        <r>
          <rPr>
            <b/>
            <sz val="9"/>
            <color indexed="81"/>
            <rFont val="Tahoma"/>
            <family val="2"/>
          </rPr>
          <t>Janus:</t>
        </r>
        <r>
          <rPr>
            <sz val="9"/>
            <color indexed="81"/>
            <rFont val="Tahoma"/>
            <family val="2"/>
          </rPr>
          <t xml:space="preserve">
CASINO Y CAMPAMENTO</t>
        </r>
      </text>
    </comment>
    <comment ref="D24" authorId="1" shapeId="0" xr:uid="{26D14CE0-5F2A-4EDE-A98A-2E1C5D0A3BF2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5" authorId="1" shapeId="0" xr:uid="{7B701FF5-B25D-403B-B063-D92159325226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PAJARITA 20,000,000</t>
        </r>
      </text>
    </comment>
    <comment ref="B27" authorId="0" shapeId="0" xr:uid="{FF22C49C-3237-404B-A0C8-B20A26F35F51}">
      <text>
        <r>
          <rPr>
            <b/>
            <sz val="9"/>
            <color indexed="81"/>
            <rFont val="Tahoma"/>
            <family val="2"/>
          </rPr>
          <t>Janus:</t>
        </r>
        <r>
          <rPr>
            <sz val="9"/>
            <color indexed="81"/>
            <rFont val="Tahoma"/>
            <family val="2"/>
          </rPr>
          <t xml:space="preserve">
ESTA INCLUIDO LOS ANTICIPOS DADOS A JR DE LA LUZ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CONTABILIDAD</author>
  </authors>
  <commentList>
    <comment ref="H27" authorId="0" shapeId="0" xr:uid="{3B0322DA-F990-4877-9CC6-86C2A8B92BBC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esta factura corresponde al periodo del 16 de abril al 15 mayo</t>
        </r>
      </text>
    </comment>
  </commentList>
</comments>
</file>

<file path=xl/sharedStrings.xml><?xml version="1.0" encoding="utf-8"?>
<sst xmlns="http://schemas.openxmlformats.org/spreadsheetml/2006/main" count="1254" uniqueCount="180">
  <si>
    <t>ENERO</t>
  </si>
  <si>
    <t>FEBRERO</t>
  </si>
  <si>
    <t>MARZO</t>
  </si>
  <si>
    <t>ABRIL</t>
  </si>
  <si>
    <t>MAYO</t>
  </si>
  <si>
    <t>JUNIO</t>
  </si>
  <si>
    <t>COSTOS PROYECTO SOCHA</t>
  </si>
  <si>
    <t>JULIO</t>
  </si>
  <si>
    <t>AGOSTO</t>
  </si>
  <si>
    <t>SEPTIEMBRE</t>
  </si>
  <si>
    <t>OCTUBRE</t>
  </si>
  <si>
    <t>NOVIEMBRE</t>
  </si>
  <si>
    <t>DICIEMBRE</t>
  </si>
  <si>
    <t>ENERGIA</t>
  </si>
  <si>
    <t>COMBUSTIBLE</t>
  </si>
  <si>
    <t xml:space="preserve">NOMINA </t>
  </si>
  <si>
    <t>CARGA PRESTACI</t>
  </si>
  <si>
    <t>INSUMOS</t>
  </si>
  <si>
    <t>CALIBRACION</t>
  </si>
  <si>
    <t>DOTACION</t>
  </si>
  <si>
    <t>PAPELERIA</t>
  </si>
  <si>
    <t>PEAJES</t>
  </si>
  <si>
    <t>TRANS PASA</t>
  </si>
  <si>
    <t>VIATICOS</t>
  </si>
  <si>
    <t>RESTAURANTE</t>
  </si>
  <si>
    <t>MANT EQUIPOS</t>
  </si>
  <si>
    <t>TRANS CARBON</t>
  </si>
  <si>
    <t>TELEFONO</t>
  </si>
  <si>
    <t>ELEMEN ASEO</t>
  </si>
  <si>
    <t>TOTAL DEF</t>
  </si>
  <si>
    <t>ITEM</t>
  </si>
  <si>
    <t>TOTAL</t>
  </si>
  <si>
    <t>%</t>
  </si>
  <si>
    <t>COSTO POR TONELADA</t>
  </si>
  <si>
    <t>MADERA</t>
  </si>
  <si>
    <t>ASESORES EXTERNOS</t>
  </si>
  <si>
    <t>LEVANT TOPOGRAFICO</t>
  </si>
  <si>
    <t>VARIOS</t>
  </si>
  <si>
    <t>PUBLICIDAD</t>
  </si>
  <si>
    <t>INTERNET</t>
  </si>
  <si>
    <t>% SERVIDUMBRE</t>
  </si>
  <si>
    <t>CUOTA ACERIAS</t>
  </si>
  <si>
    <t>PROCUCCION</t>
  </si>
  <si>
    <t>FACTURACION</t>
  </si>
  <si>
    <t>ACERIAS</t>
  </si>
  <si>
    <t>No FACTURA</t>
  </si>
  <si>
    <t xml:space="preserve">MAYO </t>
  </si>
  <si>
    <t>TOTALES</t>
  </si>
  <si>
    <t>PRODUCCION</t>
  </si>
  <si>
    <t>CANTIDAD</t>
  </si>
  <si>
    <t>VALOR TONE</t>
  </si>
  <si>
    <t>MINAS RUKU</t>
  </si>
  <si>
    <t>TOTAL FACTURADO</t>
  </si>
  <si>
    <t>No FACT</t>
  </si>
  <si>
    <t>TOTAL TONE</t>
  </si>
  <si>
    <t>DEPRECIACION</t>
  </si>
  <si>
    <t>AUTORENTA</t>
  </si>
  <si>
    <t>GASTOS BANCARIOS</t>
  </si>
  <si>
    <t>PAJARITA</t>
  </si>
  <si>
    <t>ARRIENDO</t>
  </si>
  <si>
    <t>COSTOS MES</t>
  </si>
  <si>
    <t>CONSOLIDADO FACTURACION   QUINCENAL</t>
  </si>
  <si>
    <t>CONSOLIDADO FACTURACION  MENSUAL</t>
  </si>
  <si>
    <t>DESCUENTO CENIZAS</t>
  </si>
  <si>
    <t>SUBTOTAL FACTURADO</t>
  </si>
  <si>
    <t>CONSOLIDADO TONELADAS QUINCENAL</t>
  </si>
  <si>
    <t>CONSOLIDADO TONELADAS MES</t>
  </si>
  <si>
    <t>PRODUCCION MES</t>
  </si>
  <si>
    <t>MES</t>
  </si>
  <si>
    <t xml:space="preserve">PRODUCCION </t>
  </si>
  <si>
    <t>SALDO A FAVOR DE ANDRES</t>
  </si>
  <si>
    <t xml:space="preserve">FACTURA </t>
  </si>
  <si>
    <t>DESCRIPCION</t>
  </si>
  <si>
    <t>TONELADAS</t>
  </si>
  <si>
    <t>V/R TONELADAS</t>
  </si>
  <si>
    <t>VALOR TOTAL</t>
  </si>
  <si>
    <t>RTF 2,5%</t>
  </si>
  <si>
    <t>RETEIVA 15%</t>
  </si>
  <si>
    <t>RETEICA PALMIRA</t>
  </si>
  <si>
    <t>RETEICA IBAGUE</t>
  </si>
  <si>
    <t>SOBRETASA BOMBERIL</t>
  </si>
  <si>
    <t>VALOR A PAGAR</t>
  </si>
  <si>
    <t>FECHA DE PAGO</t>
  </si>
  <si>
    <t>V/R CONSIG</t>
  </si>
  <si>
    <t>SALDO A FAVOR DE COEXCCOL</t>
  </si>
  <si>
    <t>DESCUENTOS</t>
  </si>
  <si>
    <t>VALOR A PAGAR DEF</t>
  </si>
  <si>
    <t>1RA ENERO</t>
  </si>
  <si>
    <t>2DA ENERO</t>
  </si>
  <si>
    <t>1RA FEBRERO</t>
  </si>
  <si>
    <t>1RA MARZO</t>
  </si>
  <si>
    <t>1RA ABRIL</t>
  </si>
  <si>
    <t xml:space="preserve">1RA MAYO </t>
  </si>
  <si>
    <t xml:space="preserve">2DA MAYO </t>
  </si>
  <si>
    <t>1RA JUNIO</t>
  </si>
  <si>
    <t>2DA JUNIO</t>
  </si>
  <si>
    <t>1RA JULIO</t>
  </si>
  <si>
    <t>2DA JULIO</t>
  </si>
  <si>
    <t>1RA AGOSTO</t>
  </si>
  <si>
    <t>2DA AGOSTO</t>
  </si>
  <si>
    <t>1RA SEPTIEM</t>
  </si>
  <si>
    <t>2DA SEPTIEM</t>
  </si>
  <si>
    <t>1RA OCTUBRE</t>
  </si>
  <si>
    <t>1RA NOVIEM</t>
  </si>
  <si>
    <t>1RA DICIEM</t>
  </si>
  <si>
    <t>2DA DICIEM</t>
  </si>
  <si>
    <t>BANCOLOMBIA</t>
  </si>
  <si>
    <t>CONTROL DE FACTURAS RADICADAS 2023</t>
  </si>
  <si>
    <t>COSTOS CONSOLIDADOS</t>
  </si>
  <si>
    <t>FACTURACION CONSOLIDADA</t>
  </si>
  <si>
    <t>FV 213/214</t>
  </si>
  <si>
    <t>EXAMENES ING Y RETIRO</t>
  </si>
  <si>
    <t>APORTES FEDERACION</t>
  </si>
  <si>
    <t>CF</t>
  </si>
  <si>
    <t>CV</t>
  </si>
  <si>
    <t>CVU</t>
  </si>
  <si>
    <t>PE = CF / (P-CVU)</t>
  </si>
  <si>
    <t>PE</t>
  </si>
  <si>
    <t>POLIZA</t>
  </si>
  <si>
    <t>PRECIO VTA</t>
  </si>
  <si>
    <t>INGRESOS TOTALES</t>
  </si>
  <si>
    <t>FECHA RADICADO</t>
  </si>
  <si>
    <t>PAGO REGALIAS</t>
  </si>
  <si>
    <t>NOMINA</t>
  </si>
  <si>
    <t>CARGA PRESTACIONAL</t>
  </si>
  <si>
    <t>MANO DE OBRA</t>
  </si>
  <si>
    <t>ENERGIA ELECTRICA</t>
  </si>
  <si>
    <t>MANTENIMIENTO EQUIPOS</t>
  </si>
  <si>
    <t>REGALIAS</t>
  </si>
  <si>
    <t>combustible</t>
  </si>
  <si>
    <t>SERVIDUMBRE</t>
  </si>
  <si>
    <t>GTOS BANCARIOS</t>
  </si>
  <si>
    <t>TRANSPORTE CARBON</t>
  </si>
  <si>
    <t>EXAMENES INGRESO</t>
  </si>
  <si>
    <t>TRANSPORTE PASAJEROS</t>
  </si>
  <si>
    <t>TOTAL VARIOS</t>
  </si>
  <si>
    <t>PRODUCCION 2026</t>
  </si>
  <si>
    <t>CONTROL DE FACTURAS RADICADAS 2026</t>
  </si>
  <si>
    <t>SALDO A FAVOR DE COEXCCOL 2.026</t>
  </si>
  <si>
    <t>PENDIENTE DICIEMBRE</t>
  </si>
  <si>
    <t>SUMINISTRO ENERO</t>
  </si>
  <si>
    <t>FV 242</t>
  </si>
  <si>
    <t>SUMINISTRO DEL 14 al 19 enero 2026</t>
  </si>
  <si>
    <t>FV 245</t>
  </si>
  <si>
    <t>SUMINISTRO DEL 28 AL 31 ENERO</t>
  </si>
  <si>
    <t>SUMINISTRO FEBRERO</t>
  </si>
  <si>
    <t>SUMINISTRO MARZO</t>
  </si>
  <si>
    <t>FV 246</t>
  </si>
  <si>
    <t>SUMINISTRO DEL 01 al 09 febrero</t>
  </si>
  <si>
    <t>SUMINISTRO DEL 25 AL 02 MARZO</t>
  </si>
  <si>
    <t>cruce</t>
  </si>
  <si>
    <t>MES CRUCE</t>
  </si>
  <si>
    <t>FV 244</t>
  </si>
  <si>
    <t>SUMINISTRO DEL 20 AL 27 ENERO</t>
  </si>
  <si>
    <t>febrero</t>
  </si>
  <si>
    <t>FV 249</t>
  </si>
  <si>
    <t>SUMINISTRO DEL 03 AL 09 MARZO</t>
  </si>
  <si>
    <t>CRUCE DE MARZO Y ABRIL</t>
  </si>
  <si>
    <t>FV 250</t>
  </si>
  <si>
    <t>SUMINISTRO DEL 10 AL 17 MARZO</t>
  </si>
  <si>
    <t>CRUCE COMPLETO</t>
  </si>
  <si>
    <t>FV 251</t>
  </si>
  <si>
    <t>SUMINISTRO DEL 18 AL 24 MARZO</t>
  </si>
  <si>
    <t>SUMINISTRO ABRIL</t>
  </si>
  <si>
    <t>FV 248</t>
  </si>
  <si>
    <t>FV 254</t>
  </si>
  <si>
    <t>SUMINISTRO DEL 21 AL 28 ABRIL</t>
  </si>
  <si>
    <t>FV 255</t>
  </si>
  <si>
    <t>SUMINISTRO DEL 29ABRIL AL 04 MAYO</t>
  </si>
  <si>
    <t>BOGOTA</t>
  </si>
  <si>
    <t>SUMINISTRO MAYO</t>
  </si>
  <si>
    <t>SUMINISTRO 1RA JUNIO</t>
  </si>
  <si>
    <t>FV 256</t>
  </si>
  <si>
    <t>SUMINISTRO DEL 02 AL 12 MAYO</t>
  </si>
  <si>
    <t>FV 257</t>
  </si>
  <si>
    <t>SUMINISTRO DEL 13 AL 19 MAYO</t>
  </si>
  <si>
    <t>FV 258</t>
  </si>
  <si>
    <t>SUMINSTRO DEL 20 AL 25 MAYO</t>
  </si>
  <si>
    <t>FV 260</t>
  </si>
  <si>
    <t>SUMINSTRO DEL 26 MAYO AL 02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</si>
</sst>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\ #,##0.00;[Red]\-&quot;$&quot;\ #,##0.00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_-;\-* #,##0.00_-;_-* &quot;-&quot;_-;_-@_-"/>
    <numFmt numFmtId="165" formatCode="_-* #,##0_-;\-* #,##0_-;_-* &quot;-&quot;??_-;_-@_-"/>
    <numFmt numFmtId="166" formatCode="[$$-240A]\ #,##0;\-[$$-240A]\ #,##0"/>
    <numFmt numFmtId="167" formatCode="##,##0_);[Red]\(##,##0\)"/>
    <numFmt numFmtId="168" formatCode="&quot;$&quot;\ #,##0"/>
    <numFmt numFmtId="169" formatCode="_(* #,##0.00_);_(* \(#,##0.00\);_(* &quot;-&quot;??_);_(@_)"/>
    <numFmt numFmtId="170" formatCode="_-* #,##0.00\ _€_-;\-* #,##0.00\ _€_-;_-* &quot;-&quot;??\ _€_-;_-@_-"/>
    <numFmt numFmtId="171" formatCode="_(* #,##0_);_(* \(#,##0\);_(* &quot;-&quot;??_);_(@_)"/>
    <numFmt numFmtId="172" formatCode="_-&quot;$&quot;\ * #,##0_-;\-&quot;$&quot;\ * #,##0_-;_-&quot;$&quot;\ 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1">
    <xf numFmtId="0" fontId="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6" applyNumberFormat="0" applyAlignment="0" applyProtection="0"/>
    <xf numFmtId="0" fontId="13" fillId="6" borderId="7" applyNumberFormat="0" applyAlignment="0" applyProtection="0"/>
    <xf numFmtId="0" fontId="14" fillId="6" borderId="6" applyNumberFormat="0" applyAlignment="0" applyProtection="0"/>
    <xf numFmtId="0" fontId="15" fillId="0" borderId="8" applyNumberFormat="0" applyFill="0" applyAlignment="0" applyProtection="0"/>
    <xf numFmtId="0" fontId="16" fillId="7" borderId="9" applyNumberFormat="0" applyAlignment="0" applyProtection="0"/>
    <xf numFmtId="0" fontId="17" fillId="0" borderId="0" applyNumberFormat="0" applyFill="0" applyBorder="0" applyAlignment="0" applyProtection="0"/>
    <xf numFmtId="0" fontId="1" fillId="8" borderId="10" applyNumberFormat="0" applyFont="0" applyAlignment="0" applyProtection="0"/>
    <xf numFmtId="0" fontId="18" fillId="0" borderId="0" applyNumberFormat="0" applyFill="0" applyBorder="0" applyAlignment="0" applyProtection="0"/>
    <xf numFmtId="0" fontId="4" fillId="0" borderId="11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2" borderId="0" applyNumberFormat="0" applyBorder="0" applyAlignment="0" applyProtection="0"/>
    <xf numFmtId="0" fontId="1" fillId="0" borderId="0"/>
    <xf numFmtId="0" fontId="22" fillId="0" borderId="0"/>
    <xf numFmtId="41" fontId="1" fillId="0" borderId="0" applyFont="0" applyFill="0" applyBorder="0" applyAlignment="0" applyProtection="0"/>
    <xf numFmtId="169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13">
    <xf numFmtId="0" fontId="0" fillId="0" borderId="0" xfId="0"/>
    <xf numFmtId="41" fontId="0" fillId="0" borderId="0" xfId="1" applyFont="1"/>
    <xf numFmtId="0" fontId="0" fillId="0" borderId="1" xfId="0" applyBorder="1"/>
    <xf numFmtId="165" fontId="0" fillId="0" borderId="0" xfId="2" applyNumberFormat="1" applyFont="1" applyBorder="1"/>
    <xf numFmtId="9" fontId="0" fillId="0" borderId="0" xfId="3" applyFont="1"/>
    <xf numFmtId="0" fontId="4" fillId="0" borderId="1" xfId="0" applyFont="1" applyBorder="1"/>
    <xf numFmtId="41" fontId="0" fillId="0" borderId="1" xfId="1" applyFont="1" applyBorder="1"/>
    <xf numFmtId="0" fontId="0" fillId="0" borderId="12" xfId="0" applyBorder="1"/>
    <xf numFmtId="166" fontId="4" fillId="0" borderId="1" xfId="1" applyNumberFormat="1" applyFont="1" applyBorder="1"/>
    <xf numFmtId="166" fontId="0" fillId="0" borderId="1" xfId="1" applyNumberFormat="1" applyFont="1" applyBorder="1"/>
    <xf numFmtId="167" fontId="20" fillId="0" borderId="1" xfId="0" applyNumberFormat="1" applyFont="1" applyBorder="1"/>
    <xf numFmtId="0" fontId="4" fillId="0" borderId="14" xfId="0" applyFont="1" applyBorder="1"/>
    <xf numFmtId="0" fontId="0" fillId="0" borderId="13" xfId="0" applyBorder="1"/>
    <xf numFmtId="165" fontId="0" fillId="0" borderId="1" xfId="2" applyNumberFormat="1" applyFont="1" applyBorder="1"/>
    <xf numFmtId="166" fontId="0" fillId="0" borderId="15" xfId="1" applyNumberFormat="1" applyFont="1" applyBorder="1"/>
    <xf numFmtId="165" fontId="0" fillId="0" borderId="15" xfId="2" applyNumberFormat="1" applyFont="1" applyBorder="1"/>
    <xf numFmtId="0" fontId="0" fillId="0" borderId="16" xfId="0" applyBorder="1"/>
    <xf numFmtId="166" fontId="0" fillId="0" borderId="17" xfId="1" applyNumberFormat="1" applyFont="1" applyBorder="1"/>
    <xf numFmtId="0" fontId="0" fillId="0" borderId="0" xfId="0" applyAlignment="1">
      <alignment horizontal="center"/>
    </xf>
    <xf numFmtId="165" fontId="0" fillId="0" borderId="0" xfId="2" applyNumberFormat="1" applyFont="1"/>
    <xf numFmtId="0" fontId="4" fillId="0" borderId="0" xfId="0" applyFont="1"/>
    <xf numFmtId="41" fontId="4" fillId="0" borderId="0" xfId="1" applyFont="1"/>
    <xf numFmtId="164" fontId="4" fillId="0" borderId="0" xfId="1" applyNumberFormat="1" applyFont="1"/>
    <xf numFmtId="9" fontId="0" fillId="0" borderId="1" xfId="3" applyFont="1" applyBorder="1"/>
    <xf numFmtId="164" fontId="0" fillId="0" borderId="0" xfId="0" applyNumberFormat="1"/>
    <xf numFmtId="164" fontId="0" fillId="0" borderId="0" xfId="1" applyNumberFormat="1" applyFont="1"/>
    <xf numFmtId="43" fontId="4" fillId="36" borderId="1" xfId="2" applyFont="1" applyFill="1" applyBorder="1" applyAlignment="1">
      <alignment horizontal="center" vertical="top"/>
    </xf>
    <xf numFmtId="0" fontId="0" fillId="0" borderId="26" xfId="0" applyBorder="1"/>
    <xf numFmtId="0" fontId="0" fillId="0" borderId="27" xfId="0" applyBorder="1"/>
    <xf numFmtId="41" fontId="0" fillId="0" borderId="28" xfId="1" applyFont="1" applyBorder="1"/>
    <xf numFmtId="0" fontId="4" fillId="36" borderId="19" xfId="0" applyFont="1" applyFill="1" applyBorder="1"/>
    <xf numFmtId="164" fontId="0" fillId="36" borderId="20" xfId="1" applyNumberFormat="1" applyFont="1" applyFill="1" applyBorder="1"/>
    <xf numFmtId="0" fontId="4" fillId="0" borderId="16" xfId="0" applyFont="1" applyBorder="1"/>
    <xf numFmtId="0" fontId="4" fillId="35" borderId="21" xfId="0" applyFont="1" applyFill="1" applyBorder="1"/>
    <xf numFmtId="0" fontId="4" fillId="34" borderId="21" xfId="0" applyFont="1" applyFill="1" applyBorder="1" applyAlignment="1">
      <alignment wrapText="1"/>
    </xf>
    <xf numFmtId="0" fontId="4" fillId="34" borderId="17" xfId="0" applyFont="1" applyFill="1" applyBorder="1"/>
    <xf numFmtId="41" fontId="4" fillId="34" borderId="18" xfId="1" applyFont="1" applyFill="1" applyBorder="1"/>
    <xf numFmtId="0" fontId="4" fillId="35" borderId="17" xfId="0" applyFont="1" applyFill="1" applyBorder="1"/>
    <xf numFmtId="41" fontId="4" fillId="35" borderId="18" xfId="1" applyFont="1" applyFill="1" applyBorder="1"/>
    <xf numFmtId="0" fontId="4" fillId="36" borderId="21" xfId="0" applyFont="1" applyFill="1" applyBorder="1" applyAlignment="1">
      <alignment wrapText="1"/>
    </xf>
    <xf numFmtId="0" fontId="4" fillId="36" borderId="17" xfId="0" applyFont="1" applyFill="1" applyBorder="1"/>
    <xf numFmtId="41" fontId="4" fillId="36" borderId="18" xfId="1" applyFont="1" applyFill="1" applyBorder="1"/>
    <xf numFmtId="0" fontId="4" fillId="37" borderId="24" xfId="0" applyFont="1" applyFill="1" applyBorder="1"/>
    <xf numFmtId="43" fontId="0" fillId="0" borderId="0" xfId="0" applyNumberFormat="1"/>
    <xf numFmtId="0" fontId="4" fillId="0" borderId="1" xfId="0" applyFont="1" applyBorder="1" applyAlignment="1">
      <alignment wrapText="1"/>
    </xf>
    <xf numFmtId="166" fontId="0" fillId="0" borderId="2" xfId="2" applyNumberFormat="1" applyFont="1" applyBorder="1"/>
    <xf numFmtId="10" fontId="0" fillId="0" borderId="1" xfId="3" applyNumberFormat="1" applyFont="1" applyBorder="1"/>
    <xf numFmtId="166" fontId="0" fillId="0" borderId="1" xfId="2" applyNumberFormat="1" applyFont="1" applyBorder="1"/>
    <xf numFmtId="166" fontId="0" fillId="0" borderId="0" xfId="0" applyNumberFormat="1"/>
    <xf numFmtId="168" fontId="0" fillId="0" borderId="2" xfId="0" applyNumberFormat="1" applyBorder="1"/>
    <xf numFmtId="9" fontId="1" fillId="0" borderId="1" xfId="3" applyFont="1" applyBorder="1"/>
    <xf numFmtId="49" fontId="4" fillId="38" borderId="22" xfId="0" applyNumberFormat="1" applyFont="1" applyFill="1" applyBorder="1"/>
    <xf numFmtId="43" fontId="4" fillId="38" borderId="2" xfId="2" applyFont="1" applyFill="1" applyBorder="1" applyAlignment="1">
      <alignment horizontal="center" vertical="top"/>
    </xf>
    <xf numFmtId="41" fontId="0" fillId="38" borderId="23" xfId="1" applyFont="1" applyFill="1" applyBorder="1"/>
    <xf numFmtId="165" fontId="4" fillId="38" borderId="2" xfId="2" applyNumberFormat="1" applyFont="1" applyFill="1" applyBorder="1" applyAlignment="1">
      <alignment horizontal="center" vertical="top"/>
    </xf>
    <xf numFmtId="0" fontId="4" fillId="38" borderId="22" xfId="0" applyFont="1" applyFill="1" applyBorder="1"/>
    <xf numFmtId="164" fontId="0" fillId="38" borderId="23" xfId="1" applyNumberFormat="1" applyFont="1" applyFill="1" applyBorder="1"/>
    <xf numFmtId="43" fontId="0" fillId="38" borderId="30" xfId="0" applyNumberFormat="1" applyFill="1" applyBorder="1"/>
    <xf numFmtId="49" fontId="4" fillId="38" borderId="19" xfId="0" applyNumberFormat="1" applyFont="1" applyFill="1" applyBorder="1"/>
    <xf numFmtId="43" fontId="4" fillId="38" borderId="1" xfId="2" applyFont="1" applyFill="1" applyBorder="1" applyAlignment="1">
      <alignment horizontal="center" vertical="top"/>
    </xf>
    <xf numFmtId="41" fontId="0" fillId="38" borderId="20" xfId="1" applyFont="1" applyFill="1" applyBorder="1"/>
    <xf numFmtId="165" fontId="4" fillId="38" borderId="1" xfId="2" applyNumberFormat="1" applyFont="1" applyFill="1" applyBorder="1" applyAlignment="1">
      <alignment horizontal="center" vertical="top"/>
    </xf>
    <xf numFmtId="0" fontId="4" fillId="38" borderId="19" xfId="0" applyFont="1" applyFill="1" applyBorder="1"/>
    <xf numFmtId="164" fontId="0" fillId="38" borderId="20" xfId="1" applyNumberFormat="1" applyFont="1" applyFill="1" applyBorder="1"/>
    <xf numFmtId="2" fontId="4" fillId="39" borderId="19" xfId="0" applyNumberFormat="1" applyFont="1" applyFill="1" applyBorder="1"/>
    <xf numFmtId="43" fontId="4" fillId="39" borderId="1" xfId="2" applyFont="1" applyFill="1" applyBorder="1" applyAlignment="1">
      <alignment horizontal="center" vertical="top"/>
    </xf>
    <xf numFmtId="41" fontId="0" fillId="39" borderId="20" xfId="1" applyFont="1" applyFill="1" applyBorder="1"/>
    <xf numFmtId="165" fontId="4" fillId="39" borderId="1" xfId="2" applyNumberFormat="1" applyFont="1" applyFill="1" applyBorder="1" applyAlignment="1">
      <alignment horizontal="center" vertical="top"/>
    </xf>
    <xf numFmtId="0" fontId="4" fillId="39" borderId="19" xfId="0" applyFont="1" applyFill="1" applyBorder="1"/>
    <xf numFmtId="164" fontId="0" fillId="39" borderId="20" xfId="1" applyNumberFormat="1" applyFont="1" applyFill="1" applyBorder="1"/>
    <xf numFmtId="43" fontId="0" fillId="39" borderId="30" xfId="0" applyNumberFormat="1" applyFill="1" applyBorder="1"/>
    <xf numFmtId="2" fontId="4" fillId="36" borderId="19" xfId="0" applyNumberFormat="1" applyFont="1" applyFill="1" applyBorder="1"/>
    <xf numFmtId="41" fontId="0" fillId="36" borderId="20" xfId="1" applyFont="1" applyFill="1" applyBorder="1"/>
    <xf numFmtId="165" fontId="4" fillId="36" borderId="1" xfId="2" applyNumberFormat="1" applyFont="1" applyFill="1" applyBorder="1" applyAlignment="1">
      <alignment horizontal="center" vertical="top"/>
    </xf>
    <xf numFmtId="43" fontId="0" fillId="36" borderId="30" xfId="0" applyNumberFormat="1" applyFill="1" applyBorder="1"/>
    <xf numFmtId="0" fontId="4" fillId="40" borderId="19" xfId="0" applyFont="1" applyFill="1" applyBorder="1"/>
    <xf numFmtId="43" fontId="4" fillId="40" borderId="1" xfId="2" applyFont="1" applyFill="1" applyBorder="1" applyAlignment="1">
      <alignment horizontal="center" vertical="top"/>
    </xf>
    <xf numFmtId="41" fontId="0" fillId="40" borderId="20" xfId="1" applyFont="1" applyFill="1" applyBorder="1"/>
    <xf numFmtId="165" fontId="4" fillId="40" borderId="1" xfId="2" applyNumberFormat="1" applyFont="1" applyFill="1" applyBorder="1" applyAlignment="1">
      <alignment horizontal="center" vertical="top"/>
    </xf>
    <xf numFmtId="164" fontId="0" fillId="40" borderId="20" xfId="1" applyNumberFormat="1" applyFont="1" applyFill="1" applyBorder="1"/>
    <xf numFmtId="43" fontId="0" fillId="40" borderId="30" xfId="0" applyNumberFormat="1" applyFill="1" applyBorder="1"/>
    <xf numFmtId="0" fontId="4" fillId="41" borderId="19" xfId="0" applyFont="1" applyFill="1" applyBorder="1"/>
    <xf numFmtId="43" fontId="4" fillId="41" borderId="1" xfId="2" applyFont="1" applyFill="1" applyBorder="1" applyAlignment="1">
      <alignment horizontal="center" vertical="top"/>
    </xf>
    <xf numFmtId="41" fontId="0" fillId="41" borderId="20" xfId="1" applyFont="1" applyFill="1" applyBorder="1"/>
    <xf numFmtId="165" fontId="4" fillId="41" borderId="1" xfId="2" applyNumberFormat="1" applyFont="1" applyFill="1" applyBorder="1" applyAlignment="1">
      <alignment horizontal="center" vertical="top"/>
    </xf>
    <xf numFmtId="164" fontId="0" fillId="41" borderId="20" xfId="1" applyNumberFormat="1" applyFont="1" applyFill="1" applyBorder="1"/>
    <xf numFmtId="43" fontId="0" fillId="41" borderId="30" xfId="0" applyNumberFormat="1" applyFill="1" applyBorder="1"/>
    <xf numFmtId="49" fontId="4" fillId="42" borderId="19" xfId="0" applyNumberFormat="1" applyFont="1" applyFill="1" applyBorder="1"/>
    <xf numFmtId="43" fontId="4" fillId="42" borderId="1" xfId="2" applyFont="1" applyFill="1" applyBorder="1" applyAlignment="1">
      <alignment horizontal="center" vertical="top"/>
    </xf>
    <xf numFmtId="41" fontId="0" fillId="42" borderId="20" xfId="1" applyFont="1" applyFill="1" applyBorder="1"/>
    <xf numFmtId="165" fontId="4" fillId="42" borderId="1" xfId="2" applyNumberFormat="1" applyFont="1" applyFill="1" applyBorder="1" applyAlignment="1">
      <alignment horizontal="center" vertical="top"/>
    </xf>
    <xf numFmtId="0" fontId="4" fillId="42" borderId="19" xfId="0" applyFont="1" applyFill="1" applyBorder="1"/>
    <xf numFmtId="164" fontId="0" fillId="42" borderId="20" xfId="1" applyNumberFormat="1" applyFont="1" applyFill="1" applyBorder="1"/>
    <xf numFmtId="43" fontId="0" fillId="42" borderId="30" xfId="0" applyNumberFormat="1" applyFill="1" applyBorder="1"/>
    <xf numFmtId="2" fontId="4" fillId="43" borderId="19" xfId="0" applyNumberFormat="1" applyFont="1" applyFill="1" applyBorder="1"/>
    <xf numFmtId="43" fontId="4" fillId="43" borderId="1" xfId="2" applyFont="1" applyFill="1" applyBorder="1" applyAlignment="1">
      <alignment horizontal="center" vertical="top"/>
    </xf>
    <xf numFmtId="41" fontId="0" fillId="43" borderId="20" xfId="1" applyFont="1" applyFill="1" applyBorder="1"/>
    <xf numFmtId="165" fontId="4" fillId="43" borderId="1" xfId="2" applyNumberFormat="1" applyFont="1" applyFill="1" applyBorder="1" applyAlignment="1">
      <alignment horizontal="center" vertical="top"/>
    </xf>
    <xf numFmtId="0" fontId="4" fillId="43" borderId="19" xfId="0" applyFont="1" applyFill="1" applyBorder="1"/>
    <xf numFmtId="164" fontId="0" fillId="43" borderId="20" xfId="1" applyNumberFormat="1" applyFont="1" applyFill="1" applyBorder="1"/>
    <xf numFmtId="43" fontId="0" fillId="43" borderId="30" xfId="0" applyNumberFormat="1" applyFill="1" applyBorder="1"/>
    <xf numFmtId="49" fontId="4" fillId="44" borderId="19" xfId="0" applyNumberFormat="1" applyFont="1" applyFill="1" applyBorder="1"/>
    <xf numFmtId="43" fontId="4" fillId="44" borderId="1" xfId="2" applyFont="1" applyFill="1" applyBorder="1" applyAlignment="1">
      <alignment horizontal="center" vertical="top"/>
    </xf>
    <xf numFmtId="41" fontId="0" fillId="44" borderId="20" xfId="1" applyFont="1" applyFill="1" applyBorder="1"/>
    <xf numFmtId="165" fontId="4" fillId="44" borderId="1" xfId="2" applyNumberFormat="1" applyFont="1" applyFill="1" applyBorder="1" applyAlignment="1">
      <alignment horizontal="center" vertical="top"/>
    </xf>
    <xf numFmtId="0" fontId="4" fillId="44" borderId="19" xfId="0" applyFont="1" applyFill="1" applyBorder="1"/>
    <xf numFmtId="164" fontId="0" fillId="44" borderId="20" xfId="1" applyNumberFormat="1" applyFont="1" applyFill="1" applyBorder="1"/>
    <xf numFmtId="43" fontId="0" fillId="44" borderId="30" xfId="0" applyNumberFormat="1" applyFill="1" applyBorder="1"/>
    <xf numFmtId="49" fontId="4" fillId="45" borderId="19" xfId="0" applyNumberFormat="1" applyFont="1" applyFill="1" applyBorder="1"/>
    <xf numFmtId="43" fontId="4" fillId="45" borderId="1" xfId="2" applyFont="1" applyFill="1" applyBorder="1" applyAlignment="1">
      <alignment horizontal="center" vertical="top"/>
    </xf>
    <xf numFmtId="41" fontId="0" fillId="45" borderId="20" xfId="1" applyFont="1" applyFill="1" applyBorder="1"/>
    <xf numFmtId="165" fontId="4" fillId="45" borderId="1" xfId="2" applyNumberFormat="1" applyFont="1" applyFill="1" applyBorder="1" applyAlignment="1">
      <alignment horizontal="center" vertical="top"/>
    </xf>
    <xf numFmtId="0" fontId="4" fillId="45" borderId="19" xfId="0" applyFont="1" applyFill="1" applyBorder="1"/>
    <xf numFmtId="164" fontId="0" fillId="45" borderId="20" xfId="1" applyNumberFormat="1" applyFont="1" applyFill="1" applyBorder="1"/>
    <xf numFmtId="43" fontId="0" fillId="45" borderId="30" xfId="0" applyNumberFormat="1" applyFill="1" applyBorder="1"/>
    <xf numFmtId="0" fontId="4" fillId="46" borderId="19" xfId="0" applyFont="1" applyFill="1" applyBorder="1"/>
    <xf numFmtId="43" fontId="4" fillId="46" borderId="1" xfId="2" applyFont="1" applyFill="1" applyBorder="1" applyAlignment="1">
      <alignment horizontal="center" vertical="top"/>
    </xf>
    <xf numFmtId="41" fontId="0" fillId="46" borderId="20" xfId="1" applyFont="1" applyFill="1" applyBorder="1"/>
    <xf numFmtId="49" fontId="4" fillId="46" borderId="19" xfId="0" applyNumberFormat="1" applyFont="1" applyFill="1" applyBorder="1"/>
    <xf numFmtId="165" fontId="4" fillId="46" borderId="1" xfId="2" applyNumberFormat="1" applyFont="1" applyFill="1" applyBorder="1" applyAlignment="1">
      <alignment horizontal="center" vertical="top"/>
    </xf>
    <xf numFmtId="164" fontId="0" fillId="46" borderId="20" xfId="1" applyNumberFormat="1" applyFont="1" applyFill="1" applyBorder="1"/>
    <xf numFmtId="43" fontId="0" fillId="46" borderId="30" xfId="0" applyNumberFormat="1" applyFill="1" applyBorder="1"/>
    <xf numFmtId="0" fontId="4" fillId="47" borderId="19" xfId="0" applyFont="1" applyFill="1" applyBorder="1"/>
    <xf numFmtId="43" fontId="4" fillId="47" borderId="1" xfId="2" applyFont="1" applyFill="1" applyBorder="1" applyAlignment="1">
      <alignment horizontal="center" vertical="top"/>
    </xf>
    <xf numFmtId="41" fontId="0" fillId="47" borderId="20" xfId="1" applyFont="1" applyFill="1" applyBorder="1"/>
    <xf numFmtId="165" fontId="4" fillId="47" borderId="1" xfId="2" applyNumberFormat="1" applyFont="1" applyFill="1" applyBorder="1" applyAlignment="1">
      <alignment horizontal="center" vertical="top"/>
    </xf>
    <xf numFmtId="164" fontId="0" fillId="47" borderId="20" xfId="1" applyNumberFormat="1" applyFont="1" applyFill="1" applyBorder="1"/>
    <xf numFmtId="43" fontId="0" fillId="47" borderId="30" xfId="0" applyNumberFormat="1" applyFill="1" applyBorder="1"/>
    <xf numFmtId="0" fontId="4" fillId="37" borderId="31" xfId="0" applyFont="1" applyFill="1" applyBorder="1" applyAlignment="1">
      <alignment horizontal="center"/>
    </xf>
    <xf numFmtId="0" fontId="4" fillId="40" borderId="33" xfId="0" applyFont="1" applyFill="1" applyBorder="1" applyAlignment="1">
      <alignment horizontal="center"/>
    </xf>
    <xf numFmtId="43" fontId="0" fillId="38" borderId="38" xfId="0" applyNumberFormat="1" applyFill="1" applyBorder="1"/>
    <xf numFmtId="43" fontId="0" fillId="39" borderId="38" xfId="0" applyNumberFormat="1" applyFill="1" applyBorder="1"/>
    <xf numFmtId="43" fontId="0" fillId="36" borderId="38" xfId="0" applyNumberFormat="1" applyFill="1" applyBorder="1"/>
    <xf numFmtId="43" fontId="0" fillId="40" borderId="38" xfId="0" applyNumberFormat="1" applyFill="1" applyBorder="1"/>
    <xf numFmtId="43" fontId="0" fillId="41" borderId="38" xfId="0" applyNumberFormat="1" applyFill="1" applyBorder="1"/>
    <xf numFmtId="43" fontId="0" fillId="42" borderId="38" xfId="0" applyNumberFormat="1" applyFill="1" applyBorder="1"/>
    <xf numFmtId="43" fontId="0" fillId="43" borderId="38" xfId="0" applyNumberFormat="1" applyFill="1" applyBorder="1"/>
    <xf numFmtId="43" fontId="0" fillId="44" borderId="38" xfId="0" applyNumberFormat="1" applyFill="1" applyBorder="1"/>
    <xf numFmtId="43" fontId="0" fillId="45" borderId="38" xfId="0" applyNumberFormat="1" applyFill="1" applyBorder="1"/>
    <xf numFmtId="43" fontId="0" fillId="46" borderId="38" xfId="0" applyNumberFormat="1" applyFill="1" applyBorder="1"/>
    <xf numFmtId="43" fontId="0" fillId="47" borderId="38" xfId="0" applyNumberFormat="1" applyFill="1" applyBorder="1"/>
    <xf numFmtId="0" fontId="0" fillId="38" borderId="39" xfId="0" applyFill="1" applyBorder="1"/>
    <xf numFmtId="43" fontId="0" fillId="38" borderId="19" xfId="0" applyNumberFormat="1" applyFill="1" applyBorder="1"/>
    <xf numFmtId="0" fontId="0" fillId="39" borderId="19" xfId="0" applyFill="1" applyBorder="1"/>
    <xf numFmtId="43" fontId="0" fillId="39" borderId="19" xfId="0" applyNumberFormat="1" applyFill="1" applyBorder="1"/>
    <xf numFmtId="0" fontId="0" fillId="36" borderId="19" xfId="0" applyFill="1" applyBorder="1"/>
    <xf numFmtId="43" fontId="0" fillId="36" borderId="19" xfId="0" applyNumberFormat="1" applyFill="1" applyBorder="1"/>
    <xf numFmtId="43" fontId="0" fillId="40" borderId="19" xfId="0" applyNumberFormat="1" applyFill="1" applyBorder="1"/>
    <xf numFmtId="43" fontId="0" fillId="41" borderId="19" xfId="0" applyNumberFormat="1" applyFill="1" applyBorder="1"/>
    <xf numFmtId="0" fontId="0" fillId="42" borderId="19" xfId="0" applyFill="1" applyBorder="1"/>
    <xf numFmtId="43" fontId="0" fillId="42" borderId="19" xfId="0" applyNumberFormat="1" applyFill="1" applyBorder="1"/>
    <xf numFmtId="0" fontId="0" fillId="43" borderId="19" xfId="0" applyFill="1" applyBorder="1"/>
    <xf numFmtId="43" fontId="0" fillId="43" borderId="19" xfId="0" applyNumberFormat="1" applyFill="1" applyBorder="1"/>
    <xf numFmtId="0" fontId="0" fillId="44" borderId="19" xfId="0" applyFill="1" applyBorder="1"/>
    <xf numFmtId="43" fontId="0" fillId="44" borderId="19" xfId="0" applyNumberFormat="1" applyFill="1" applyBorder="1"/>
    <xf numFmtId="0" fontId="0" fillId="45" borderId="19" xfId="0" applyFill="1" applyBorder="1"/>
    <xf numFmtId="43" fontId="0" fillId="45" borderId="19" xfId="0" applyNumberFormat="1" applyFill="1" applyBorder="1"/>
    <xf numFmtId="0" fontId="0" fillId="46" borderId="19" xfId="0" applyFill="1" applyBorder="1"/>
    <xf numFmtId="43" fontId="0" fillId="46" borderId="19" xfId="0" applyNumberFormat="1" applyFill="1" applyBorder="1"/>
    <xf numFmtId="0" fontId="4" fillId="40" borderId="20" xfId="0" applyFont="1" applyFill="1" applyBorder="1" applyAlignment="1">
      <alignment horizontal="center"/>
    </xf>
    <xf numFmtId="0" fontId="4" fillId="41" borderId="19" xfId="0" applyFont="1" applyFill="1" applyBorder="1" applyAlignment="1">
      <alignment wrapText="1"/>
    </xf>
    <xf numFmtId="0" fontId="4" fillId="35" borderId="0" xfId="0" applyFont="1" applyFill="1" applyAlignment="1">
      <alignment horizontal="center"/>
    </xf>
    <xf numFmtId="0" fontId="4" fillId="47" borderId="32" xfId="0" applyFont="1" applyFill="1" applyBorder="1"/>
    <xf numFmtId="43" fontId="4" fillId="47" borderId="15" xfId="2" applyFont="1" applyFill="1" applyBorder="1" applyAlignment="1">
      <alignment horizontal="center" vertical="top"/>
    </xf>
    <xf numFmtId="165" fontId="4" fillId="47" borderId="15" xfId="2" applyNumberFormat="1" applyFont="1" applyFill="1" applyBorder="1" applyAlignment="1">
      <alignment horizontal="center" vertical="top"/>
    </xf>
    <xf numFmtId="164" fontId="0" fillId="47" borderId="33" xfId="1" applyNumberFormat="1" applyFont="1" applyFill="1" applyBorder="1"/>
    <xf numFmtId="41" fontId="0" fillId="0" borderId="0" xfId="1" applyFont="1" applyBorder="1"/>
    <xf numFmtId="41" fontId="0" fillId="38" borderId="42" xfId="1" applyFont="1" applyFill="1" applyBorder="1"/>
    <xf numFmtId="41" fontId="0" fillId="39" borderId="43" xfId="1" applyFont="1" applyFill="1" applyBorder="1"/>
    <xf numFmtId="41" fontId="0" fillId="36" borderId="43" xfId="1" applyFont="1" applyFill="1" applyBorder="1"/>
    <xf numFmtId="41" fontId="0" fillId="40" borderId="43" xfId="1" applyFont="1" applyFill="1" applyBorder="1"/>
    <xf numFmtId="41" fontId="0" fillId="41" borderId="43" xfId="1" applyFont="1" applyFill="1" applyBorder="1"/>
    <xf numFmtId="41" fontId="0" fillId="42" borderId="43" xfId="1" applyFont="1" applyFill="1" applyBorder="1"/>
    <xf numFmtId="41" fontId="0" fillId="43" borderId="43" xfId="1" applyFont="1" applyFill="1" applyBorder="1"/>
    <xf numFmtId="41" fontId="0" fillId="44" borderId="43" xfId="1" applyFont="1" applyFill="1" applyBorder="1"/>
    <xf numFmtId="41" fontId="0" fillId="45" borderId="43" xfId="1" applyFont="1" applyFill="1" applyBorder="1"/>
    <xf numFmtId="41" fontId="0" fillId="46" borderId="43" xfId="1" applyFont="1" applyFill="1" applyBorder="1"/>
    <xf numFmtId="41" fontId="0" fillId="47" borderId="43" xfId="1" applyFont="1" applyFill="1" applyBorder="1"/>
    <xf numFmtId="41" fontId="0" fillId="47" borderId="44" xfId="1" applyFont="1" applyFill="1" applyBorder="1"/>
    <xf numFmtId="41" fontId="4" fillId="35" borderId="41" xfId="1" applyFont="1" applyFill="1" applyBorder="1" applyAlignment="1">
      <alignment wrapText="1"/>
    </xf>
    <xf numFmtId="41" fontId="4" fillId="35" borderId="18" xfId="1" applyFont="1" applyFill="1" applyBorder="1" applyAlignment="1">
      <alignment wrapText="1"/>
    </xf>
    <xf numFmtId="165" fontId="4" fillId="0" borderId="0" xfId="2" applyNumberFormat="1" applyFont="1"/>
    <xf numFmtId="165" fontId="4" fillId="34" borderId="17" xfId="2" applyNumberFormat="1" applyFont="1" applyFill="1" applyBorder="1"/>
    <xf numFmtId="0" fontId="4" fillId="37" borderId="0" xfId="0" applyFont="1" applyFill="1" applyAlignment="1">
      <alignment horizontal="center"/>
    </xf>
    <xf numFmtId="165" fontId="4" fillId="33" borderId="45" xfId="2" applyNumberFormat="1" applyFont="1" applyFill="1" applyBorder="1"/>
    <xf numFmtId="0" fontId="4" fillId="37" borderId="1" xfId="0" applyFont="1" applyFill="1" applyBorder="1"/>
    <xf numFmtId="43" fontId="4" fillId="37" borderId="1" xfId="2" applyFont="1" applyFill="1" applyBorder="1" applyAlignment="1">
      <alignment horizontal="center" vertical="top"/>
    </xf>
    <xf numFmtId="165" fontId="4" fillId="37" borderId="1" xfId="2" applyNumberFormat="1" applyFont="1" applyFill="1" applyBorder="1" applyAlignment="1">
      <alignment horizontal="center" vertical="top"/>
    </xf>
    <xf numFmtId="41" fontId="0" fillId="37" borderId="1" xfId="1" applyFont="1" applyFill="1" applyBorder="1"/>
    <xf numFmtId="164" fontId="0" fillId="37" borderId="1" xfId="1" applyNumberFormat="1" applyFont="1" applyFill="1" applyBorder="1"/>
    <xf numFmtId="43" fontId="0" fillId="37" borderId="1" xfId="0" applyNumberFormat="1" applyFill="1" applyBorder="1"/>
    <xf numFmtId="43" fontId="0" fillId="47" borderId="19" xfId="0" applyNumberFormat="1" applyFill="1" applyBorder="1"/>
    <xf numFmtId="43" fontId="0" fillId="47" borderId="32" xfId="0" applyNumberFormat="1" applyFill="1" applyBorder="1"/>
    <xf numFmtId="0" fontId="4" fillId="37" borderId="36" xfId="0" applyFont="1" applyFill="1" applyBorder="1" applyAlignment="1">
      <alignment horizontal="center" wrapText="1"/>
    </xf>
    <xf numFmtId="0" fontId="4" fillId="48" borderId="36" xfId="0" applyFont="1" applyFill="1" applyBorder="1" applyAlignment="1">
      <alignment horizontal="center" wrapText="1"/>
    </xf>
    <xf numFmtId="0" fontId="4" fillId="48" borderId="24" xfId="0" applyFont="1" applyFill="1" applyBorder="1"/>
    <xf numFmtId="0" fontId="4" fillId="43" borderId="36" xfId="0" applyFont="1" applyFill="1" applyBorder="1"/>
    <xf numFmtId="0" fontId="4" fillId="43" borderId="24" xfId="0" applyFont="1" applyFill="1" applyBorder="1"/>
    <xf numFmtId="0" fontId="4" fillId="35" borderId="36" xfId="0" applyFont="1" applyFill="1" applyBorder="1" applyAlignment="1">
      <alignment horizontal="center" wrapText="1"/>
    </xf>
    <xf numFmtId="0" fontId="4" fillId="35" borderId="24" xfId="0" applyFont="1" applyFill="1" applyBorder="1"/>
    <xf numFmtId="0" fontId="4" fillId="49" borderId="36" xfId="0" applyFont="1" applyFill="1" applyBorder="1" applyAlignment="1">
      <alignment horizontal="center" wrapText="1"/>
    </xf>
    <xf numFmtId="0" fontId="4" fillId="49" borderId="24" xfId="0" applyFont="1" applyFill="1" applyBorder="1" applyAlignment="1">
      <alignment wrapText="1"/>
    </xf>
    <xf numFmtId="165" fontId="0" fillId="0" borderId="0" xfId="0" applyNumberFormat="1"/>
    <xf numFmtId="164" fontId="4" fillId="33" borderId="24" xfId="1" applyNumberFormat="1" applyFont="1" applyFill="1" applyBorder="1"/>
    <xf numFmtId="164" fontId="4" fillId="38" borderId="30" xfId="1" applyNumberFormat="1" applyFont="1" applyFill="1" applyBorder="1"/>
    <xf numFmtId="164" fontId="4" fillId="38" borderId="29" xfId="1" applyNumberFormat="1" applyFont="1" applyFill="1" applyBorder="1"/>
    <xf numFmtId="164" fontId="4" fillId="39" borderId="29" xfId="1" applyNumberFormat="1" applyFont="1" applyFill="1" applyBorder="1"/>
    <xf numFmtId="164" fontId="4" fillId="36" borderId="29" xfId="1" applyNumberFormat="1" applyFont="1" applyFill="1" applyBorder="1"/>
    <xf numFmtId="164" fontId="4" fillId="40" borderId="29" xfId="1" applyNumberFormat="1" applyFont="1" applyFill="1" applyBorder="1"/>
    <xf numFmtId="164" fontId="4" fillId="41" borderId="29" xfId="1" applyNumberFormat="1" applyFont="1" applyFill="1" applyBorder="1"/>
    <xf numFmtId="164" fontId="4" fillId="42" borderId="29" xfId="1" applyNumberFormat="1" applyFont="1" applyFill="1" applyBorder="1"/>
    <xf numFmtId="164" fontId="4" fillId="43" borderId="29" xfId="1" applyNumberFormat="1" applyFont="1" applyFill="1" applyBorder="1"/>
    <xf numFmtId="164" fontId="4" fillId="44" borderId="29" xfId="1" applyNumberFormat="1" applyFont="1" applyFill="1" applyBorder="1"/>
    <xf numFmtId="164" fontId="4" fillId="45" borderId="29" xfId="1" applyNumberFormat="1" applyFont="1" applyFill="1" applyBorder="1"/>
    <xf numFmtId="164" fontId="4" fillId="46" borderId="29" xfId="1" applyNumberFormat="1" applyFont="1" applyFill="1" applyBorder="1"/>
    <xf numFmtId="164" fontId="4" fillId="47" borderId="29" xfId="1" applyNumberFormat="1" applyFont="1" applyFill="1" applyBorder="1"/>
    <xf numFmtId="164" fontId="4" fillId="37" borderId="1" xfId="1" applyNumberFormat="1" applyFont="1" applyFill="1" applyBorder="1"/>
    <xf numFmtId="164" fontId="4" fillId="33" borderId="45" xfId="1" applyNumberFormat="1" applyFont="1" applyFill="1" applyBorder="1"/>
    <xf numFmtId="43" fontId="4" fillId="33" borderId="45" xfId="2" applyFont="1" applyFill="1" applyBorder="1"/>
    <xf numFmtId="0" fontId="22" fillId="0" borderId="0" xfId="46"/>
    <xf numFmtId="0" fontId="23" fillId="0" borderId="24" xfId="46" applyFont="1" applyBorder="1" applyAlignment="1">
      <alignment horizontal="center"/>
    </xf>
    <xf numFmtId="0" fontId="22" fillId="0" borderId="22" xfId="46" applyBorder="1"/>
    <xf numFmtId="2" fontId="22" fillId="0" borderId="23" xfId="46" applyNumberFormat="1" applyBorder="1"/>
    <xf numFmtId="0" fontId="22" fillId="0" borderId="19" xfId="46" applyBorder="1"/>
    <xf numFmtId="0" fontId="22" fillId="0" borderId="32" xfId="46" applyBorder="1"/>
    <xf numFmtId="0" fontId="24" fillId="0" borderId="21" xfId="46" applyFont="1" applyBorder="1"/>
    <xf numFmtId="0" fontId="24" fillId="0" borderId="18" xfId="46" applyFont="1" applyBorder="1"/>
    <xf numFmtId="0" fontId="1" fillId="0" borderId="0" xfId="45"/>
    <xf numFmtId="41" fontId="25" fillId="0" borderId="0" xfId="47" applyFont="1"/>
    <xf numFmtId="169" fontId="1" fillId="0" borderId="0" xfId="48" applyFont="1"/>
    <xf numFmtId="41" fontId="1" fillId="0" borderId="0" xfId="49" applyFont="1" applyBorder="1"/>
    <xf numFmtId="41" fontId="25" fillId="0" borderId="0" xfId="47" applyFont="1" applyFill="1"/>
    <xf numFmtId="41" fontId="1" fillId="0" borderId="0" xfId="45" applyNumberFormat="1"/>
    <xf numFmtId="41" fontId="25" fillId="0" borderId="0" xfId="47" applyFont="1" applyAlignment="1"/>
    <xf numFmtId="41" fontId="25" fillId="50" borderId="0" xfId="47" applyFont="1" applyFill="1" applyAlignment="1"/>
    <xf numFmtId="41" fontId="25" fillId="50" borderId="0" xfId="47" applyFont="1" applyFill="1"/>
    <xf numFmtId="41" fontId="1" fillId="50" borderId="0" xfId="49" applyFont="1" applyFill="1" applyBorder="1"/>
    <xf numFmtId="49" fontId="4" fillId="0" borderId="1" xfId="45" applyNumberFormat="1" applyFont="1" applyBorder="1"/>
    <xf numFmtId="0" fontId="4" fillId="0" borderId="1" xfId="45" applyFont="1" applyBorder="1"/>
    <xf numFmtId="0" fontId="4" fillId="0" borderId="1" xfId="45" applyFont="1" applyBorder="1" applyAlignment="1">
      <alignment wrapText="1"/>
    </xf>
    <xf numFmtId="41" fontId="4" fillId="0" borderId="1" xfId="47" applyFont="1" applyBorder="1" applyAlignment="1">
      <alignment wrapText="1"/>
    </xf>
    <xf numFmtId="0" fontId="1" fillId="0" borderId="1" xfId="45" applyBorder="1"/>
    <xf numFmtId="41" fontId="4" fillId="0" borderId="1" xfId="47" applyFont="1" applyFill="1" applyBorder="1" applyAlignment="1">
      <alignment wrapText="1"/>
    </xf>
    <xf numFmtId="49" fontId="1" fillId="0" borderId="1" xfId="45" applyNumberFormat="1" applyBorder="1" applyAlignment="1">
      <alignment wrapText="1"/>
    </xf>
    <xf numFmtId="14" fontId="1" fillId="0" borderId="1" xfId="45" applyNumberFormat="1" applyBorder="1"/>
    <xf numFmtId="2" fontId="1" fillId="0" borderId="1" xfId="45" applyNumberFormat="1" applyBorder="1"/>
    <xf numFmtId="41" fontId="25" fillId="0" borderId="1" xfId="47" applyFont="1" applyFill="1" applyBorder="1"/>
    <xf numFmtId="169" fontId="1" fillId="0" borderId="0" xfId="48" applyFont="1" applyFill="1"/>
    <xf numFmtId="41" fontId="1" fillId="0" borderId="1" xfId="49" applyFont="1" applyBorder="1"/>
    <xf numFmtId="49" fontId="1" fillId="0" borderId="0" xfId="45" applyNumberFormat="1"/>
    <xf numFmtId="41" fontId="25" fillId="0" borderId="1" xfId="47" applyFont="1" applyBorder="1"/>
    <xf numFmtId="2" fontId="1" fillId="0" borderId="0" xfId="45" applyNumberFormat="1"/>
    <xf numFmtId="41" fontId="1" fillId="0" borderId="0" xfId="49" applyFont="1"/>
    <xf numFmtId="41" fontId="25" fillId="0" borderId="0" xfId="49" applyFont="1" applyFill="1"/>
    <xf numFmtId="41" fontId="25" fillId="0" borderId="0" xfId="49" applyFont="1" applyAlignment="1"/>
    <xf numFmtId="41" fontId="25" fillId="0" borderId="0" xfId="49" applyFont="1"/>
    <xf numFmtId="41" fontId="25" fillId="50" borderId="0" xfId="49" applyFont="1" applyFill="1" applyAlignment="1"/>
    <xf numFmtId="41" fontId="4" fillId="0" borderId="1" xfId="49" applyFont="1" applyBorder="1" applyAlignment="1">
      <alignment wrapText="1"/>
    </xf>
    <xf numFmtId="41" fontId="25" fillId="0" borderId="1" xfId="49" applyFont="1" applyFill="1" applyBorder="1"/>
    <xf numFmtId="0" fontId="0" fillId="0" borderId="25" xfId="0" applyBorder="1"/>
    <xf numFmtId="0" fontId="4" fillId="34" borderId="39" xfId="0" applyFont="1" applyFill="1" applyBorder="1" applyAlignment="1">
      <alignment horizontal="center"/>
    </xf>
    <xf numFmtId="0" fontId="4" fillId="35" borderId="40" xfId="0" applyFont="1" applyFill="1" applyBorder="1" applyAlignment="1">
      <alignment horizontal="center"/>
    </xf>
    <xf numFmtId="165" fontId="4" fillId="34" borderId="47" xfId="2" applyNumberFormat="1" applyFont="1" applyFill="1" applyBorder="1"/>
    <xf numFmtId="0" fontId="4" fillId="35" borderId="48" xfId="0" applyFont="1" applyFill="1" applyBorder="1"/>
    <xf numFmtId="0" fontId="4" fillId="38" borderId="37" xfId="0" applyFont="1" applyFill="1" applyBorder="1"/>
    <xf numFmtId="0" fontId="4" fillId="39" borderId="33" xfId="0" applyFont="1" applyFill="1" applyBorder="1"/>
    <xf numFmtId="0" fontId="4" fillId="36" borderId="33" xfId="0" applyFont="1" applyFill="1" applyBorder="1"/>
    <xf numFmtId="0" fontId="4" fillId="41" borderId="33" xfId="0" applyFont="1" applyFill="1" applyBorder="1"/>
    <xf numFmtId="0" fontId="4" fillId="42" borderId="33" xfId="0" applyFont="1" applyFill="1" applyBorder="1"/>
    <xf numFmtId="0" fontId="4" fillId="43" borderId="33" xfId="0" applyFont="1" applyFill="1" applyBorder="1"/>
    <xf numFmtId="0" fontId="4" fillId="44" borderId="33" xfId="0" applyFont="1" applyFill="1" applyBorder="1"/>
    <xf numFmtId="0" fontId="4" fillId="45" borderId="33" xfId="0" applyFont="1" applyFill="1" applyBorder="1"/>
    <xf numFmtId="0" fontId="4" fillId="46" borderId="33" xfId="0" applyFont="1" applyFill="1" applyBorder="1"/>
    <xf numFmtId="0" fontId="4" fillId="47" borderId="33" xfId="0" applyFont="1" applyFill="1" applyBorder="1"/>
    <xf numFmtId="0" fontId="4" fillId="37" borderId="15" xfId="0" applyFont="1" applyFill="1" applyBorder="1"/>
    <xf numFmtId="2" fontId="1" fillId="38" borderId="1" xfId="45" applyNumberFormat="1" applyFill="1" applyBorder="1"/>
    <xf numFmtId="166" fontId="0" fillId="0" borderId="0" xfId="1" applyNumberFormat="1" applyFont="1"/>
    <xf numFmtId="165" fontId="4" fillId="36" borderId="50" xfId="2" applyNumberFormat="1" applyFont="1" applyFill="1" applyBorder="1" applyAlignment="1">
      <alignment horizontal="center" vertical="top"/>
    </xf>
    <xf numFmtId="165" fontId="4" fillId="40" borderId="50" xfId="2" applyNumberFormat="1" applyFont="1" applyFill="1" applyBorder="1" applyAlignment="1">
      <alignment horizontal="center" vertical="top"/>
    </xf>
    <xf numFmtId="165" fontId="4" fillId="41" borderId="50" xfId="2" applyNumberFormat="1" applyFont="1" applyFill="1" applyBorder="1" applyAlignment="1">
      <alignment horizontal="center" vertical="top"/>
    </xf>
    <xf numFmtId="165" fontId="4" fillId="42" borderId="50" xfId="2" applyNumberFormat="1" applyFont="1" applyFill="1" applyBorder="1" applyAlignment="1">
      <alignment horizontal="center" vertical="top"/>
    </xf>
    <xf numFmtId="165" fontId="4" fillId="43" borderId="50" xfId="2" applyNumberFormat="1" applyFont="1" applyFill="1" applyBorder="1" applyAlignment="1">
      <alignment horizontal="center" vertical="top"/>
    </xf>
    <xf numFmtId="165" fontId="4" fillId="44" borderId="50" xfId="2" applyNumberFormat="1" applyFont="1" applyFill="1" applyBorder="1" applyAlignment="1">
      <alignment horizontal="center" vertical="top"/>
    </xf>
    <xf numFmtId="165" fontId="4" fillId="45" borderId="50" xfId="2" applyNumberFormat="1" applyFont="1" applyFill="1" applyBorder="1" applyAlignment="1">
      <alignment horizontal="center" vertical="top"/>
    </xf>
    <xf numFmtId="165" fontId="4" fillId="46" borderId="50" xfId="2" applyNumberFormat="1" applyFont="1" applyFill="1" applyBorder="1" applyAlignment="1">
      <alignment horizontal="center" vertical="top"/>
    </xf>
    <xf numFmtId="165" fontId="4" fillId="47" borderId="50" xfId="2" applyNumberFormat="1" applyFont="1" applyFill="1" applyBorder="1" applyAlignment="1">
      <alignment horizontal="center" vertical="top"/>
    </xf>
    <xf numFmtId="165" fontId="4" fillId="37" borderId="50" xfId="2" applyNumberFormat="1" applyFont="1" applyFill="1" applyBorder="1" applyAlignment="1">
      <alignment horizontal="center" vertical="top"/>
    </xf>
    <xf numFmtId="165" fontId="4" fillId="38" borderId="51" xfId="2" applyNumberFormat="1" applyFont="1" applyFill="1" applyBorder="1" applyAlignment="1">
      <alignment horizontal="center" vertical="top"/>
    </xf>
    <xf numFmtId="165" fontId="4" fillId="38" borderId="50" xfId="2" applyNumberFormat="1" applyFont="1" applyFill="1" applyBorder="1" applyAlignment="1">
      <alignment horizontal="center" vertical="top"/>
    </xf>
    <xf numFmtId="165" fontId="4" fillId="39" borderId="50" xfId="2" applyNumberFormat="1" applyFont="1" applyFill="1" applyBorder="1" applyAlignment="1">
      <alignment horizontal="center" vertical="top"/>
    </xf>
    <xf numFmtId="41" fontId="1" fillId="0" borderId="0" xfId="49" applyFont="1" applyFill="1" applyBorder="1"/>
    <xf numFmtId="166" fontId="0" fillId="0" borderId="1" xfId="2" applyNumberFormat="1" applyFont="1" applyFill="1" applyBorder="1"/>
    <xf numFmtId="41" fontId="4" fillId="0" borderId="1" xfId="49" applyFont="1" applyBorder="1"/>
    <xf numFmtId="0" fontId="26" fillId="0" borderId="15" xfId="0" applyFont="1" applyBorder="1" applyAlignment="1">
      <alignment wrapText="1"/>
    </xf>
    <xf numFmtId="0" fontId="27" fillId="0" borderId="0" xfId="45" applyFont="1"/>
    <xf numFmtId="41" fontId="27" fillId="0" borderId="0" xfId="49" applyFont="1" applyBorder="1"/>
    <xf numFmtId="0" fontId="26" fillId="0" borderId="1" xfId="45" applyFont="1" applyBorder="1"/>
    <xf numFmtId="41" fontId="4" fillId="0" borderId="1" xfId="49" applyFont="1" applyFill="1" applyBorder="1" applyAlignment="1">
      <alignment wrapText="1"/>
    </xf>
    <xf numFmtId="14" fontId="27" fillId="0" borderId="1" xfId="45" applyNumberFormat="1" applyFont="1" applyBorder="1"/>
    <xf numFmtId="41" fontId="1" fillId="0" borderId="1" xfId="49" applyFont="1" applyFill="1" applyBorder="1"/>
    <xf numFmtId="165" fontId="4" fillId="0" borderId="1" xfId="2" applyNumberFormat="1" applyFont="1" applyBorder="1" applyAlignment="1">
      <alignment horizontal="center" vertical="center"/>
    </xf>
    <xf numFmtId="166" fontId="0" fillId="0" borderId="20" xfId="0" applyNumberFormat="1" applyBorder="1"/>
    <xf numFmtId="165" fontId="4" fillId="0" borderId="1" xfId="2" applyNumberFormat="1" applyFont="1" applyBorder="1" applyAlignment="1">
      <alignment horizontal="center"/>
    </xf>
    <xf numFmtId="166" fontId="0" fillId="0" borderId="1" xfId="0" applyNumberFormat="1" applyBorder="1"/>
    <xf numFmtId="0" fontId="4" fillId="0" borderId="1" xfId="0" applyFont="1" applyBorder="1" applyAlignment="1">
      <alignment horizontal="center"/>
    </xf>
    <xf numFmtId="166" fontId="0" fillId="0" borderId="35" xfId="0" applyNumberFormat="1" applyBorder="1"/>
    <xf numFmtId="168" fontId="0" fillId="0" borderId="0" xfId="0" applyNumberFormat="1"/>
    <xf numFmtId="0" fontId="4" fillId="0" borderId="0" xfId="0" applyFont="1" applyAlignment="1">
      <alignment horizontal="center"/>
    </xf>
    <xf numFmtId="170" fontId="0" fillId="38" borderId="24" xfId="0" applyNumberFormat="1" applyFill="1" applyBorder="1" applyAlignment="1">
      <alignment horizontal="center"/>
    </xf>
    <xf numFmtId="41" fontId="4" fillId="50" borderId="0" xfId="1" applyFont="1" applyFill="1" applyAlignment="1">
      <alignment horizontal="center" vertical="center"/>
    </xf>
    <xf numFmtId="0" fontId="4" fillId="43" borderId="0" xfId="0" applyFont="1" applyFill="1" applyAlignment="1">
      <alignment horizontal="center" vertical="center"/>
    </xf>
    <xf numFmtId="165" fontId="4" fillId="43" borderId="0" xfId="2" applyNumberFormat="1" applyFont="1" applyFill="1" applyAlignment="1">
      <alignment horizontal="center" vertical="center"/>
    </xf>
    <xf numFmtId="0" fontId="29" fillId="0" borderId="2" xfId="0" applyFont="1" applyBorder="1"/>
    <xf numFmtId="0" fontId="29" fillId="0" borderId="1" xfId="0" applyFont="1" applyBorder="1"/>
    <xf numFmtId="0" fontId="0" fillId="52" borderId="0" xfId="0" applyFill="1"/>
    <xf numFmtId="41" fontId="0" fillId="52" borderId="0" xfId="1" applyFont="1" applyFill="1"/>
    <xf numFmtId="165" fontId="0" fillId="52" borderId="0" xfId="2" applyNumberFormat="1" applyFont="1" applyFill="1"/>
    <xf numFmtId="0" fontId="4" fillId="52" borderId="0" xfId="0" applyFont="1" applyFill="1"/>
    <xf numFmtId="0" fontId="28" fillId="52" borderId="39" xfId="0" applyFont="1" applyFill="1" applyBorder="1"/>
    <xf numFmtId="0" fontId="4" fillId="52" borderId="54" xfId="0" applyFont="1" applyFill="1" applyBorder="1"/>
    <xf numFmtId="0" fontId="4" fillId="52" borderId="54" xfId="0" applyFont="1" applyFill="1" applyBorder="1" applyAlignment="1">
      <alignment wrapText="1"/>
    </xf>
    <xf numFmtId="164" fontId="4" fillId="52" borderId="53" xfId="0" applyNumberFormat="1" applyFont="1" applyFill="1" applyBorder="1" applyAlignment="1">
      <alignment horizontal="center" vertical="center"/>
    </xf>
    <xf numFmtId="0" fontId="4" fillId="52" borderId="17" xfId="0" applyFont="1" applyFill="1" applyBorder="1" applyAlignment="1">
      <alignment horizontal="center" vertical="center"/>
    </xf>
    <xf numFmtId="0" fontId="4" fillId="52" borderId="18" xfId="0" applyFont="1" applyFill="1" applyBorder="1" applyAlignment="1">
      <alignment horizontal="center" vertical="center"/>
    </xf>
    <xf numFmtId="0" fontId="29" fillId="52" borderId="2" xfId="0" applyFont="1" applyFill="1" applyBorder="1"/>
    <xf numFmtId="168" fontId="0" fillId="52" borderId="2" xfId="0" applyNumberFormat="1" applyFill="1" applyBorder="1"/>
    <xf numFmtId="9" fontId="1" fillId="52" borderId="1" xfId="3" applyFont="1" applyFill="1" applyBorder="1"/>
    <xf numFmtId="166" fontId="0" fillId="52" borderId="1" xfId="2" applyNumberFormat="1" applyFont="1" applyFill="1" applyBorder="1"/>
    <xf numFmtId="0" fontId="4" fillId="52" borderId="54" xfId="0" applyFont="1" applyFill="1" applyBorder="1" applyAlignment="1">
      <alignment horizontal="center" vertical="center"/>
    </xf>
    <xf numFmtId="168" fontId="0" fillId="52" borderId="54" xfId="0" applyNumberFormat="1" applyFill="1" applyBorder="1"/>
    <xf numFmtId="0" fontId="0" fillId="52" borderId="40" xfId="0" applyFill="1" applyBorder="1"/>
    <xf numFmtId="0" fontId="29" fillId="52" borderId="1" xfId="0" applyFont="1" applyFill="1" applyBorder="1"/>
    <xf numFmtId="10" fontId="0" fillId="52" borderId="1" xfId="3" applyNumberFormat="1" applyFont="1" applyFill="1" applyBorder="1"/>
    <xf numFmtId="165" fontId="4" fillId="52" borderId="1" xfId="2" applyNumberFormat="1" applyFont="1" applyFill="1" applyBorder="1" applyAlignment="1">
      <alignment horizontal="center"/>
    </xf>
    <xf numFmtId="166" fontId="0" fillId="52" borderId="1" xfId="0" applyNumberFormat="1" applyFill="1" applyBorder="1"/>
    <xf numFmtId="0" fontId="0" fillId="52" borderId="20" xfId="0" applyFill="1" applyBorder="1"/>
    <xf numFmtId="166" fontId="0" fillId="52" borderId="20" xfId="0" applyNumberFormat="1" applyFill="1" applyBorder="1"/>
    <xf numFmtId="0" fontId="4" fillId="52" borderId="1" xfId="0" applyFont="1" applyFill="1" applyBorder="1" applyAlignment="1">
      <alignment horizontal="center"/>
    </xf>
    <xf numFmtId="0" fontId="4" fillId="52" borderId="55" xfId="0" applyFont="1" applyFill="1" applyBorder="1" applyAlignment="1">
      <alignment horizontal="center"/>
    </xf>
    <xf numFmtId="166" fontId="0" fillId="52" borderId="55" xfId="0" applyNumberFormat="1" applyFill="1" applyBorder="1"/>
    <xf numFmtId="0" fontId="0" fillId="52" borderId="48" xfId="0" applyFill="1" applyBorder="1"/>
    <xf numFmtId="168" fontId="0" fillId="52" borderId="0" xfId="0" applyNumberFormat="1" applyFill="1"/>
    <xf numFmtId="165" fontId="0" fillId="52" borderId="0" xfId="0" applyNumberFormat="1" applyFill="1"/>
    <xf numFmtId="164" fontId="4" fillId="52" borderId="1" xfId="1" applyNumberFormat="1" applyFont="1" applyFill="1" applyBorder="1"/>
    <xf numFmtId="41" fontId="4" fillId="52" borderId="1" xfId="1" applyFont="1" applyFill="1" applyBorder="1"/>
    <xf numFmtId="165" fontId="4" fillId="52" borderId="1" xfId="2" applyNumberFormat="1" applyFont="1" applyFill="1" applyBorder="1" applyAlignment="1">
      <alignment wrapText="1"/>
    </xf>
    <xf numFmtId="165" fontId="4" fillId="52" borderId="1" xfId="2" applyNumberFormat="1" applyFont="1" applyFill="1" applyBorder="1"/>
    <xf numFmtId="165" fontId="4" fillId="52" borderId="1" xfId="0" applyNumberFormat="1" applyFont="1" applyFill="1" applyBorder="1"/>
    <xf numFmtId="0" fontId="0" fillId="52" borderId="0" xfId="0" applyFill="1" applyAlignment="1">
      <alignment horizontal="center"/>
    </xf>
    <xf numFmtId="165" fontId="0" fillId="52" borderId="2" xfId="2" applyNumberFormat="1" applyFont="1" applyFill="1" applyBorder="1"/>
    <xf numFmtId="165" fontId="0" fillId="0" borderId="2" xfId="2" applyNumberFormat="1" applyFont="1" applyBorder="1"/>
    <xf numFmtId="165" fontId="0" fillId="0" borderId="1" xfId="2" applyNumberFormat="1" applyFont="1" applyFill="1" applyBorder="1"/>
    <xf numFmtId="165" fontId="0" fillId="52" borderId="1" xfId="2" applyNumberFormat="1" applyFont="1" applyFill="1" applyBorder="1"/>
    <xf numFmtId="9" fontId="0" fillId="52" borderId="0" xfId="3" applyFont="1" applyFill="1"/>
    <xf numFmtId="43" fontId="4" fillId="43" borderId="0" xfId="2" applyFont="1" applyFill="1" applyAlignment="1">
      <alignment horizontal="center" vertical="center"/>
    </xf>
    <xf numFmtId="0" fontId="28" fillId="52" borderId="0" xfId="0" applyFont="1" applyFill="1"/>
    <xf numFmtId="165" fontId="0" fillId="52" borderId="0" xfId="2" applyNumberFormat="1" applyFont="1" applyFill="1" applyBorder="1"/>
    <xf numFmtId="41" fontId="0" fillId="52" borderId="0" xfId="1" applyFont="1" applyFill="1" applyBorder="1"/>
    <xf numFmtId="41" fontId="4" fillId="52" borderId="0" xfId="1" applyFont="1" applyFill="1" applyBorder="1"/>
    <xf numFmtId="165" fontId="4" fillId="52" borderId="54" xfId="2" applyNumberFormat="1" applyFont="1" applyFill="1" applyBorder="1" applyAlignment="1">
      <alignment wrapText="1"/>
    </xf>
    <xf numFmtId="164" fontId="4" fillId="52" borderId="47" xfId="1" applyNumberFormat="1" applyFont="1" applyFill="1" applyBorder="1"/>
    <xf numFmtId="165" fontId="4" fillId="52" borderId="55" xfId="2" applyNumberFormat="1" applyFont="1" applyFill="1" applyBorder="1"/>
    <xf numFmtId="41" fontId="26" fillId="52" borderId="39" xfId="1" applyFont="1" applyFill="1" applyBorder="1" applyAlignment="1">
      <alignment wrapText="1"/>
    </xf>
    <xf numFmtId="14" fontId="1" fillId="0" borderId="1" xfId="45" applyNumberFormat="1" applyBorder="1" applyAlignment="1">
      <alignment wrapText="1"/>
    </xf>
    <xf numFmtId="171" fontId="1" fillId="0" borderId="1" xfId="48" applyNumberFormat="1" applyFont="1" applyBorder="1"/>
    <xf numFmtId="0" fontId="29" fillId="0" borderId="1" xfId="0" applyFont="1" applyBorder="1" applyAlignment="1">
      <alignment wrapText="1"/>
    </xf>
    <xf numFmtId="14" fontId="1" fillId="0" borderId="1" xfId="49" applyNumberFormat="1" applyFont="1" applyBorder="1"/>
    <xf numFmtId="165" fontId="4" fillId="52" borderId="40" xfId="2" applyNumberFormat="1" applyFont="1" applyFill="1" applyBorder="1" applyAlignment="1">
      <alignment wrapText="1"/>
    </xf>
    <xf numFmtId="165" fontId="4" fillId="52" borderId="55" xfId="0" applyNumberFormat="1" applyFont="1" applyFill="1" applyBorder="1"/>
    <xf numFmtId="165" fontId="4" fillId="52" borderId="48" xfId="0" applyNumberFormat="1" applyFont="1" applyFill="1" applyBorder="1"/>
    <xf numFmtId="166" fontId="0" fillId="52" borderId="48" xfId="0" applyNumberFormat="1" applyFill="1" applyBorder="1"/>
    <xf numFmtId="14" fontId="27" fillId="0" borderId="1" xfId="45" applyNumberFormat="1" applyFont="1" applyBorder="1" applyAlignment="1">
      <alignment wrapText="1"/>
    </xf>
    <xf numFmtId="41" fontId="1" fillId="0" borderId="52" xfId="45" applyNumberFormat="1" applyBorder="1"/>
    <xf numFmtId="41" fontId="0" fillId="0" borderId="0" xfId="0" applyNumberFormat="1"/>
    <xf numFmtId="41" fontId="30" fillId="0" borderId="0" xfId="0" applyNumberFormat="1" applyFont="1"/>
    <xf numFmtId="164" fontId="4" fillId="53" borderId="0" xfId="1" applyNumberFormat="1" applyFont="1" applyFill="1"/>
    <xf numFmtId="41" fontId="4" fillId="53" borderId="0" xfId="0" applyNumberFormat="1" applyFont="1" applyFill="1"/>
    <xf numFmtId="164" fontId="0" fillId="0" borderId="0" xfId="1" applyNumberFormat="1" applyFont="1" applyFill="1"/>
    <xf numFmtId="0" fontId="0" fillId="0" borderId="39" xfId="0" applyBorder="1"/>
    <xf numFmtId="164" fontId="0" fillId="0" borderId="40" xfId="1" applyNumberFormat="1" applyFont="1" applyFill="1" applyBorder="1"/>
    <xf numFmtId="0" fontId="0" fillId="0" borderId="19" xfId="0" applyBorder="1"/>
    <xf numFmtId="164" fontId="0" fillId="0" borderId="20" xfId="1" applyNumberFormat="1" applyFont="1" applyBorder="1"/>
    <xf numFmtId="41" fontId="0" fillId="0" borderId="20" xfId="1" applyFont="1" applyBorder="1"/>
    <xf numFmtId="0" fontId="4" fillId="0" borderId="19" xfId="0" applyFont="1" applyBorder="1"/>
    <xf numFmtId="41" fontId="4" fillId="0" borderId="20" xfId="1" applyFont="1" applyFill="1" applyBorder="1"/>
    <xf numFmtId="41" fontId="0" fillId="0" borderId="20" xfId="1" applyFont="1" applyFill="1" applyBorder="1"/>
    <xf numFmtId="0" fontId="0" fillId="0" borderId="47" xfId="0" applyBorder="1"/>
    <xf numFmtId="164" fontId="0" fillId="0" borderId="48" xfId="1" applyNumberFormat="1" applyFont="1" applyFill="1" applyBorder="1"/>
    <xf numFmtId="14" fontId="1" fillId="0" borderId="1" xfId="49" applyNumberFormat="1" applyFont="1" applyFill="1" applyBorder="1"/>
    <xf numFmtId="41" fontId="25" fillId="0" borderId="2" xfId="47" applyFont="1" applyFill="1" applyBorder="1"/>
    <xf numFmtId="49" fontId="1" fillId="35" borderId="1" xfId="45" applyNumberFormat="1" applyFill="1" applyBorder="1" applyAlignment="1">
      <alignment wrapText="1"/>
    </xf>
    <xf numFmtId="14" fontId="27" fillId="35" borderId="1" xfId="45" applyNumberFormat="1" applyFont="1" applyFill="1" applyBorder="1" applyAlignment="1">
      <alignment wrapText="1"/>
    </xf>
    <xf numFmtId="2" fontId="1" fillId="35" borderId="1" xfId="45" applyNumberFormat="1" applyFill="1" applyBorder="1"/>
    <xf numFmtId="41" fontId="1" fillId="35" borderId="1" xfId="49" applyFont="1" applyFill="1" applyBorder="1"/>
    <xf numFmtId="41" fontId="25" fillId="35" borderId="1" xfId="49" applyFont="1" applyFill="1" applyBorder="1"/>
    <xf numFmtId="14" fontId="1" fillId="35" borderId="1" xfId="49" applyNumberFormat="1" applyFont="1" applyFill="1" applyBorder="1"/>
    <xf numFmtId="14" fontId="1" fillId="35" borderId="1" xfId="45" applyNumberFormat="1" applyFill="1" applyBorder="1"/>
    <xf numFmtId="41" fontId="25" fillId="35" borderId="2" xfId="47" applyFont="1" applyFill="1" applyBorder="1"/>
    <xf numFmtId="172" fontId="1" fillId="35" borderId="0" xfId="50" applyNumberFormat="1" applyFont="1" applyFill="1"/>
    <xf numFmtId="0" fontId="1" fillId="35" borderId="0" xfId="45" applyFill="1"/>
    <xf numFmtId="169" fontId="1" fillId="35" borderId="0" xfId="48" applyFont="1" applyFill="1"/>
    <xf numFmtId="14" fontId="4" fillId="0" borderId="1" xfId="45" applyNumberFormat="1" applyFont="1" applyBorder="1"/>
    <xf numFmtId="172" fontId="4" fillId="0" borderId="1" xfId="50" applyNumberFormat="1" applyFont="1" applyBorder="1" applyAlignment="1"/>
    <xf numFmtId="14" fontId="27" fillId="35" borderId="1" xfId="45" applyNumberFormat="1" applyFont="1" applyFill="1" applyBorder="1"/>
    <xf numFmtId="41" fontId="25" fillId="35" borderId="1" xfId="47" applyFont="1" applyFill="1" applyBorder="1" applyAlignment="1"/>
    <xf numFmtId="172" fontId="1" fillId="35" borderId="52" xfId="50" applyNumberFormat="1" applyFont="1" applyFill="1" applyBorder="1" applyAlignment="1"/>
    <xf numFmtId="0" fontId="1" fillId="35" borderId="52" xfId="45" applyFill="1" applyBorder="1"/>
    <xf numFmtId="41" fontId="25" fillId="35" borderId="1" xfId="47" applyFont="1" applyFill="1" applyBorder="1"/>
    <xf numFmtId="0" fontId="1" fillId="0" borderId="52" xfId="45" applyBorder="1"/>
    <xf numFmtId="164" fontId="4" fillId="52" borderId="0" xfId="1" applyNumberFormat="1" applyFont="1" applyFill="1"/>
    <xf numFmtId="0" fontId="4" fillId="52" borderId="1" xfId="0" applyFont="1" applyFill="1" applyBorder="1"/>
    <xf numFmtId="0" fontId="4" fillId="52" borderId="1" xfId="0" applyFont="1" applyFill="1" applyBorder="1" applyAlignment="1">
      <alignment wrapText="1"/>
    </xf>
    <xf numFmtId="9" fontId="0" fillId="52" borderId="1" xfId="3" applyFont="1" applyFill="1" applyBorder="1"/>
    <xf numFmtId="165" fontId="4" fillId="52" borderId="1" xfId="2" applyNumberFormat="1" applyFont="1" applyFill="1" applyBorder="1" applyAlignment="1">
      <alignment horizontal="center" vertical="center"/>
    </xf>
    <xf numFmtId="0" fontId="0" fillId="52" borderId="1" xfId="0" applyFill="1" applyBorder="1"/>
    <xf numFmtId="0" fontId="29" fillId="52" borderId="1" xfId="0" applyFont="1" applyFill="1" applyBorder="1" applyAlignment="1">
      <alignment wrapText="1"/>
    </xf>
    <xf numFmtId="166" fontId="0" fillId="52" borderId="35" xfId="0" applyNumberFormat="1" applyFill="1" applyBorder="1"/>
    <xf numFmtId="166" fontId="0" fillId="52" borderId="0" xfId="0" applyNumberFormat="1" applyFill="1"/>
    <xf numFmtId="41" fontId="4" fillId="52" borderId="0" xfId="1" applyFont="1" applyFill="1" applyAlignment="1">
      <alignment horizontal="center" vertical="center"/>
    </xf>
    <xf numFmtId="0" fontId="4" fillId="52" borderId="0" xfId="0" applyFont="1" applyFill="1" applyAlignment="1">
      <alignment horizontal="center" vertical="center"/>
    </xf>
    <xf numFmtId="165" fontId="4" fillId="52" borderId="0" xfId="2" applyNumberFormat="1" applyFont="1" applyFill="1" applyAlignment="1">
      <alignment horizontal="center" vertical="center"/>
    </xf>
    <xf numFmtId="0" fontId="4" fillId="52" borderId="0" xfId="0" applyFont="1" applyFill="1" applyAlignment="1">
      <alignment horizontal="center"/>
    </xf>
    <xf numFmtId="170" fontId="0" fillId="52" borderId="24" xfId="0" applyNumberFormat="1" applyFill="1" applyBorder="1" applyAlignment="1">
      <alignment horizontal="center"/>
    </xf>
    <xf numFmtId="172" fontId="0" fillId="52" borderId="2" xfId="50" applyNumberFormat="1" applyFont="1" applyFill="1" applyBorder="1"/>
    <xf numFmtId="172" fontId="0" fillId="52" borderId="1" xfId="50" applyNumberFormat="1" applyFont="1" applyFill="1" applyBorder="1"/>
    <xf numFmtId="49" fontId="4" fillId="0" borderId="0" xfId="45" applyNumberFormat="1" applyFont="1" applyAlignment="1">
      <alignment horizontal="center"/>
    </xf>
    <xf numFmtId="0" fontId="0" fillId="52" borderId="0" xfId="0" applyFill="1" applyAlignment="1">
      <alignment horizontal="center"/>
    </xf>
    <xf numFmtId="41" fontId="0" fillId="52" borderId="0" xfId="1" applyFont="1" applyFill="1" applyBorder="1" applyAlignment="1">
      <alignment horizontal="center"/>
    </xf>
    <xf numFmtId="8" fontId="0" fillId="52" borderId="0" xfId="1" applyNumberFormat="1" applyFont="1" applyFill="1" applyBorder="1" applyAlignment="1">
      <alignment horizontal="left"/>
    </xf>
    <xf numFmtId="41" fontId="0" fillId="52" borderId="0" xfId="1" applyFont="1" applyFill="1" applyBorder="1" applyAlignment="1">
      <alignment horizontal="left"/>
    </xf>
    <xf numFmtId="0" fontId="21" fillId="52" borderId="0" xfId="0" applyFont="1" applyFill="1" applyAlignment="1">
      <alignment horizontal="center"/>
    </xf>
    <xf numFmtId="165" fontId="4" fillId="52" borderId="55" xfId="0" applyNumberFormat="1" applyFont="1" applyFill="1" applyBorder="1" applyAlignment="1">
      <alignment horizontal="center"/>
    </xf>
    <xf numFmtId="165" fontId="4" fillId="52" borderId="48" xfId="0" applyNumberFormat="1" applyFont="1" applyFill="1" applyBorder="1" applyAlignment="1">
      <alignment horizontal="center"/>
    </xf>
    <xf numFmtId="165" fontId="4" fillId="52" borderId="54" xfId="2" applyNumberFormat="1" applyFont="1" applyFill="1" applyBorder="1" applyAlignment="1">
      <alignment horizontal="center" wrapText="1"/>
    </xf>
    <xf numFmtId="165" fontId="4" fillId="52" borderId="40" xfId="2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41" fontId="1" fillId="0" borderId="1" xfId="49" applyFont="1" applyBorder="1" applyAlignment="1">
      <alignment horizontal="center"/>
    </xf>
    <xf numFmtId="49" fontId="4" fillId="0" borderId="0" xfId="45" applyNumberFormat="1" applyFont="1" applyAlignment="1">
      <alignment horizontal="center"/>
    </xf>
    <xf numFmtId="0" fontId="1" fillId="35" borderId="0" xfId="45" applyFill="1" applyAlignment="1">
      <alignment horizontal="center" wrapText="1"/>
    </xf>
    <xf numFmtId="41" fontId="1" fillId="0" borderId="31" xfId="45" applyNumberFormat="1" applyBorder="1" applyAlignment="1">
      <alignment horizontal="center"/>
    </xf>
    <xf numFmtId="41" fontId="1" fillId="0" borderId="44" xfId="45" applyNumberFormat="1" applyBorder="1" applyAlignment="1">
      <alignment horizontal="center"/>
    </xf>
    <xf numFmtId="41" fontId="25" fillId="0" borderId="1" xfId="47" applyFont="1" applyBorder="1" applyAlignment="1">
      <alignment horizontal="left"/>
    </xf>
    <xf numFmtId="0" fontId="4" fillId="46" borderId="33" xfId="0" applyFont="1" applyFill="1" applyBorder="1" applyAlignment="1">
      <alignment horizontal="center"/>
    </xf>
    <xf numFmtId="0" fontId="4" fillId="46" borderId="23" xfId="0" applyFont="1" applyFill="1" applyBorder="1" applyAlignment="1">
      <alignment horizontal="center"/>
    </xf>
    <xf numFmtId="0" fontId="4" fillId="37" borderId="15" xfId="0" applyFont="1" applyFill="1" applyBorder="1" applyAlignment="1">
      <alignment horizontal="center"/>
    </xf>
    <xf numFmtId="0" fontId="4" fillId="37" borderId="2" xfId="0" applyFont="1" applyFill="1" applyBorder="1" applyAlignment="1">
      <alignment horizontal="center"/>
    </xf>
    <xf numFmtId="0" fontId="4" fillId="41" borderId="33" xfId="0" applyFont="1" applyFill="1" applyBorder="1" applyAlignment="1">
      <alignment horizontal="center"/>
    </xf>
    <xf numFmtId="0" fontId="4" fillId="41" borderId="23" xfId="0" applyFont="1" applyFill="1" applyBorder="1" applyAlignment="1">
      <alignment horizontal="center"/>
    </xf>
    <xf numFmtId="0" fontId="4" fillId="38" borderId="37" xfId="0" applyFont="1" applyFill="1" applyBorder="1" applyAlignment="1">
      <alignment horizontal="center"/>
    </xf>
    <xf numFmtId="0" fontId="4" fillId="38" borderId="23" xfId="0" applyFont="1" applyFill="1" applyBorder="1" applyAlignment="1">
      <alignment horizontal="center"/>
    </xf>
    <xf numFmtId="0" fontId="4" fillId="39" borderId="33" xfId="0" applyFont="1" applyFill="1" applyBorder="1" applyAlignment="1">
      <alignment horizontal="center"/>
    </xf>
    <xf numFmtId="0" fontId="4" fillId="39" borderId="23" xfId="0" applyFont="1" applyFill="1" applyBorder="1" applyAlignment="1">
      <alignment horizontal="center"/>
    </xf>
    <xf numFmtId="0" fontId="4" fillId="36" borderId="33" xfId="0" applyFont="1" applyFill="1" applyBorder="1" applyAlignment="1">
      <alignment horizontal="center"/>
    </xf>
    <xf numFmtId="0" fontId="4" fillId="36" borderId="23" xfId="0" applyFont="1" applyFill="1" applyBorder="1" applyAlignment="1">
      <alignment horizontal="center"/>
    </xf>
    <xf numFmtId="0" fontId="4" fillId="40" borderId="33" xfId="0" applyFont="1" applyFill="1" applyBorder="1" applyAlignment="1">
      <alignment horizontal="center"/>
    </xf>
    <xf numFmtId="0" fontId="4" fillId="40" borderId="23" xfId="0" applyFont="1" applyFill="1" applyBorder="1" applyAlignment="1">
      <alignment horizontal="center"/>
    </xf>
    <xf numFmtId="0" fontId="4" fillId="42" borderId="33" xfId="0" applyFont="1" applyFill="1" applyBorder="1" applyAlignment="1">
      <alignment horizontal="center"/>
    </xf>
    <xf numFmtId="0" fontId="4" fillId="42" borderId="23" xfId="0" applyFont="1" applyFill="1" applyBorder="1" applyAlignment="1">
      <alignment horizontal="center"/>
    </xf>
    <xf numFmtId="0" fontId="4" fillId="43" borderId="33" xfId="0" applyFont="1" applyFill="1" applyBorder="1" applyAlignment="1">
      <alignment horizontal="center"/>
    </xf>
    <xf numFmtId="0" fontId="4" fillId="43" borderId="23" xfId="0" applyFont="1" applyFill="1" applyBorder="1" applyAlignment="1">
      <alignment horizontal="center"/>
    </xf>
    <xf numFmtId="0" fontId="4" fillId="44" borderId="20" xfId="0" applyFont="1" applyFill="1" applyBorder="1" applyAlignment="1">
      <alignment horizontal="center"/>
    </xf>
    <xf numFmtId="0" fontId="4" fillId="45" borderId="20" xfId="0" applyFont="1" applyFill="1" applyBorder="1" applyAlignment="1">
      <alignment horizontal="center"/>
    </xf>
    <xf numFmtId="0" fontId="4" fillId="47" borderId="33" xfId="0" applyFont="1" applyFill="1" applyBorder="1" applyAlignment="1">
      <alignment horizontal="center"/>
    </xf>
    <xf numFmtId="0" fontId="4" fillId="47" borderId="23" xfId="0" applyFont="1" applyFill="1" applyBorder="1" applyAlignment="1">
      <alignment horizontal="center"/>
    </xf>
    <xf numFmtId="0" fontId="4" fillId="47" borderId="46" xfId="0" applyFont="1" applyFill="1" applyBorder="1" applyAlignment="1">
      <alignment horizontal="center"/>
    </xf>
    <xf numFmtId="0" fontId="4" fillId="46" borderId="20" xfId="0" applyFont="1" applyFill="1" applyBorder="1" applyAlignment="1">
      <alignment horizontal="center"/>
    </xf>
    <xf numFmtId="0" fontId="4" fillId="44" borderId="33" xfId="0" applyFont="1" applyFill="1" applyBorder="1" applyAlignment="1">
      <alignment horizontal="center"/>
    </xf>
    <xf numFmtId="0" fontId="4" fillId="44" borderId="23" xfId="0" applyFont="1" applyFill="1" applyBorder="1" applyAlignment="1">
      <alignment horizontal="center"/>
    </xf>
    <xf numFmtId="0" fontId="4" fillId="45" borderId="33" xfId="0" applyFont="1" applyFill="1" applyBorder="1" applyAlignment="1">
      <alignment horizontal="center"/>
    </xf>
    <xf numFmtId="0" fontId="4" fillId="45" borderId="23" xfId="0" applyFont="1" applyFill="1" applyBorder="1" applyAlignment="1">
      <alignment horizontal="center"/>
    </xf>
    <xf numFmtId="0" fontId="4" fillId="43" borderId="20" xfId="0" applyFont="1" applyFill="1" applyBorder="1" applyAlignment="1">
      <alignment horizontal="center"/>
    </xf>
    <xf numFmtId="0" fontId="4" fillId="34" borderId="26" xfId="0" applyFont="1" applyFill="1" applyBorder="1" applyAlignment="1">
      <alignment horizontal="center"/>
    </xf>
    <xf numFmtId="0" fontId="4" fillId="34" borderId="27" xfId="0" applyFont="1" applyFill="1" applyBorder="1" applyAlignment="1">
      <alignment horizontal="center"/>
    </xf>
    <xf numFmtId="0" fontId="4" fillId="35" borderId="34" xfId="0" applyFont="1" applyFill="1" applyBorder="1" applyAlignment="1">
      <alignment horizontal="center"/>
    </xf>
    <xf numFmtId="0" fontId="4" fillId="35" borderId="0" xfId="0" applyFont="1" applyFill="1" applyAlignment="1">
      <alignment horizontal="center"/>
    </xf>
    <xf numFmtId="0" fontId="4" fillId="35" borderId="35" xfId="0" applyFont="1" applyFill="1" applyBorder="1" applyAlignment="1">
      <alignment horizontal="center"/>
    </xf>
    <xf numFmtId="0" fontId="4" fillId="36" borderId="26" xfId="0" applyFont="1" applyFill="1" applyBorder="1" applyAlignment="1">
      <alignment horizontal="center"/>
    </xf>
    <xf numFmtId="0" fontId="4" fillId="36" borderId="27" xfId="0" applyFont="1" applyFill="1" applyBorder="1" applyAlignment="1">
      <alignment horizontal="center"/>
    </xf>
    <xf numFmtId="0" fontId="4" fillId="36" borderId="28" xfId="0" applyFont="1" applyFill="1" applyBorder="1" applyAlignment="1">
      <alignment horizontal="center"/>
    </xf>
    <xf numFmtId="0" fontId="4" fillId="38" borderId="40" xfId="0" applyFont="1" applyFill="1" applyBorder="1" applyAlignment="1">
      <alignment horizontal="center"/>
    </xf>
    <xf numFmtId="0" fontId="4" fillId="38" borderId="20" xfId="0" applyFont="1" applyFill="1" applyBorder="1" applyAlignment="1">
      <alignment horizontal="center"/>
    </xf>
    <xf numFmtId="0" fontId="4" fillId="39" borderId="20" xfId="0" applyFont="1" applyFill="1" applyBorder="1" applyAlignment="1">
      <alignment horizontal="center"/>
    </xf>
    <xf numFmtId="0" fontId="4" fillId="36" borderId="20" xfId="0" applyFont="1" applyFill="1" applyBorder="1" applyAlignment="1">
      <alignment horizontal="center"/>
    </xf>
    <xf numFmtId="0" fontId="4" fillId="42" borderId="20" xfId="0" applyFont="1" applyFill="1" applyBorder="1" applyAlignment="1">
      <alignment horizontal="center"/>
    </xf>
    <xf numFmtId="0" fontId="4" fillId="40" borderId="31" xfId="0" applyFont="1" applyFill="1" applyBorder="1" applyAlignment="1">
      <alignment horizontal="center"/>
    </xf>
    <xf numFmtId="0" fontId="4" fillId="40" borderId="49" xfId="0" applyFont="1" applyFill="1" applyBorder="1" applyAlignment="1">
      <alignment horizontal="center"/>
    </xf>
    <xf numFmtId="0" fontId="4" fillId="51" borderId="36" xfId="0" applyFont="1" applyFill="1" applyBorder="1" applyAlignment="1">
      <alignment horizontal="center"/>
    </xf>
    <xf numFmtId="0" fontId="4" fillId="51" borderId="45" xfId="0" applyFont="1" applyFill="1" applyBorder="1" applyAlignment="1">
      <alignment horizontal="center"/>
    </xf>
    <xf numFmtId="2" fontId="4" fillId="38" borderId="36" xfId="0" applyNumberFormat="1" applyFont="1" applyFill="1" applyBorder="1" applyAlignment="1">
      <alignment horizontal="center"/>
    </xf>
    <xf numFmtId="2" fontId="4" fillId="38" borderId="45" xfId="0" applyNumberFormat="1" applyFont="1" applyFill="1" applyBorder="1" applyAlignment="1">
      <alignment horizontal="center"/>
    </xf>
    <xf numFmtId="2" fontId="4" fillId="39" borderId="36" xfId="0" applyNumberFormat="1" applyFont="1" applyFill="1" applyBorder="1" applyAlignment="1">
      <alignment horizontal="center"/>
    </xf>
    <xf numFmtId="2" fontId="4" fillId="39" borderId="45" xfId="0" applyNumberFormat="1" applyFont="1" applyFill="1" applyBorder="1" applyAlignment="1">
      <alignment horizontal="center"/>
    </xf>
    <xf numFmtId="2" fontId="4" fillId="36" borderId="36" xfId="0" applyNumberFormat="1" applyFont="1" applyFill="1" applyBorder="1" applyAlignment="1">
      <alignment horizontal="center"/>
    </xf>
    <xf numFmtId="2" fontId="4" fillId="36" borderId="45" xfId="0" applyNumberFormat="1" applyFont="1" applyFill="1" applyBorder="1" applyAlignment="1">
      <alignment horizontal="center"/>
    </xf>
    <xf numFmtId="2" fontId="4" fillId="40" borderId="36" xfId="0" applyNumberFormat="1" applyFont="1" applyFill="1" applyBorder="1" applyAlignment="1">
      <alignment horizontal="center"/>
    </xf>
    <xf numFmtId="2" fontId="4" fillId="40" borderId="45" xfId="0" applyNumberFormat="1" applyFont="1" applyFill="1" applyBorder="1" applyAlignment="1">
      <alignment horizontal="center"/>
    </xf>
    <xf numFmtId="0" fontId="4" fillId="46" borderId="36" xfId="0" applyFont="1" applyFill="1" applyBorder="1" applyAlignment="1">
      <alignment horizontal="center"/>
    </xf>
    <xf numFmtId="0" fontId="4" fillId="46" borderId="45" xfId="0" applyFont="1" applyFill="1" applyBorder="1" applyAlignment="1">
      <alignment horizontal="center"/>
    </xf>
    <xf numFmtId="0" fontId="4" fillId="47" borderId="36" xfId="0" applyFont="1" applyFill="1" applyBorder="1" applyAlignment="1">
      <alignment horizontal="center"/>
    </xf>
    <xf numFmtId="0" fontId="4" fillId="47" borderId="45" xfId="0" applyFont="1" applyFill="1" applyBorder="1" applyAlignment="1">
      <alignment horizontal="center"/>
    </xf>
    <xf numFmtId="0" fontId="4" fillId="37" borderId="36" xfId="0" applyFont="1" applyFill="1" applyBorder="1" applyAlignment="1">
      <alignment horizontal="center"/>
    </xf>
    <xf numFmtId="0" fontId="4" fillId="37" borderId="45" xfId="0" applyFont="1" applyFill="1" applyBorder="1" applyAlignment="1">
      <alignment horizontal="center"/>
    </xf>
    <xf numFmtId="2" fontId="4" fillId="41" borderId="36" xfId="0" applyNumberFormat="1" applyFont="1" applyFill="1" applyBorder="1" applyAlignment="1">
      <alignment horizontal="center"/>
    </xf>
    <xf numFmtId="2" fontId="4" fillId="41" borderId="45" xfId="0" applyNumberFormat="1" applyFont="1" applyFill="1" applyBorder="1" applyAlignment="1">
      <alignment horizontal="center"/>
    </xf>
    <xf numFmtId="2" fontId="4" fillId="42" borderId="36" xfId="0" applyNumberFormat="1" applyFont="1" applyFill="1" applyBorder="1" applyAlignment="1">
      <alignment horizontal="center"/>
    </xf>
    <xf numFmtId="2" fontId="4" fillId="42" borderId="45" xfId="0" applyNumberFormat="1" applyFont="1" applyFill="1" applyBorder="1" applyAlignment="1">
      <alignment horizontal="center"/>
    </xf>
    <xf numFmtId="2" fontId="4" fillId="43" borderId="36" xfId="0" applyNumberFormat="1" applyFont="1" applyFill="1" applyBorder="1" applyAlignment="1">
      <alignment horizontal="center"/>
    </xf>
    <xf numFmtId="2" fontId="4" fillId="43" borderId="45" xfId="0" applyNumberFormat="1" applyFont="1" applyFill="1" applyBorder="1" applyAlignment="1">
      <alignment horizontal="center"/>
    </xf>
    <xf numFmtId="2" fontId="4" fillId="44" borderId="36" xfId="0" applyNumberFormat="1" applyFont="1" applyFill="1" applyBorder="1" applyAlignment="1">
      <alignment horizontal="center"/>
    </xf>
    <xf numFmtId="2" fontId="4" fillId="44" borderId="45" xfId="0" applyNumberFormat="1" applyFont="1" applyFill="1" applyBorder="1" applyAlignment="1">
      <alignment horizontal="center"/>
    </xf>
    <xf numFmtId="0" fontId="4" fillId="45" borderId="36" xfId="0" applyFont="1" applyFill="1" applyBorder="1" applyAlignment="1">
      <alignment horizontal="center"/>
    </xf>
    <xf numFmtId="0" fontId="4" fillId="45" borderId="45" xfId="0" applyFont="1" applyFill="1" applyBorder="1" applyAlignment="1">
      <alignment horizontal="center"/>
    </xf>
  </cellXfs>
  <cellStyles count="51">
    <cellStyle name="20% - Énfasis1" xfId="22" builtinId="30" customBuiltin="1"/>
    <cellStyle name="20% - Énfasis2" xfId="26" builtinId="34" customBuiltin="1"/>
    <cellStyle name="20% - Énfasis3" xfId="30" builtinId="38" customBuiltin="1"/>
    <cellStyle name="20% - Énfasis4" xfId="34" builtinId="42" customBuiltin="1"/>
    <cellStyle name="20% - Énfasis5" xfId="38" builtinId="46" customBuiltin="1"/>
    <cellStyle name="20% - Énfasis6" xfId="42" builtinId="50" customBuiltin="1"/>
    <cellStyle name="40% - Énfasis1" xfId="23" builtinId="31" customBuiltin="1"/>
    <cellStyle name="40% - Énfasis2" xfId="27" builtinId="35" customBuiltin="1"/>
    <cellStyle name="40% - Énfasis3" xfId="31" builtinId="39" customBuiltin="1"/>
    <cellStyle name="40% - Énfasis4" xfId="35" builtinId="43" customBuiltin="1"/>
    <cellStyle name="40% - Énfasis5" xfId="39" builtinId="47" customBuiltin="1"/>
    <cellStyle name="40% - Énfasis6" xfId="43" builtinId="51" customBuiltin="1"/>
    <cellStyle name="60% - Énfasis1" xfId="24" builtinId="32" customBuiltin="1"/>
    <cellStyle name="60% - Énfasis2" xfId="28" builtinId="36" customBuiltin="1"/>
    <cellStyle name="60% - Énfasis3" xfId="32" builtinId="40" customBuiltin="1"/>
    <cellStyle name="60% - Énfasis4" xfId="36" builtinId="44" customBuiltin="1"/>
    <cellStyle name="60% - Énfasis5" xfId="40" builtinId="48" customBuiltin="1"/>
    <cellStyle name="60% - Énfasis6" xfId="44" builtinId="52" customBuiltin="1"/>
    <cellStyle name="Bueno" xfId="9" builtinId="26" customBuiltin="1"/>
    <cellStyle name="Cálculo" xfId="14" builtinId="22" customBuiltin="1"/>
    <cellStyle name="Celda de comprobación" xfId="16" builtinId="23" customBuiltin="1"/>
    <cellStyle name="Celda vinculada" xfId="15" builtinId="24" customBuiltin="1"/>
    <cellStyle name="Encabezado 1" xfId="5" builtinId="16" customBuiltin="1"/>
    <cellStyle name="Encabezado 4" xfId="8" builtinId="19" customBuiltin="1"/>
    <cellStyle name="Énfasis1" xfId="21" builtinId="29" customBuiltin="1"/>
    <cellStyle name="Énfasis2" xfId="25" builtinId="33" customBuiltin="1"/>
    <cellStyle name="Énfasis3" xfId="29" builtinId="37" customBuiltin="1"/>
    <cellStyle name="Énfasis4" xfId="33" builtinId="41" customBuiltin="1"/>
    <cellStyle name="Énfasis5" xfId="37" builtinId="45" customBuiltin="1"/>
    <cellStyle name="Énfasis6" xfId="41" builtinId="49" customBuiltin="1"/>
    <cellStyle name="Entrada" xfId="12" builtinId="20" customBuiltin="1"/>
    <cellStyle name="Incorrecto" xfId="10" builtinId="27" customBuiltin="1"/>
    <cellStyle name="Millares" xfId="2" builtinId="3"/>
    <cellStyle name="Millares [0]" xfId="1" builtinId="6"/>
    <cellStyle name="Millares [0] 2" xfId="47" xr:uid="{6FE03513-3F22-4C97-86C7-271348EB4AB5}"/>
    <cellStyle name="Millares [0] 3" xfId="49" xr:uid="{6F505006-44F7-407D-BA1E-49C5EB541642}"/>
    <cellStyle name="Millares 2" xfId="48" xr:uid="{CB884E6C-9045-415F-B685-FB25B29EF6D6}"/>
    <cellStyle name="Moneda" xfId="50" builtinId="4"/>
    <cellStyle name="Neutral" xfId="11" builtinId="28" customBuiltin="1"/>
    <cellStyle name="Normal" xfId="0" builtinId="0"/>
    <cellStyle name="Normal 2" xfId="45" xr:uid="{00000000-0005-0000-0000-000024000000}"/>
    <cellStyle name="Normal 3" xfId="46" xr:uid="{9E2D7553-0C97-4A40-8866-EB2EFF0937C0}"/>
    <cellStyle name="Notas" xfId="18" builtinId="10" customBuiltin="1"/>
    <cellStyle name="Porcentaje" xfId="3" builtinId="5"/>
    <cellStyle name="Salida" xfId="13" builtinId="21" customBuiltin="1"/>
    <cellStyle name="Texto de advertencia" xfId="17" builtinId="11" customBuiltin="1"/>
    <cellStyle name="Texto explicativo" xfId="19" builtinId="53" customBuiltin="1"/>
    <cellStyle name="Título" xfId="4" builtinId="15" customBuiltin="1"/>
    <cellStyle name="Título 2" xfId="6" builtinId="17" customBuiltin="1"/>
    <cellStyle name="Título 3" xfId="7" builtinId="18" customBuiltin="1"/>
    <cellStyle name="Total" xfId="2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COSTOS ENERO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388-408E-AEE3-08F6969854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88-408E-AEE3-08F6969854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388-408E-AEE3-08F6969854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388-408E-AEE3-08F6969854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388-408E-AEE3-08F6969854A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388-408E-AEE3-08F6969854A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388-408E-AEE3-08F6969854A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388-408E-AEE3-08F6969854A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388-408E-AEE3-08F6969854A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388-408E-AEE3-08F6969854A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388-408E-AEE3-08F6969854A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388-408E-AEE3-08F6969854A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388-408E-AEE3-08F6969854A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388-408E-AEE3-08F6969854A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388-408E-AEE3-08F6969854A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388-408E-AEE3-08F6969854A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C388-408E-AEE3-08F6969854A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C388-408E-AEE3-08F6969854A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C388-408E-AEE3-08F6969854A2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C388-408E-AEE3-08F6969854A2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C388-408E-AEE3-08F6969854A2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C388-408E-AEE3-08F6969854A2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C388-408E-AEE3-08F6969854A2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C388-408E-AEE3-08F6969854A2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C388-408E-AEE3-08F6969854A2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C388-408E-AEE3-08F6969854A2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C388-408E-AEE3-08F6969854A2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C388-408E-AEE3-08F6969854A2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C388-408E-AEE3-08F6969854A2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C388-408E-AEE3-08F6969854A2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C388-408E-AEE3-08F6969854A2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8105-4EA7-8A69-45924B59C78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'[2]TORTA CONSOL'!$B$16:$B$47</c:f>
              <c:strCache>
                <c:ptCount val="32"/>
                <c:pt idx="0">
                  <c:v>CUOTA ACERIAS</c:v>
                </c:pt>
                <c:pt idx="1">
                  <c:v>ENERGIA</c:v>
                </c:pt>
                <c:pt idx="2">
                  <c:v>COMBUSTIBLE</c:v>
                </c:pt>
                <c:pt idx="3">
                  <c:v>MADERA</c:v>
                </c:pt>
                <c:pt idx="4">
                  <c:v>NOMINA </c:v>
                </c:pt>
                <c:pt idx="5">
                  <c:v>CARGA PRESTACI</c:v>
                </c:pt>
                <c:pt idx="6">
                  <c:v>INSUMOS</c:v>
                </c:pt>
                <c:pt idx="7">
                  <c:v>CALIBRACION</c:v>
                </c:pt>
                <c:pt idx="8">
                  <c:v>ELEMEN ASEO</c:v>
                </c:pt>
                <c:pt idx="9">
                  <c:v>DOTACION</c:v>
                </c:pt>
                <c:pt idx="10">
                  <c:v>EX INGRESO</c:v>
                </c:pt>
                <c:pt idx="11">
                  <c:v>PAPELERIA</c:v>
                </c:pt>
                <c:pt idx="12">
                  <c:v>PEAJES</c:v>
                </c:pt>
                <c:pt idx="13">
                  <c:v>TRANS PASA</c:v>
                </c:pt>
                <c:pt idx="14">
                  <c:v>HOSPEDAJE</c:v>
                </c:pt>
                <c:pt idx="15">
                  <c:v>VIATICOS</c:v>
                </c:pt>
                <c:pt idx="16">
                  <c:v>RESTAURANTE</c:v>
                </c:pt>
                <c:pt idx="17">
                  <c:v>MANT EQUIPOS</c:v>
                </c:pt>
                <c:pt idx="18">
                  <c:v>LEVANT TOPOGRAFICO</c:v>
                </c:pt>
                <c:pt idx="19">
                  <c:v>TRANS CARBON</c:v>
                </c:pt>
                <c:pt idx="20">
                  <c:v>TELEFONO</c:v>
                </c:pt>
                <c:pt idx="21">
                  <c:v>PLAN VENTILACION</c:v>
                </c:pt>
                <c:pt idx="22">
                  <c:v>VARIOS</c:v>
                </c:pt>
                <c:pt idx="23">
                  <c:v>PUBLICIDAD</c:v>
                </c:pt>
                <c:pt idx="24">
                  <c:v>INTERNET</c:v>
                </c:pt>
                <c:pt idx="25">
                  <c:v>ASESORES EXTERNOS</c:v>
                </c:pt>
                <c:pt idx="26">
                  <c:v>PAJARITA</c:v>
                </c:pt>
                <c:pt idx="27">
                  <c:v>ARRIENDO</c:v>
                </c:pt>
                <c:pt idx="28">
                  <c:v>% SERVIDUMBRE</c:v>
                </c:pt>
                <c:pt idx="29">
                  <c:v>DEPRECIACION</c:v>
                </c:pt>
                <c:pt idx="30">
                  <c:v>AUTORENTA</c:v>
                </c:pt>
                <c:pt idx="31">
                  <c:v>GASTOS BANCARIOS</c:v>
                </c:pt>
              </c:strCache>
            </c:strRef>
          </c:cat>
          <c:val>
            <c:numRef>
              <c:f>'[2]TORTA CONSOL'!$C$16:$C$47</c:f>
              <c:numCache>
                <c:formatCode>General</c:formatCode>
                <c:ptCount val="32"/>
                <c:pt idx="0">
                  <c:v>38000000</c:v>
                </c:pt>
                <c:pt idx="1">
                  <c:v>27757830</c:v>
                </c:pt>
                <c:pt idx="2">
                  <c:v>5553000</c:v>
                </c:pt>
                <c:pt idx="3">
                  <c:v>18000000</c:v>
                </c:pt>
                <c:pt idx="4">
                  <c:v>140893966</c:v>
                </c:pt>
                <c:pt idx="5">
                  <c:v>96216489.381400004</c:v>
                </c:pt>
                <c:pt idx="6">
                  <c:v>18974208</c:v>
                </c:pt>
                <c:pt idx="7">
                  <c:v>577933</c:v>
                </c:pt>
                <c:pt idx="8">
                  <c:v>570000</c:v>
                </c:pt>
                <c:pt idx="9">
                  <c:v>3014369</c:v>
                </c:pt>
                <c:pt idx="10">
                  <c:v>0</c:v>
                </c:pt>
                <c:pt idx="11">
                  <c:v>3400000</c:v>
                </c:pt>
                <c:pt idx="12">
                  <c:v>0</c:v>
                </c:pt>
                <c:pt idx="13">
                  <c:v>950000</c:v>
                </c:pt>
                <c:pt idx="14">
                  <c:v>0</c:v>
                </c:pt>
                <c:pt idx="15">
                  <c:v>48000</c:v>
                </c:pt>
                <c:pt idx="16">
                  <c:v>20027500</c:v>
                </c:pt>
                <c:pt idx="17">
                  <c:v>330000</c:v>
                </c:pt>
                <c:pt idx="18">
                  <c:v>0</c:v>
                </c:pt>
                <c:pt idx="19">
                  <c:v>39191040</c:v>
                </c:pt>
                <c:pt idx="20">
                  <c:v>319081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612900</c:v>
                </c:pt>
                <c:pt idx="25">
                  <c:v>45600000</c:v>
                </c:pt>
                <c:pt idx="26">
                  <c:v>20000000</c:v>
                </c:pt>
                <c:pt idx="27">
                  <c:v>650000</c:v>
                </c:pt>
                <c:pt idx="28">
                  <c:v>22655937</c:v>
                </c:pt>
                <c:pt idx="29">
                  <c:v>37099221</c:v>
                </c:pt>
                <c:pt idx="30">
                  <c:v>2473934.4</c:v>
                </c:pt>
                <c:pt idx="31">
                  <c:v>1830558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C388-408E-AEE3-08F6969854A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COSTOS FEBRERO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213-422B-B037-55E6E4C41D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213-422B-B037-55E6E4C41D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213-422B-B037-55E6E4C41D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213-422B-B037-55E6E4C41D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213-422B-B037-55E6E4C41DF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213-422B-B037-55E6E4C41DF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213-422B-B037-55E6E4C41DF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213-422B-B037-55E6E4C41DF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213-422B-B037-55E6E4C41DF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213-422B-B037-55E6E4C41DF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213-422B-B037-55E6E4C41DF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213-422B-B037-55E6E4C41DF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213-422B-B037-55E6E4C41DF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213-422B-B037-55E6E4C41DF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D213-422B-B037-55E6E4C41DF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D213-422B-B037-55E6E4C41DF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D213-422B-B037-55E6E4C41DF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D213-422B-B037-55E6E4C41DF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D213-422B-B037-55E6E4C41DF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D213-422B-B037-55E6E4C41DF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D213-422B-B037-55E6E4C41DF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D213-422B-B037-55E6E4C41DF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D213-422B-B037-55E6E4C41DF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D213-422B-B037-55E6E4C41DF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D213-422B-B037-55E6E4C41DF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D213-422B-B037-55E6E4C41DF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D213-422B-B037-55E6E4C41DF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D213-422B-B037-55E6E4C41DF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D213-422B-B037-55E6E4C41DF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D213-422B-B037-55E6E4C41DF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D213-422B-B037-55E6E4C41DF6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D213-422B-B037-55E6E4C41DF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'[2]TORTA CONSOL'!$B$16:$B$47</c:f>
              <c:strCache>
                <c:ptCount val="32"/>
                <c:pt idx="0">
                  <c:v>CUOTA ACERIAS</c:v>
                </c:pt>
                <c:pt idx="1">
                  <c:v>ENERGIA</c:v>
                </c:pt>
                <c:pt idx="2">
                  <c:v>COMBUSTIBLE</c:v>
                </c:pt>
                <c:pt idx="3">
                  <c:v>MADERA</c:v>
                </c:pt>
                <c:pt idx="4">
                  <c:v>NOMINA </c:v>
                </c:pt>
                <c:pt idx="5">
                  <c:v>CARGA PRESTACI</c:v>
                </c:pt>
                <c:pt idx="6">
                  <c:v>INSUMOS</c:v>
                </c:pt>
                <c:pt idx="7">
                  <c:v>CALIBRACION</c:v>
                </c:pt>
                <c:pt idx="8">
                  <c:v>ELEMEN ASEO</c:v>
                </c:pt>
                <c:pt idx="9">
                  <c:v>DOTACION</c:v>
                </c:pt>
                <c:pt idx="10">
                  <c:v>EX INGRESO</c:v>
                </c:pt>
                <c:pt idx="11">
                  <c:v>PAPELERIA</c:v>
                </c:pt>
                <c:pt idx="12">
                  <c:v>PEAJES</c:v>
                </c:pt>
                <c:pt idx="13">
                  <c:v>TRANS PASA</c:v>
                </c:pt>
                <c:pt idx="14">
                  <c:v>HOSPEDAJE</c:v>
                </c:pt>
                <c:pt idx="15">
                  <c:v>VIATICOS</c:v>
                </c:pt>
                <c:pt idx="16">
                  <c:v>RESTAURANTE</c:v>
                </c:pt>
                <c:pt idx="17">
                  <c:v>MANT EQUIPOS</c:v>
                </c:pt>
                <c:pt idx="18">
                  <c:v>LEVANT TOPOGRAFICO</c:v>
                </c:pt>
                <c:pt idx="19">
                  <c:v>TRANS CARBON</c:v>
                </c:pt>
                <c:pt idx="20">
                  <c:v>TELEFONO</c:v>
                </c:pt>
                <c:pt idx="21">
                  <c:v>PLAN VENTILACION</c:v>
                </c:pt>
                <c:pt idx="22">
                  <c:v>VARIOS</c:v>
                </c:pt>
                <c:pt idx="23">
                  <c:v>PUBLICIDAD</c:v>
                </c:pt>
                <c:pt idx="24">
                  <c:v>INTERNET</c:v>
                </c:pt>
                <c:pt idx="25">
                  <c:v>ASESORES EXTERNOS</c:v>
                </c:pt>
                <c:pt idx="26">
                  <c:v>PAJARITA</c:v>
                </c:pt>
                <c:pt idx="27">
                  <c:v>ARRIENDO</c:v>
                </c:pt>
                <c:pt idx="28">
                  <c:v>% SERVIDUMBRE</c:v>
                </c:pt>
                <c:pt idx="29">
                  <c:v>DEPRECIACION</c:v>
                </c:pt>
                <c:pt idx="30">
                  <c:v>AUTORENTA</c:v>
                </c:pt>
                <c:pt idx="31">
                  <c:v>GASTOS BANCARIOS</c:v>
                </c:pt>
              </c:strCache>
            </c:strRef>
          </c:cat>
          <c:val>
            <c:numRef>
              <c:f>'[2]TORTA CONSOL'!$C$16:$C$47</c:f>
              <c:numCache>
                <c:formatCode>General</c:formatCode>
                <c:ptCount val="32"/>
                <c:pt idx="0">
                  <c:v>38000000</c:v>
                </c:pt>
                <c:pt idx="1">
                  <c:v>27757830</c:v>
                </c:pt>
                <c:pt idx="2">
                  <c:v>5553000</c:v>
                </c:pt>
                <c:pt idx="3">
                  <c:v>18000000</c:v>
                </c:pt>
                <c:pt idx="4">
                  <c:v>140893966</c:v>
                </c:pt>
                <c:pt idx="5">
                  <c:v>96216489.381400004</c:v>
                </c:pt>
                <c:pt idx="6">
                  <c:v>18974208</c:v>
                </c:pt>
                <c:pt idx="7">
                  <c:v>577933</c:v>
                </c:pt>
                <c:pt idx="8">
                  <c:v>570000</c:v>
                </c:pt>
                <c:pt idx="9">
                  <c:v>3014369</c:v>
                </c:pt>
                <c:pt idx="10">
                  <c:v>0</c:v>
                </c:pt>
                <c:pt idx="11">
                  <c:v>3400000</c:v>
                </c:pt>
                <c:pt idx="12">
                  <c:v>0</c:v>
                </c:pt>
                <c:pt idx="13">
                  <c:v>950000</c:v>
                </c:pt>
                <c:pt idx="14">
                  <c:v>0</c:v>
                </c:pt>
                <c:pt idx="15">
                  <c:v>48000</c:v>
                </c:pt>
                <c:pt idx="16">
                  <c:v>20027500</c:v>
                </c:pt>
                <c:pt idx="17">
                  <c:v>330000</c:v>
                </c:pt>
                <c:pt idx="18">
                  <c:v>0</c:v>
                </c:pt>
                <c:pt idx="19">
                  <c:v>39191040</c:v>
                </c:pt>
                <c:pt idx="20">
                  <c:v>319081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612900</c:v>
                </c:pt>
                <c:pt idx="25">
                  <c:v>45600000</c:v>
                </c:pt>
                <c:pt idx="26">
                  <c:v>20000000</c:v>
                </c:pt>
                <c:pt idx="27">
                  <c:v>650000</c:v>
                </c:pt>
                <c:pt idx="28">
                  <c:v>22655937</c:v>
                </c:pt>
                <c:pt idx="29">
                  <c:v>37099221</c:v>
                </c:pt>
                <c:pt idx="30">
                  <c:v>2473934.4</c:v>
                </c:pt>
                <c:pt idx="31">
                  <c:v>1830558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D213-422B-B037-55E6E4C41DF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COSTOS FEBRERO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601-48EA-8175-0CF04A9C1C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601-48EA-8175-0CF04A9C1C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601-48EA-8175-0CF04A9C1C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601-48EA-8175-0CF04A9C1C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601-48EA-8175-0CF04A9C1C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601-48EA-8175-0CF04A9C1C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601-48EA-8175-0CF04A9C1C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601-48EA-8175-0CF04A9C1CA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601-48EA-8175-0CF04A9C1CA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601-48EA-8175-0CF04A9C1CA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601-48EA-8175-0CF04A9C1CA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601-48EA-8175-0CF04A9C1CA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601-48EA-8175-0CF04A9C1CA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601-48EA-8175-0CF04A9C1CA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601-48EA-8175-0CF04A9C1CA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601-48EA-8175-0CF04A9C1CA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C601-48EA-8175-0CF04A9C1CA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C601-48EA-8175-0CF04A9C1CA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C601-48EA-8175-0CF04A9C1CA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C601-48EA-8175-0CF04A9C1CA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C601-48EA-8175-0CF04A9C1CA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C601-48EA-8175-0CF04A9C1CA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C601-48EA-8175-0CF04A9C1CA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C601-48EA-8175-0CF04A9C1CA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C601-48EA-8175-0CF04A9C1CA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C601-48EA-8175-0CF04A9C1CA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C601-48EA-8175-0CF04A9C1CA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C601-48EA-8175-0CF04A9C1CA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C601-48EA-8175-0CF04A9C1CA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C601-48EA-8175-0CF04A9C1CA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C601-48EA-8175-0CF04A9C1CA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C601-48EA-8175-0CF04A9C1CA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'[2]TORTA CONSOL'!$B$16:$B$47</c:f>
              <c:strCache>
                <c:ptCount val="32"/>
                <c:pt idx="0">
                  <c:v>CUOTA ACERIAS</c:v>
                </c:pt>
                <c:pt idx="1">
                  <c:v>ENERGIA</c:v>
                </c:pt>
                <c:pt idx="2">
                  <c:v>COMBUSTIBLE</c:v>
                </c:pt>
                <c:pt idx="3">
                  <c:v>MADERA</c:v>
                </c:pt>
                <c:pt idx="4">
                  <c:v>NOMINA </c:v>
                </c:pt>
                <c:pt idx="5">
                  <c:v>CARGA PRESTACI</c:v>
                </c:pt>
                <c:pt idx="6">
                  <c:v>INSUMOS</c:v>
                </c:pt>
                <c:pt idx="7">
                  <c:v>CALIBRACION</c:v>
                </c:pt>
                <c:pt idx="8">
                  <c:v>ELEMEN ASEO</c:v>
                </c:pt>
                <c:pt idx="9">
                  <c:v>DOTACION</c:v>
                </c:pt>
                <c:pt idx="10">
                  <c:v>EX INGRESO</c:v>
                </c:pt>
                <c:pt idx="11">
                  <c:v>PAPELERIA</c:v>
                </c:pt>
                <c:pt idx="12">
                  <c:v>PEAJES</c:v>
                </c:pt>
                <c:pt idx="13">
                  <c:v>TRANS PASA</c:v>
                </c:pt>
                <c:pt idx="14">
                  <c:v>HOSPEDAJE</c:v>
                </c:pt>
                <c:pt idx="15">
                  <c:v>VIATICOS</c:v>
                </c:pt>
                <c:pt idx="16">
                  <c:v>RESTAURANTE</c:v>
                </c:pt>
                <c:pt idx="17">
                  <c:v>MANT EQUIPOS</c:v>
                </c:pt>
                <c:pt idx="18">
                  <c:v>LEVANT TOPOGRAFICO</c:v>
                </c:pt>
                <c:pt idx="19">
                  <c:v>TRANS CARBON</c:v>
                </c:pt>
                <c:pt idx="20">
                  <c:v>TELEFONO</c:v>
                </c:pt>
                <c:pt idx="21">
                  <c:v>PLAN VENTILACION</c:v>
                </c:pt>
                <c:pt idx="22">
                  <c:v>VARIOS</c:v>
                </c:pt>
                <c:pt idx="23">
                  <c:v>PUBLICIDAD</c:v>
                </c:pt>
                <c:pt idx="24">
                  <c:v>INTERNET</c:v>
                </c:pt>
                <c:pt idx="25">
                  <c:v>ASESORES EXTERNOS</c:v>
                </c:pt>
                <c:pt idx="26">
                  <c:v>PAJARITA</c:v>
                </c:pt>
                <c:pt idx="27">
                  <c:v>ARRIENDO</c:v>
                </c:pt>
                <c:pt idx="28">
                  <c:v>% SERVIDUMBRE</c:v>
                </c:pt>
                <c:pt idx="29">
                  <c:v>DEPRECIACION</c:v>
                </c:pt>
                <c:pt idx="30">
                  <c:v>AUTORENTA</c:v>
                </c:pt>
                <c:pt idx="31">
                  <c:v>GASTOS BANCARIOS</c:v>
                </c:pt>
              </c:strCache>
            </c:strRef>
          </c:cat>
          <c:val>
            <c:numRef>
              <c:f>'[2]TORTA CONSOL'!$C$16:$C$47</c:f>
              <c:numCache>
                <c:formatCode>General</c:formatCode>
                <c:ptCount val="32"/>
                <c:pt idx="0">
                  <c:v>38000000</c:v>
                </c:pt>
                <c:pt idx="1">
                  <c:v>27757830</c:v>
                </c:pt>
                <c:pt idx="2">
                  <c:v>5553000</c:v>
                </c:pt>
                <c:pt idx="3">
                  <c:v>18000000</c:v>
                </c:pt>
                <c:pt idx="4">
                  <c:v>140893966</c:v>
                </c:pt>
                <c:pt idx="5">
                  <c:v>96216489.381400004</c:v>
                </c:pt>
                <c:pt idx="6">
                  <c:v>18974208</c:v>
                </c:pt>
                <c:pt idx="7">
                  <c:v>577933</c:v>
                </c:pt>
                <c:pt idx="8">
                  <c:v>570000</c:v>
                </c:pt>
                <c:pt idx="9">
                  <c:v>3014369</c:v>
                </c:pt>
                <c:pt idx="10">
                  <c:v>0</c:v>
                </c:pt>
                <c:pt idx="11">
                  <c:v>3400000</c:v>
                </c:pt>
                <c:pt idx="12">
                  <c:v>0</c:v>
                </c:pt>
                <c:pt idx="13">
                  <c:v>950000</c:v>
                </c:pt>
                <c:pt idx="14">
                  <c:v>0</c:v>
                </c:pt>
                <c:pt idx="15">
                  <c:v>48000</c:v>
                </c:pt>
                <c:pt idx="16">
                  <c:v>20027500</c:v>
                </c:pt>
                <c:pt idx="17">
                  <c:v>330000</c:v>
                </c:pt>
                <c:pt idx="18">
                  <c:v>0</c:v>
                </c:pt>
                <c:pt idx="19">
                  <c:v>39191040</c:v>
                </c:pt>
                <c:pt idx="20">
                  <c:v>319081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612900</c:v>
                </c:pt>
                <c:pt idx="25">
                  <c:v>45600000</c:v>
                </c:pt>
                <c:pt idx="26">
                  <c:v>20000000</c:v>
                </c:pt>
                <c:pt idx="27">
                  <c:v>650000</c:v>
                </c:pt>
                <c:pt idx="28">
                  <c:v>22655937</c:v>
                </c:pt>
                <c:pt idx="29">
                  <c:v>37099221</c:v>
                </c:pt>
                <c:pt idx="30">
                  <c:v>2473934.4</c:v>
                </c:pt>
                <c:pt idx="31">
                  <c:v>1830558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C601-48EA-8175-0CF04A9C1CA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COSTOS ABRIL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20239478168184175"/>
          <c:y val="6.4701409433647383E-2"/>
          <c:w val="0.75726083333958849"/>
          <c:h val="0.9183429065586454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9BA-45DD-B984-80DEC05634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9BA-45DD-B984-80DEC05634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9BA-45DD-B984-80DEC05634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9BA-45DD-B984-80DEC05634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9BA-45DD-B984-80DEC05634E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9BA-45DD-B984-80DEC05634E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9BA-45DD-B984-80DEC05634E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9BA-45DD-B984-80DEC05634E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9BA-45DD-B984-80DEC05634E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9BA-45DD-B984-80DEC05634E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9BA-45DD-B984-80DEC05634E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9BA-45DD-B984-80DEC05634E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9BA-45DD-B984-80DEC05634E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9BA-45DD-B984-80DEC05634E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9BA-45DD-B984-80DEC05634E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9BA-45DD-B984-80DEC05634E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9BA-45DD-B984-80DEC05634E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9BA-45DD-B984-80DEC05634E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9BA-45DD-B984-80DEC05634E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9BA-45DD-B984-80DEC05634E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9BA-45DD-B984-80DEC05634E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9BA-45DD-B984-80DEC05634E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9BA-45DD-B984-80DEC05634E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B9BA-45DD-B984-80DEC05634E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B9BA-45DD-B984-80DEC05634E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9BA-45DD-B984-80DEC05634E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9BA-45DD-B984-80DEC05634E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B9BA-45DD-B984-80DEC05634E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B9BA-45DD-B984-80DEC05634E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B9BA-45DD-B984-80DEC05634E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B9BA-45DD-B984-80DEC05634E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B9BA-45DD-B984-80DEC05634E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ABRIL!$B$20:$B$51</c:f>
              <c:strCache>
                <c:ptCount val="32"/>
                <c:pt idx="0">
                  <c:v>CUOTA ACERIAS</c:v>
                </c:pt>
                <c:pt idx="1">
                  <c:v>ENERGIA</c:v>
                </c:pt>
                <c:pt idx="2">
                  <c:v>COMBUSTIBLE</c:v>
                </c:pt>
                <c:pt idx="3">
                  <c:v>MADERA</c:v>
                </c:pt>
                <c:pt idx="4">
                  <c:v>NOMINA </c:v>
                </c:pt>
                <c:pt idx="5">
                  <c:v>CARGA PRESTACI</c:v>
                </c:pt>
                <c:pt idx="6">
                  <c:v>INSUMOS</c:v>
                </c:pt>
                <c:pt idx="7">
                  <c:v>CALIBRACION</c:v>
                </c:pt>
                <c:pt idx="8">
                  <c:v>ELEMEN ASEO</c:v>
                </c:pt>
                <c:pt idx="9">
                  <c:v>DOTACION</c:v>
                </c:pt>
                <c:pt idx="10">
                  <c:v>EXAMENES ING Y RETIRO</c:v>
                </c:pt>
                <c:pt idx="11">
                  <c:v>PAPELERIA</c:v>
                </c:pt>
                <c:pt idx="12">
                  <c:v>PEAJES</c:v>
                </c:pt>
                <c:pt idx="13">
                  <c:v>TRANS PASA</c:v>
                </c:pt>
                <c:pt idx="14">
                  <c:v>APORTES FEDERACION</c:v>
                </c:pt>
                <c:pt idx="15">
                  <c:v>VIATICOS</c:v>
                </c:pt>
                <c:pt idx="16">
                  <c:v>RESTAURANTE</c:v>
                </c:pt>
                <c:pt idx="17">
                  <c:v>MANT EQUIPOS</c:v>
                </c:pt>
                <c:pt idx="18">
                  <c:v>LEVANT TOPOGRAFICO</c:v>
                </c:pt>
                <c:pt idx="19">
                  <c:v>TRANS CARBON</c:v>
                </c:pt>
                <c:pt idx="20">
                  <c:v>TELEFONO</c:v>
                </c:pt>
                <c:pt idx="21">
                  <c:v>POLIZA</c:v>
                </c:pt>
                <c:pt idx="22">
                  <c:v>VARIOS</c:v>
                </c:pt>
                <c:pt idx="23">
                  <c:v>PUBLICIDAD</c:v>
                </c:pt>
                <c:pt idx="24">
                  <c:v>INTERNET</c:v>
                </c:pt>
                <c:pt idx="25">
                  <c:v>ASESORES EXTERNOS</c:v>
                </c:pt>
                <c:pt idx="26">
                  <c:v>PAJARITA</c:v>
                </c:pt>
                <c:pt idx="27">
                  <c:v>ARRIENDO</c:v>
                </c:pt>
                <c:pt idx="28">
                  <c:v>% SERVIDUMBRE</c:v>
                </c:pt>
                <c:pt idx="29">
                  <c:v>DEPRECIACION</c:v>
                </c:pt>
                <c:pt idx="30">
                  <c:v>AUTORENTA</c:v>
                </c:pt>
                <c:pt idx="31">
                  <c:v>GASTOS BANCARIOS</c:v>
                </c:pt>
              </c:strCache>
            </c:strRef>
          </c:cat>
          <c:val>
            <c:numRef>
              <c:f>ABRIL!$C$20:$C$51</c:f>
              <c:numCache>
                <c:formatCode>_-"$"\ * #,##0_-;\-"$"\ * #,##0_-;_-"$"\ * "-"??_-;_-@_-</c:formatCode>
                <c:ptCount val="32"/>
                <c:pt idx="0">
                  <c:v>63611017</c:v>
                </c:pt>
                <c:pt idx="1">
                  <c:v>36893750</c:v>
                </c:pt>
                <c:pt idx="2">
                  <c:v>4609346</c:v>
                </c:pt>
                <c:pt idx="3">
                  <c:v>10794500</c:v>
                </c:pt>
                <c:pt idx="4">
                  <c:v>210197784.54519475</c:v>
                </c:pt>
                <c:pt idx="5">
                  <c:v>80910432.30350399</c:v>
                </c:pt>
                <c:pt idx="6">
                  <c:v>14065477</c:v>
                </c:pt>
                <c:pt idx="7">
                  <c:v>150000</c:v>
                </c:pt>
                <c:pt idx="8">
                  <c:v>166666</c:v>
                </c:pt>
                <c:pt idx="9">
                  <c:v>7743200</c:v>
                </c:pt>
                <c:pt idx="10">
                  <c:v>880000</c:v>
                </c:pt>
                <c:pt idx="11">
                  <c:v>0</c:v>
                </c:pt>
                <c:pt idx="12">
                  <c:v>0</c:v>
                </c:pt>
                <c:pt idx="13">
                  <c:v>960000</c:v>
                </c:pt>
                <c:pt idx="14">
                  <c:v>0</c:v>
                </c:pt>
                <c:pt idx="15">
                  <c:v>4000000</c:v>
                </c:pt>
                <c:pt idx="16">
                  <c:v>20731750</c:v>
                </c:pt>
                <c:pt idx="17">
                  <c:v>0</c:v>
                </c:pt>
                <c:pt idx="18">
                  <c:v>400000</c:v>
                </c:pt>
                <c:pt idx="19">
                  <c:v>54027300</c:v>
                </c:pt>
                <c:pt idx="20">
                  <c:v>293000</c:v>
                </c:pt>
                <c:pt idx="21">
                  <c:v>1457156</c:v>
                </c:pt>
                <c:pt idx="22">
                  <c:v>0</c:v>
                </c:pt>
                <c:pt idx="23">
                  <c:v>0</c:v>
                </c:pt>
                <c:pt idx="24">
                  <c:v>537000</c:v>
                </c:pt>
                <c:pt idx="25">
                  <c:v>700000</c:v>
                </c:pt>
                <c:pt idx="26">
                  <c:v>16711772.66</c:v>
                </c:pt>
                <c:pt idx="27">
                  <c:v>750000</c:v>
                </c:pt>
                <c:pt idx="28">
                  <c:v>17864928</c:v>
                </c:pt>
                <c:pt idx="30">
                  <c:v>6267166.7999999998</c:v>
                </c:pt>
                <c:pt idx="31">
                  <c:v>2080300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6-4881-B8A7-4EC00B85B9F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COSTOS MAYO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54-4FD5-8DC5-728960336D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54-4FD5-8DC5-728960336D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54-4FD5-8DC5-728960336D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154-4FD5-8DC5-728960336D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154-4FD5-8DC5-728960336D3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154-4FD5-8DC5-728960336D3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154-4FD5-8DC5-728960336D3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154-4FD5-8DC5-728960336D3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154-4FD5-8DC5-728960336D3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154-4FD5-8DC5-728960336D3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154-4FD5-8DC5-728960336D3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154-4FD5-8DC5-728960336D3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154-4FD5-8DC5-728960336D3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154-4FD5-8DC5-728960336D3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154-4FD5-8DC5-728960336D3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154-4FD5-8DC5-728960336D3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154-4FD5-8DC5-728960336D3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154-4FD5-8DC5-728960336D3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154-4FD5-8DC5-728960336D3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154-4FD5-8DC5-728960336D3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154-4FD5-8DC5-728960336D3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154-4FD5-8DC5-728960336D3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154-4FD5-8DC5-728960336D3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B154-4FD5-8DC5-728960336D3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B154-4FD5-8DC5-728960336D3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154-4FD5-8DC5-728960336D3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154-4FD5-8DC5-728960336D3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B154-4FD5-8DC5-728960336D3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B154-4FD5-8DC5-728960336D3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B154-4FD5-8DC5-728960336D3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B154-4FD5-8DC5-728960336D3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B154-4FD5-8DC5-728960336D3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MAYO!$A$19:$A$50</c:f>
              <c:strCache>
                <c:ptCount val="32"/>
                <c:pt idx="0">
                  <c:v>ITEM</c:v>
                </c:pt>
                <c:pt idx="1">
                  <c:v>CUOTA ACERIAS</c:v>
                </c:pt>
                <c:pt idx="2">
                  <c:v>ENERGIA</c:v>
                </c:pt>
                <c:pt idx="3">
                  <c:v>COMBUSTIBLE</c:v>
                </c:pt>
                <c:pt idx="4">
                  <c:v>MADERA</c:v>
                </c:pt>
                <c:pt idx="5">
                  <c:v>NOMINA </c:v>
                </c:pt>
                <c:pt idx="6">
                  <c:v>CARGA PRESTACI</c:v>
                </c:pt>
                <c:pt idx="7">
                  <c:v>INSUMOS</c:v>
                </c:pt>
                <c:pt idx="8">
                  <c:v>CALIBRACION</c:v>
                </c:pt>
                <c:pt idx="9">
                  <c:v>ELEMEN ASEO</c:v>
                </c:pt>
                <c:pt idx="10">
                  <c:v>DOTACION</c:v>
                </c:pt>
                <c:pt idx="11">
                  <c:v>EXAMENES ING Y RETIRO</c:v>
                </c:pt>
                <c:pt idx="12">
                  <c:v>PAPELERIA</c:v>
                </c:pt>
                <c:pt idx="13">
                  <c:v>PEAJES</c:v>
                </c:pt>
                <c:pt idx="14">
                  <c:v>TRANS PASA</c:v>
                </c:pt>
                <c:pt idx="15">
                  <c:v>APORTES FEDERACION</c:v>
                </c:pt>
                <c:pt idx="16">
                  <c:v>VIATICOS</c:v>
                </c:pt>
                <c:pt idx="17">
                  <c:v>RESTAURANTE</c:v>
                </c:pt>
                <c:pt idx="18">
                  <c:v>MANT EQUIPOS</c:v>
                </c:pt>
                <c:pt idx="19">
                  <c:v>LEVANT TOPOGRAFICO</c:v>
                </c:pt>
                <c:pt idx="20">
                  <c:v>TRANS CARBON</c:v>
                </c:pt>
                <c:pt idx="21">
                  <c:v>TELEFONO</c:v>
                </c:pt>
                <c:pt idx="22">
                  <c:v>POLIZA</c:v>
                </c:pt>
                <c:pt idx="23">
                  <c:v>VARIOS</c:v>
                </c:pt>
                <c:pt idx="24">
                  <c:v>PUBLICIDAD</c:v>
                </c:pt>
                <c:pt idx="25">
                  <c:v>INTERNET</c:v>
                </c:pt>
                <c:pt idx="26">
                  <c:v>ASESORES EXTERNOS</c:v>
                </c:pt>
                <c:pt idx="27">
                  <c:v>PAJARITA</c:v>
                </c:pt>
                <c:pt idx="28">
                  <c:v>ARRIENDO</c:v>
                </c:pt>
                <c:pt idx="29">
                  <c:v>% SERVIDUMBRE</c:v>
                </c:pt>
                <c:pt idx="30">
                  <c:v>DEPRECIACION</c:v>
                </c:pt>
                <c:pt idx="31">
                  <c:v>AUTORENTA</c:v>
                </c:pt>
              </c:strCache>
            </c:strRef>
          </c:cat>
          <c:val>
            <c:numRef>
              <c:f>MAYO!$B$19:$B$50</c:f>
              <c:numCache>
                <c:formatCode>"$"\ #,##0</c:formatCode>
                <c:ptCount val="32"/>
                <c:pt idx="0" formatCode="General">
                  <c:v>0</c:v>
                </c:pt>
                <c:pt idx="1">
                  <c:v>63611017</c:v>
                </c:pt>
                <c:pt idx="2" formatCode="[$$-240A]\ #,##0;\-[$$-240A]\ #,##0">
                  <c:v>31502690</c:v>
                </c:pt>
                <c:pt idx="3" formatCode="[$$-240A]\ #,##0;\-[$$-240A]\ #,##0">
                  <c:v>11596960</c:v>
                </c:pt>
                <c:pt idx="4" formatCode="[$$-240A]\ #,##0;\-[$$-240A]\ #,##0">
                  <c:v>9099500</c:v>
                </c:pt>
                <c:pt idx="5" formatCode="[$$-240A]\ #,##0;\-[$$-240A]\ #,##0">
                  <c:v>157253477.27370131</c:v>
                </c:pt>
                <c:pt idx="6" formatCode="[$$-240A]\ #,##0;\-[$$-240A]\ #,##0">
                  <c:v>81142043.52248238</c:v>
                </c:pt>
                <c:pt idx="7" formatCode="[$$-240A]\ #,##0;\-[$$-240A]\ #,##0">
                  <c:v>19639123.899999999</c:v>
                </c:pt>
                <c:pt idx="8" formatCode="[$$-240A]\ #,##0;\-[$$-240A]\ #,##0">
                  <c:v>0</c:v>
                </c:pt>
                <c:pt idx="9" formatCode="[$$-240A]\ #,##0;\-[$$-240A]\ #,##0">
                  <c:v>166666</c:v>
                </c:pt>
                <c:pt idx="10" formatCode="[$$-240A]\ #,##0;\-[$$-240A]\ #,##0">
                  <c:v>1095800</c:v>
                </c:pt>
                <c:pt idx="11" formatCode="[$$-240A]\ #,##0;\-[$$-240A]\ #,##0">
                  <c:v>3480000</c:v>
                </c:pt>
                <c:pt idx="12" formatCode="[$$-240A]\ #,##0;\-[$$-240A]\ #,##0">
                  <c:v>0</c:v>
                </c:pt>
                <c:pt idx="13" formatCode="[$$-240A]\ #,##0;\-[$$-240A]\ #,##0">
                  <c:v>0</c:v>
                </c:pt>
                <c:pt idx="14" formatCode="[$$-240A]\ #,##0;\-[$$-240A]\ #,##0">
                  <c:v>960000</c:v>
                </c:pt>
                <c:pt idx="15" formatCode="[$$-240A]\ #,##0;\-[$$-240A]\ #,##0">
                  <c:v>0</c:v>
                </c:pt>
                <c:pt idx="16" formatCode="[$$-240A]\ #,##0;\-[$$-240A]\ #,##0">
                  <c:v>4000000</c:v>
                </c:pt>
                <c:pt idx="17" formatCode="[$$-240A]\ #,##0;\-[$$-240A]\ #,##0">
                  <c:v>23087468</c:v>
                </c:pt>
                <c:pt idx="18" formatCode="[$$-240A]\ #,##0;\-[$$-240A]\ #,##0">
                  <c:v>0</c:v>
                </c:pt>
                <c:pt idx="19" formatCode="[$$-240A]\ #,##0;\-[$$-240A]\ #,##0">
                  <c:v>400000</c:v>
                </c:pt>
                <c:pt idx="20" formatCode="[$$-240A]\ #,##0;\-[$$-240A]\ #,##0">
                  <c:v>49921100</c:v>
                </c:pt>
                <c:pt idx="21" formatCode="[$$-240A]\ #,##0;\-[$$-240A]\ #,##0">
                  <c:v>293000</c:v>
                </c:pt>
                <c:pt idx="22" formatCode="[$$-240A]\ #,##0;\-[$$-240A]\ #,##0">
                  <c:v>1457156</c:v>
                </c:pt>
                <c:pt idx="23" formatCode="[$$-240A]\ #,##0;\-[$$-240A]\ #,##0">
                  <c:v>0</c:v>
                </c:pt>
                <c:pt idx="24" formatCode="[$$-240A]\ #,##0;\-[$$-240A]\ #,##0">
                  <c:v>0</c:v>
                </c:pt>
                <c:pt idx="25" formatCode="[$$-240A]\ #,##0;\-[$$-240A]\ #,##0">
                  <c:v>537000</c:v>
                </c:pt>
                <c:pt idx="26" formatCode="[$$-240A]\ #,##0;\-[$$-240A]\ #,##0">
                  <c:v>700000</c:v>
                </c:pt>
                <c:pt idx="27" formatCode="[$$-240A]\ #,##0;\-[$$-240A]\ #,##0">
                  <c:v>16711772.66</c:v>
                </c:pt>
                <c:pt idx="28" formatCode="[$$-240A]\ #,##0;\-[$$-240A]\ #,##0">
                  <c:v>750000</c:v>
                </c:pt>
                <c:pt idx="29" formatCode="[$$-240A]\ #,##0;\-[$$-240A]\ #,##0">
                  <c:v>19483078.399999999</c:v>
                </c:pt>
                <c:pt idx="31" formatCode="[$$-240A]\ #,##0;\-[$$-240A]\ #,##0">
                  <c:v>6835102.7999999989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9-48FC-B7B6-097A8405D02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COSTOS JUNIO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F8C-4F92-A9AC-DE65555E80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F8C-4F92-A9AC-DE65555E80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F8C-4F92-A9AC-DE65555E80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F8C-4F92-A9AC-DE65555E80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F8C-4F92-A9AC-DE65555E80A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F8C-4F92-A9AC-DE65555E80A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F8C-4F92-A9AC-DE65555E80A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F8C-4F92-A9AC-DE65555E80A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F8C-4F92-A9AC-DE65555E80A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F8C-4F92-A9AC-DE65555E80A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F8C-4F92-A9AC-DE65555E80A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F8C-4F92-A9AC-DE65555E80A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F8C-4F92-A9AC-DE65555E80A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F8C-4F92-A9AC-DE65555E80A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F8C-4F92-A9AC-DE65555E80A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F8C-4F92-A9AC-DE65555E80A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6F8C-4F92-A9AC-DE65555E80A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6F8C-4F92-A9AC-DE65555E80A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6F8C-4F92-A9AC-DE65555E80A2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6F8C-4F92-A9AC-DE65555E80A2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6F8C-4F92-A9AC-DE65555E80A2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6F8C-4F92-A9AC-DE65555E80A2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6F8C-4F92-A9AC-DE65555E80A2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6F8C-4F92-A9AC-DE65555E80A2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6F8C-4F92-A9AC-DE65555E80A2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6F8C-4F92-A9AC-DE65555E80A2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6F8C-4F92-A9AC-DE65555E80A2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6F8C-4F92-A9AC-DE65555E80A2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6F8C-4F92-A9AC-DE65555E80A2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6F8C-4F92-A9AC-DE65555E80A2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6F8C-4F92-A9AC-DE65555E80A2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6F8C-4F92-A9AC-DE65555E80A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JUNIO!$A$18:$A$49</c:f>
              <c:strCache>
                <c:ptCount val="32"/>
                <c:pt idx="0">
                  <c:v>CUOTA ACERIAS</c:v>
                </c:pt>
                <c:pt idx="1">
                  <c:v>ENERGIA</c:v>
                </c:pt>
                <c:pt idx="2">
                  <c:v>COMBUSTIBLE</c:v>
                </c:pt>
                <c:pt idx="3">
                  <c:v>MADERA</c:v>
                </c:pt>
                <c:pt idx="4">
                  <c:v>NOMINA </c:v>
                </c:pt>
                <c:pt idx="5">
                  <c:v>CARGA PRESTACI</c:v>
                </c:pt>
                <c:pt idx="6">
                  <c:v>INSUMOS</c:v>
                </c:pt>
                <c:pt idx="7">
                  <c:v>CALIBRACION</c:v>
                </c:pt>
                <c:pt idx="8">
                  <c:v>ELEMEN ASEO</c:v>
                </c:pt>
                <c:pt idx="9">
                  <c:v>DOTACION</c:v>
                </c:pt>
                <c:pt idx="10">
                  <c:v>EXAMENES ING Y RETIRO</c:v>
                </c:pt>
                <c:pt idx="11">
                  <c:v>PAPELERIA</c:v>
                </c:pt>
                <c:pt idx="12">
                  <c:v>PEAJES</c:v>
                </c:pt>
                <c:pt idx="13">
                  <c:v>TRANS PASA</c:v>
                </c:pt>
                <c:pt idx="14">
                  <c:v>APORTES FEDERACION</c:v>
                </c:pt>
                <c:pt idx="15">
                  <c:v>VIATICOS</c:v>
                </c:pt>
                <c:pt idx="16">
                  <c:v>RESTAURANTE</c:v>
                </c:pt>
                <c:pt idx="17">
                  <c:v>MANT EQUIPOS</c:v>
                </c:pt>
                <c:pt idx="18">
                  <c:v>LEVANT TOPOGRAFICO</c:v>
                </c:pt>
                <c:pt idx="19">
                  <c:v>TRANS CARBON</c:v>
                </c:pt>
                <c:pt idx="20">
                  <c:v>TELEFONO</c:v>
                </c:pt>
                <c:pt idx="21">
                  <c:v>POLIZA</c:v>
                </c:pt>
                <c:pt idx="22">
                  <c:v>VARIOS</c:v>
                </c:pt>
                <c:pt idx="23">
                  <c:v>PUBLICIDAD</c:v>
                </c:pt>
                <c:pt idx="24">
                  <c:v>INTERNET</c:v>
                </c:pt>
                <c:pt idx="25">
                  <c:v>ASESORES EXTERNOS</c:v>
                </c:pt>
                <c:pt idx="26">
                  <c:v>PAJARITA</c:v>
                </c:pt>
                <c:pt idx="27">
                  <c:v>ARRIENDO</c:v>
                </c:pt>
                <c:pt idx="28">
                  <c:v>% SERVIDUMBRE</c:v>
                </c:pt>
                <c:pt idx="29">
                  <c:v>DEPRECIACION</c:v>
                </c:pt>
                <c:pt idx="30">
                  <c:v>AUTORENTA</c:v>
                </c:pt>
                <c:pt idx="31">
                  <c:v>GASTOS BANCARIOS</c:v>
                </c:pt>
              </c:strCache>
            </c:strRef>
          </c:cat>
          <c:val>
            <c:numRef>
              <c:f>JUNIO!$B$18:$B$49</c:f>
              <c:numCache>
                <c:formatCode>[$$-240A]\ #,##0;\-[$$-240A]\ #,##0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B790-44B4-82FF-E79B2ACCDCD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COSTOS JULIO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CEC-49AC-8E12-81B1336061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CEC-49AC-8E12-81B1336061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CEC-49AC-8E12-81B1336061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CEC-49AC-8E12-81B1336061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CEC-49AC-8E12-81B13360610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CEC-49AC-8E12-81B13360610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CEC-49AC-8E12-81B13360610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CEC-49AC-8E12-81B13360610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CEC-49AC-8E12-81B13360610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CEC-49AC-8E12-81B13360610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CEC-49AC-8E12-81B13360610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CEC-49AC-8E12-81B13360610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CEC-49AC-8E12-81B13360610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CEC-49AC-8E12-81B13360610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CEC-49AC-8E12-81B13360610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CEC-49AC-8E12-81B13360610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6CEC-49AC-8E12-81B13360610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6CEC-49AC-8E12-81B13360610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6CEC-49AC-8E12-81B13360610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6CEC-49AC-8E12-81B13360610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6CEC-49AC-8E12-81B133606104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6CEC-49AC-8E12-81B13360610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6CEC-49AC-8E12-81B133606104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6CEC-49AC-8E12-81B13360610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6CEC-49AC-8E12-81B133606104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6CEC-49AC-8E12-81B133606104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6CEC-49AC-8E12-81B133606104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6CEC-49AC-8E12-81B133606104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6CEC-49AC-8E12-81B133606104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6CEC-49AC-8E12-81B13360610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6CEC-49AC-8E12-81B133606104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6CEC-49AC-8E12-81B13360610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JUNIO!$A$18:$A$49</c:f>
              <c:strCache>
                <c:ptCount val="32"/>
                <c:pt idx="0">
                  <c:v>CUOTA ACERIAS</c:v>
                </c:pt>
                <c:pt idx="1">
                  <c:v>ENERGIA</c:v>
                </c:pt>
                <c:pt idx="2">
                  <c:v>COMBUSTIBLE</c:v>
                </c:pt>
                <c:pt idx="3">
                  <c:v>MADERA</c:v>
                </c:pt>
                <c:pt idx="4">
                  <c:v>NOMINA </c:v>
                </c:pt>
                <c:pt idx="5">
                  <c:v>CARGA PRESTACI</c:v>
                </c:pt>
                <c:pt idx="6">
                  <c:v>INSUMOS</c:v>
                </c:pt>
                <c:pt idx="7">
                  <c:v>CALIBRACION</c:v>
                </c:pt>
                <c:pt idx="8">
                  <c:v>ELEMEN ASEO</c:v>
                </c:pt>
                <c:pt idx="9">
                  <c:v>DOTACION</c:v>
                </c:pt>
                <c:pt idx="10">
                  <c:v>EXAMENES ING Y RETIRO</c:v>
                </c:pt>
                <c:pt idx="11">
                  <c:v>PAPELERIA</c:v>
                </c:pt>
                <c:pt idx="12">
                  <c:v>PEAJES</c:v>
                </c:pt>
                <c:pt idx="13">
                  <c:v>TRANS PASA</c:v>
                </c:pt>
                <c:pt idx="14">
                  <c:v>APORTES FEDERACION</c:v>
                </c:pt>
                <c:pt idx="15">
                  <c:v>VIATICOS</c:v>
                </c:pt>
                <c:pt idx="16">
                  <c:v>RESTAURANTE</c:v>
                </c:pt>
                <c:pt idx="17">
                  <c:v>MANT EQUIPOS</c:v>
                </c:pt>
                <c:pt idx="18">
                  <c:v>LEVANT TOPOGRAFICO</c:v>
                </c:pt>
                <c:pt idx="19">
                  <c:v>TRANS CARBON</c:v>
                </c:pt>
                <c:pt idx="20">
                  <c:v>TELEFONO</c:v>
                </c:pt>
                <c:pt idx="21">
                  <c:v>POLIZA</c:v>
                </c:pt>
                <c:pt idx="22">
                  <c:v>VARIOS</c:v>
                </c:pt>
                <c:pt idx="23">
                  <c:v>PUBLICIDAD</c:v>
                </c:pt>
                <c:pt idx="24">
                  <c:v>INTERNET</c:v>
                </c:pt>
                <c:pt idx="25">
                  <c:v>ASESORES EXTERNOS</c:v>
                </c:pt>
                <c:pt idx="26">
                  <c:v>PAJARITA</c:v>
                </c:pt>
                <c:pt idx="27">
                  <c:v>ARRIENDO</c:v>
                </c:pt>
                <c:pt idx="28">
                  <c:v>% SERVIDUMBRE</c:v>
                </c:pt>
                <c:pt idx="29">
                  <c:v>DEPRECIACION</c:v>
                </c:pt>
                <c:pt idx="30">
                  <c:v>AUTORENTA</c:v>
                </c:pt>
                <c:pt idx="31">
                  <c:v>GASTOS BANCARIOS</c:v>
                </c:pt>
              </c:strCache>
            </c:strRef>
          </c:cat>
          <c:val>
            <c:numRef>
              <c:f>JUNIO!$B$18:$B$49</c:f>
              <c:numCache>
                <c:formatCode>[$$-240A]\ #,##0;\-[$$-240A]\ #,##0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40-6CEC-49AC-8E12-81B13360610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COSTOS AGOSTO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76-4F54-B8F2-615C1F3B63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76-4F54-B8F2-615C1F3B63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76-4F54-B8F2-615C1F3B63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176-4F54-B8F2-615C1F3B63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176-4F54-B8F2-615C1F3B63E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176-4F54-B8F2-615C1F3B63E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176-4F54-B8F2-615C1F3B63E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176-4F54-B8F2-615C1F3B63E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176-4F54-B8F2-615C1F3B63E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176-4F54-B8F2-615C1F3B63E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176-4F54-B8F2-615C1F3B63E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176-4F54-B8F2-615C1F3B63E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176-4F54-B8F2-615C1F3B63E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176-4F54-B8F2-615C1F3B63E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176-4F54-B8F2-615C1F3B63E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176-4F54-B8F2-615C1F3B63E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176-4F54-B8F2-615C1F3B63E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176-4F54-B8F2-615C1F3B63E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176-4F54-B8F2-615C1F3B63E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176-4F54-B8F2-615C1F3B63E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176-4F54-B8F2-615C1F3B63E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176-4F54-B8F2-615C1F3B63E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176-4F54-B8F2-615C1F3B63E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B176-4F54-B8F2-615C1F3B63E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B176-4F54-B8F2-615C1F3B63E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176-4F54-B8F2-615C1F3B63E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176-4F54-B8F2-615C1F3B63E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B176-4F54-B8F2-615C1F3B63E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B176-4F54-B8F2-615C1F3B63E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B176-4F54-B8F2-615C1F3B63E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B176-4F54-B8F2-615C1F3B63E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B176-4F54-B8F2-615C1F3B63E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AGOSTO!$A$18:$A$49</c:f>
              <c:strCache>
                <c:ptCount val="32"/>
                <c:pt idx="0">
                  <c:v>CUOTA ACERIAS</c:v>
                </c:pt>
                <c:pt idx="1">
                  <c:v>ENERGIA</c:v>
                </c:pt>
                <c:pt idx="2">
                  <c:v>COMBUSTIBLE</c:v>
                </c:pt>
                <c:pt idx="3">
                  <c:v>MADERA</c:v>
                </c:pt>
                <c:pt idx="4">
                  <c:v>NOMINA </c:v>
                </c:pt>
                <c:pt idx="5">
                  <c:v>CARGA PRESTACI</c:v>
                </c:pt>
                <c:pt idx="6">
                  <c:v>INSUMOS</c:v>
                </c:pt>
                <c:pt idx="7">
                  <c:v>CALIBRACION</c:v>
                </c:pt>
                <c:pt idx="8">
                  <c:v>ELEMEN ASEO</c:v>
                </c:pt>
                <c:pt idx="9">
                  <c:v>DOTACION</c:v>
                </c:pt>
                <c:pt idx="10">
                  <c:v>EXAMENES ING Y RETIRO</c:v>
                </c:pt>
                <c:pt idx="11">
                  <c:v>PAPELERIA</c:v>
                </c:pt>
                <c:pt idx="12">
                  <c:v>PEAJES</c:v>
                </c:pt>
                <c:pt idx="13">
                  <c:v>TRANS PASA</c:v>
                </c:pt>
                <c:pt idx="14">
                  <c:v>APORTES FEDERACION</c:v>
                </c:pt>
                <c:pt idx="15">
                  <c:v>VIATICOS</c:v>
                </c:pt>
                <c:pt idx="16">
                  <c:v>RESTAURANTE</c:v>
                </c:pt>
                <c:pt idx="17">
                  <c:v>MANT EQUIPOS</c:v>
                </c:pt>
                <c:pt idx="18">
                  <c:v>LEVANT TOPOGRAFICO</c:v>
                </c:pt>
                <c:pt idx="19">
                  <c:v>TRANS CARBON</c:v>
                </c:pt>
                <c:pt idx="20">
                  <c:v>TELEFONO</c:v>
                </c:pt>
                <c:pt idx="21">
                  <c:v>POLIZA</c:v>
                </c:pt>
                <c:pt idx="22">
                  <c:v>VARIOS</c:v>
                </c:pt>
                <c:pt idx="23">
                  <c:v>PUBLICIDAD</c:v>
                </c:pt>
                <c:pt idx="24">
                  <c:v>INTERNET</c:v>
                </c:pt>
                <c:pt idx="25">
                  <c:v>ASESORES EXTERNOS</c:v>
                </c:pt>
                <c:pt idx="26">
                  <c:v>PAJARITA</c:v>
                </c:pt>
                <c:pt idx="27">
                  <c:v>ARRIENDO</c:v>
                </c:pt>
                <c:pt idx="28">
                  <c:v>% SERVIDUMBRE</c:v>
                </c:pt>
                <c:pt idx="29">
                  <c:v>DEPRECIACION</c:v>
                </c:pt>
                <c:pt idx="30">
                  <c:v>AUTORENTA</c:v>
                </c:pt>
                <c:pt idx="31">
                  <c:v>GASTOS BANCARIOS</c:v>
                </c:pt>
              </c:strCache>
            </c:strRef>
          </c:cat>
          <c:val>
            <c:numRef>
              <c:f>AGOSTO!$B$18:$B$49</c:f>
              <c:numCache>
                <c:formatCode>[$$-240A]\ #,##0;\-[$$-240A]\ #,##0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E0F0-4B19-AFF2-369EC17BD31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SEPTIEMBRE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12-4FC4-9D0E-78F2CA1B76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12-4FC4-9D0E-78F2CA1B76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D12-4FC4-9D0E-78F2CA1B76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D12-4FC4-9D0E-78F2CA1B768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D12-4FC4-9D0E-78F2CA1B768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D12-4FC4-9D0E-78F2CA1B768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D12-4FC4-9D0E-78F2CA1B768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D12-4FC4-9D0E-78F2CA1B768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D12-4FC4-9D0E-78F2CA1B768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D12-4FC4-9D0E-78F2CA1B768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D12-4FC4-9D0E-78F2CA1B768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D12-4FC4-9D0E-78F2CA1B768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D12-4FC4-9D0E-78F2CA1B768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D12-4FC4-9D0E-78F2CA1B768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D12-4FC4-9D0E-78F2CA1B768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D12-4FC4-9D0E-78F2CA1B768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9D12-4FC4-9D0E-78F2CA1B768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9D12-4FC4-9D0E-78F2CA1B768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9D12-4FC4-9D0E-78F2CA1B768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9D12-4FC4-9D0E-78F2CA1B768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9D12-4FC4-9D0E-78F2CA1B768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9D12-4FC4-9D0E-78F2CA1B768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9D12-4FC4-9D0E-78F2CA1B768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9D12-4FC4-9D0E-78F2CA1B768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9D12-4FC4-9D0E-78F2CA1B768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9D12-4FC4-9D0E-78F2CA1B768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9D12-4FC4-9D0E-78F2CA1B768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9D12-4FC4-9D0E-78F2CA1B768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9D12-4FC4-9D0E-78F2CA1B768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9D12-4FC4-9D0E-78F2CA1B768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9D12-4FC4-9D0E-78F2CA1B768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9D12-4FC4-9D0E-78F2CA1B768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AGOSTO!$A$18:$A$49</c:f>
              <c:strCache>
                <c:ptCount val="32"/>
                <c:pt idx="0">
                  <c:v>CUOTA ACERIAS</c:v>
                </c:pt>
                <c:pt idx="1">
                  <c:v>ENERGIA</c:v>
                </c:pt>
                <c:pt idx="2">
                  <c:v>COMBUSTIBLE</c:v>
                </c:pt>
                <c:pt idx="3">
                  <c:v>MADERA</c:v>
                </c:pt>
                <c:pt idx="4">
                  <c:v>NOMINA </c:v>
                </c:pt>
                <c:pt idx="5">
                  <c:v>CARGA PRESTACI</c:v>
                </c:pt>
                <c:pt idx="6">
                  <c:v>INSUMOS</c:v>
                </c:pt>
                <c:pt idx="7">
                  <c:v>CALIBRACION</c:v>
                </c:pt>
                <c:pt idx="8">
                  <c:v>ELEMEN ASEO</c:v>
                </c:pt>
                <c:pt idx="9">
                  <c:v>DOTACION</c:v>
                </c:pt>
                <c:pt idx="10">
                  <c:v>EXAMENES ING Y RETIRO</c:v>
                </c:pt>
                <c:pt idx="11">
                  <c:v>PAPELERIA</c:v>
                </c:pt>
                <c:pt idx="12">
                  <c:v>PEAJES</c:v>
                </c:pt>
                <c:pt idx="13">
                  <c:v>TRANS PASA</c:v>
                </c:pt>
                <c:pt idx="14">
                  <c:v>APORTES FEDERACION</c:v>
                </c:pt>
                <c:pt idx="15">
                  <c:v>VIATICOS</c:v>
                </c:pt>
                <c:pt idx="16">
                  <c:v>RESTAURANTE</c:v>
                </c:pt>
                <c:pt idx="17">
                  <c:v>MANT EQUIPOS</c:v>
                </c:pt>
                <c:pt idx="18">
                  <c:v>LEVANT TOPOGRAFICO</c:v>
                </c:pt>
                <c:pt idx="19">
                  <c:v>TRANS CARBON</c:v>
                </c:pt>
                <c:pt idx="20">
                  <c:v>TELEFONO</c:v>
                </c:pt>
                <c:pt idx="21">
                  <c:v>POLIZA</c:v>
                </c:pt>
                <c:pt idx="22">
                  <c:v>VARIOS</c:v>
                </c:pt>
                <c:pt idx="23">
                  <c:v>PUBLICIDAD</c:v>
                </c:pt>
                <c:pt idx="24">
                  <c:v>INTERNET</c:v>
                </c:pt>
                <c:pt idx="25">
                  <c:v>ASESORES EXTERNOS</c:v>
                </c:pt>
                <c:pt idx="26">
                  <c:v>PAJARITA</c:v>
                </c:pt>
                <c:pt idx="27">
                  <c:v>ARRIENDO</c:v>
                </c:pt>
                <c:pt idx="28">
                  <c:v>% SERVIDUMBRE</c:v>
                </c:pt>
                <c:pt idx="29">
                  <c:v>DEPRECIACION</c:v>
                </c:pt>
                <c:pt idx="30">
                  <c:v>AUTORENTA</c:v>
                </c:pt>
                <c:pt idx="31">
                  <c:v>GASTOS BANCARIOS</c:v>
                </c:pt>
              </c:strCache>
            </c:strRef>
          </c:cat>
          <c:val>
            <c:numRef>
              <c:f>AGOSTO!$B$18:$B$49</c:f>
              <c:numCache>
                <c:formatCode>[$$-240A]\ #,##0;\-[$$-240A]\ #,##0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40-9D12-4FC4-9D0E-78F2CA1B768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OCTUBRE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8E-4F49-A74C-1652EB0820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8E-4F49-A74C-1652EB0820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8E-4F49-A74C-1652EB0820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88E-4F49-A74C-1652EB0820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88E-4F49-A74C-1652EB08203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88E-4F49-A74C-1652EB08203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88E-4F49-A74C-1652EB08203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88E-4F49-A74C-1652EB08203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88E-4F49-A74C-1652EB08203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88E-4F49-A74C-1652EB08203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88E-4F49-A74C-1652EB08203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88E-4F49-A74C-1652EB08203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88E-4F49-A74C-1652EB08203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88E-4F49-A74C-1652EB08203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88E-4F49-A74C-1652EB08203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88E-4F49-A74C-1652EB08203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88E-4F49-A74C-1652EB08203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88E-4F49-A74C-1652EB08203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88E-4F49-A74C-1652EB08203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88E-4F49-A74C-1652EB08203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88E-4F49-A74C-1652EB08203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88E-4F49-A74C-1652EB08203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88E-4F49-A74C-1652EB08203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B88E-4F49-A74C-1652EB08203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B88E-4F49-A74C-1652EB08203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88E-4F49-A74C-1652EB08203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88E-4F49-A74C-1652EB08203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B88E-4F49-A74C-1652EB08203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B88E-4F49-A74C-1652EB08203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B88E-4F49-A74C-1652EB08203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B88E-4F49-A74C-1652EB08203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A2F9-4FD0-B651-D2D2E56B10A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'[3]TORTA CONSOL'!$B$16:$B$47</c:f>
              <c:strCache>
                <c:ptCount val="32"/>
                <c:pt idx="0">
                  <c:v>CUOTA ACERIAS</c:v>
                </c:pt>
                <c:pt idx="1">
                  <c:v>ENERGIA</c:v>
                </c:pt>
                <c:pt idx="2">
                  <c:v>COMBUSTIBLE</c:v>
                </c:pt>
                <c:pt idx="3">
                  <c:v>MADERA</c:v>
                </c:pt>
                <c:pt idx="4">
                  <c:v>NOMINA </c:v>
                </c:pt>
                <c:pt idx="5">
                  <c:v>CARGA PRESTACI</c:v>
                </c:pt>
                <c:pt idx="6">
                  <c:v>INSUMOS</c:v>
                </c:pt>
                <c:pt idx="7">
                  <c:v>CALIBRACION</c:v>
                </c:pt>
                <c:pt idx="8">
                  <c:v>ELEMEN ASEO</c:v>
                </c:pt>
                <c:pt idx="9">
                  <c:v>DOTACION</c:v>
                </c:pt>
                <c:pt idx="10">
                  <c:v>EX INGRESO</c:v>
                </c:pt>
                <c:pt idx="11">
                  <c:v>PAPELERIA</c:v>
                </c:pt>
                <c:pt idx="12">
                  <c:v>PEAJES</c:v>
                </c:pt>
                <c:pt idx="13">
                  <c:v>TRANS PASA</c:v>
                </c:pt>
                <c:pt idx="14">
                  <c:v>HOSPEDAJE</c:v>
                </c:pt>
                <c:pt idx="15">
                  <c:v>VIATICOS</c:v>
                </c:pt>
                <c:pt idx="16">
                  <c:v>RESTAURANTE</c:v>
                </c:pt>
                <c:pt idx="17">
                  <c:v>MANT EQUIPOS</c:v>
                </c:pt>
                <c:pt idx="18">
                  <c:v>LEVANT TOPOGRAFICO</c:v>
                </c:pt>
                <c:pt idx="19">
                  <c:v>TRANS CARBON</c:v>
                </c:pt>
                <c:pt idx="20">
                  <c:v>TELEFONO</c:v>
                </c:pt>
                <c:pt idx="21">
                  <c:v>LEVANTAMIENTO TOPOGRAFICO</c:v>
                </c:pt>
                <c:pt idx="22">
                  <c:v>VARIOS</c:v>
                </c:pt>
                <c:pt idx="23">
                  <c:v>PUBLICIDAD</c:v>
                </c:pt>
                <c:pt idx="24">
                  <c:v>INTERNET</c:v>
                </c:pt>
                <c:pt idx="25">
                  <c:v>ASESORES EXTERNOS</c:v>
                </c:pt>
                <c:pt idx="26">
                  <c:v>PAJARITA</c:v>
                </c:pt>
                <c:pt idx="27">
                  <c:v>ARRIENDO</c:v>
                </c:pt>
                <c:pt idx="28">
                  <c:v>% SERVIDUMBRE</c:v>
                </c:pt>
                <c:pt idx="29">
                  <c:v>DEPRECIACION</c:v>
                </c:pt>
                <c:pt idx="30">
                  <c:v>AUTORENTA</c:v>
                </c:pt>
                <c:pt idx="31">
                  <c:v>GASTOS BANCARIOS</c:v>
                </c:pt>
              </c:strCache>
            </c:strRef>
          </c:cat>
          <c:val>
            <c:numRef>
              <c:f>'[3]TORTA CONSOL'!$C$16:$C$47</c:f>
              <c:numCache>
                <c:formatCode>General</c:formatCode>
                <c:ptCount val="32"/>
                <c:pt idx="0">
                  <c:v>38000000</c:v>
                </c:pt>
                <c:pt idx="1">
                  <c:v>69709830</c:v>
                </c:pt>
                <c:pt idx="2">
                  <c:v>6748000</c:v>
                </c:pt>
                <c:pt idx="3">
                  <c:v>18000000</c:v>
                </c:pt>
                <c:pt idx="4">
                  <c:v>163014856</c:v>
                </c:pt>
                <c:pt idx="5">
                  <c:v>111322845.16240001</c:v>
                </c:pt>
                <c:pt idx="6">
                  <c:v>17700455</c:v>
                </c:pt>
                <c:pt idx="7">
                  <c:v>0</c:v>
                </c:pt>
                <c:pt idx="8">
                  <c:v>0</c:v>
                </c:pt>
                <c:pt idx="9">
                  <c:v>2935000</c:v>
                </c:pt>
                <c:pt idx="10">
                  <c:v>0</c:v>
                </c:pt>
                <c:pt idx="11">
                  <c:v>96000</c:v>
                </c:pt>
                <c:pt idx="12">
                  <c:v>100000</c:v>
                </c:pt>
                <c:pt idx="13">
                  <c:v>720000</c:v>
                </c:pt>
                <c:pt idx="14">
                  <c:v>0</c:v>
                </c:pt>
                <c:pt idx="15">
                  <c:v>240000</c:v>
                </c:pt>
                <c:pt idx="16">
                  <c:v>34142500</c:v>
                </c:pt>
                <c:pt idx="17">
                  <c:v>2098000</c:v>
                </c:pt>
                <c:pt idx="18">
                  <c:v>0</c:v>
                </c:pt>
                <c:pt idx="19">
                  <c:v>61567040</c:v>
                </c:pt>
                <c:pt idx="20">
                  <c:v>319081</c:v>
                </c:pt>
                <c:pt idx="21">
                  <c:v>2534200</c:v>
                </c:pt>
                <c:pt idx="22">
                  <c:v>0</c:v>
                </c:pt>
                <c:pt idx="23">
                  <c:v>0</c:v>
                </c:pt>
                <c:pt idx="24">
                  <c:v>450000</c:v>
                </c:pt>
                <c:pt idx="25">
                  <c:v>700000</c:v>
                </c:pt>
                <c:pt idx="26">
                  <c:v>14000000</c:v>
                </c:pt>
                <c:pt idx="27">
                  <c:v>750000</c:v>
                </c:pt>
                <c:pt idx="28">
                  <c:v>27276358</c:v>
                </c:pt>
                <c:pt idx="29">
                  <c:v>37099221</c:v>
                </c:pt>
                <c:pt idx="30">
                  <c:v>3920622.7766750003</c:v>
                </c:pt>
                <c:pt idx="31">
                  <c:v>1935000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B88E-4F49-A74C-1652EB08203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NOVIEMBRE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3.3371251228429918E-2"/>
          <c:y val="0.17888238338038948"/>
          <c:w val="0.75088062360525132"/>
          <c:h val="0.6136904233728183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49-401A-AD3F-D496B97A99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49-401A-AD3F-D496B97A99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F49-401A-AD3F-D496B97A99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F49-401A-AD3F-D496B97A99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F49-401A-AD3F-D496B97A990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F49-401A-AD3F-D496B97A990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F49-401A-AD3F-D496B97A990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F49-401A-AD3F-D496B97A990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F49-401A-AD3F-D496B97A990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F49-401A-AD3F-D496B97A990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F49-401A-AD3F-D496B97A990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F49-401A-AD3F-D496B97A990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3F49-401A-AD3F-D496B97A990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3F49-401A-AD3F-D496B97A990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3F49-401A-AD3F-D496B97A990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3F49-401A-AD3F-D496B97A990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3F49-401A-AD3F-D496B97A990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3F49-401A-AD3F-D496B97A990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3F49-401A-AD3F-D496B97A990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3F49-401A-AD3F-D496B97A990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3F49-401A-AD3F-D496B97A990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3F49-401A-AD3F-D496B97A990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3F49-401A-AD3F-D496B97A990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3F49-401A-AD3F-D496B97A990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3F49-401A-AD3F-D496B97A990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3F49-401A-AD3F-D496B97A990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3F49-401A-AD3F-D496B97A990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3F49-401A-AD3F-D496B97A990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3F49-401A-AD3F-D496B97A990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3F49-401A-AD3F-D496B97A990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3F49-401A-AD3F-D496B97A990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891A-4908-B734-47AA10014E9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'[4]TORTA CONSOL'!$B$16:$B$47</c:f>
              <c:strCache>
                <c:ptCount val="32"/>
                <c:pt idx="0">
                  <c:v>CUOTA ACERIAS</c:v>
                </c:pt>
                <c:pt idx="1">
                  <c:v>ENERGIA</c:v>
                </c:pt>
                <c:pt idx="2">
                  <c:v>COMBUSTIBLE</c:v>
                </c:pt>
                <c:pt idx="3">
                  <c:v>MADERA</c:v>
                </c:pt>
                <c:pt idx="4">
                  <c:v>NOMINA </c:v>
                </c:pt>
                <c:pt idx="5">
                  <c:v>CARGA PRESTACI</c:v>
                </c:pt>
                <c:pt idx="6">
                  <c:v>INSUMOS</c:v>
                </c:pt>
                <c:pt idx="7">
                  <c:v>CALIBRACION</c:v>
                </c:pt>
                <c:pt idx="8">
                  <c:v>ELEMEN ASEO</c:v>
                </c:pt>
                <c:pt idx="9">
                  <c:v>DOTACION</c:v>
                </c:pt>
                <c:pt idx="10">
                  <c:v>EX INGRESO</c:v>
                </c:pt>
                <c:pt idx="11">
                  <c:v>PAPELERIA</c:v>
                </c:pt>
                <c:pt idx="12">
                  <c:v>PEAJES</c:v>
                </c:pt>
                <c:pt idx="13">
                  <c:v>TRANS PASA</c:v>
                </c:pt>
                <c:pt idx="14">
                  <c:v>HOSPEDAJE</c:v>
                </c:pt>
                <c:pt idx="15">
                  <c:v>VIATICOS</c:v>
                </c:pt>
                <c:pt idx="16">
                  <c:v>RESTAURANTE</c:v>
                </c:pt>
                <c:pt idx="17">
                  <c:v>MANT EQUIPOS</c:v>
                </c:pt>
                <c:pt idx="18">
                  <c:v>LEVANT TOPOGRAFICO</c:v>
                </c:pt>
                <c:pt idx="19">
                  <c:v>TRANS CARBON</c:v>
                </c:pt>
                <c:pt idx="20">
                  <c:v>TELEFONO</c:v>
                </c:pt>
                <c:pt idx="21">
                  <c:v>LEVANTAMIENTO TOPOGRAFICO</c:v>
                </c:pt>
                <c:pt idx="22">
                  <c:v>VARIOS</c:v>
                </c:pt>
                <c:pt idx="23">
                  <c:v>PUBLICIDAD</c:v>
                </c:pt>
                <c:pt idx="24">
                  <c:v>INTERNET</c:v>
                </c:pt>
                <c:pt idx="25">
                  <c:v>ASESORES EXTERNOS</c:v>
                </c:pt>
                <c:pt idx="26">
                  <c:v>PAJARITA</c:v>
                </c:pt>
                <c:pt idx="27">
                  <c:v>ARRIENDO</c:v>
                </c:pt>
                <c:pt idx="28">
                  <c:v>% SERVIDUMBRE</c:v>
                </c:pt>
                <c:pt idx="29">
                  <c:v>DEPRECIACION</c:v>
                </c:pt>
                <c:pt idx="30">
                  <c:v>AUTORENTA</c:v>
                </c:pt>
                <c:pt idx="31">
                  <c:v>GASTOS BANCARIOS</c:v>
                </c:pt>
              </c:strCache>
            </c:strRef>
          </c:cat>
          <c:val>
            <c:numRef>
              <c:f>'[4]TORTA CONSOL'!$C$16:$C$47</c:f>
              <c:numCache>
                <c:formatCode>General</c:formatCode>
                <c:ptCount val="32"/>
                <c:pt idx="0">
                  <c:v>38000000</c:v>
                </c:pt>
                <c:pt idx="1">
                  <c:v>53232060</c:v>
                </c:pt>
                <c:pt idx="2">
                  <c:v>4085000</c:v>
                </c:pt>
                <c:pt idx="3">
                  <c:v>18000000</c:v>
                </c:pt>
                <c:pt idx="4">
                  <c:v>169328214</c:v>
                </c:pt>
                <c:pt idx="5">
                  <c:v>115634237.34060001</c:v>
                </c:pt>
                <c:pt idx="6">
                  <c:v>21051761</c:v>
                </c:pt>
                <c:pt idx="7">
                  <c:v>0</c:v>
                </c:pt>
                <c:pt idx="8">
                  <c:v>0</c:v>
                </c:pt>
                <c:pt idx="9">
                  <c:v>1536000</c:v>
                </c:pt>
                <c:pt idx="10">
                  <c:v>0</c:v>
                </c:pt>
                <c:pt idx="11">
                  <c:v>0</c:v>
                </c:pt>
                <c:pt idx="12">
                  <c:v>98000</c:v>
                </c:pt>
                <c:pt idx="13">
                  <c:v>0</c:v>
                </c:pt>
                <c:pt idx="14">
                  <c:v>0</c:v>
                </c:pt>
                <c:pt idx="15">
                  <c:v>240000</c:v>
                </c:pt>
                <c:pt idx="16">
                  <c:v>32145000</c:v>
                </c:pt>
                <c:pt idx="17">
                  <c:v>16389545</c:v>
                </c:pt>
                <c:pt idx="18">
                  <c:v>0</c:v>
                </c:pt>
                <c:pt idx="19">
                  <c:v>66921280</c:v>
                </c:pt>
                <c:pt idx="20">
                  <c:v>319081</c:v>
                </c:pt>
                <c:pt idx="21">
                  <c:v>0</c:v>
                </c:pt>
                <c:pt idx="22">
                  <c:v>9191919</c:v>
                </c:pt>
                <c:pt idx="23">
                  <c:v>0</c:v>
                </c:pt>
                <c:pt idx="24">
                  <c:v>450000</c:v>
                </c:pt>
                <c:pt idx="25">
                  <c:v>3700000</c:v>
                </c:pt>
                <c:pt idx="26">
                  <c:v>14524000</c:v>
                </c:pt>
                <c:pt idx="27">
                  <c:v>750000</c:v>
                </c:pt>
                <c:pt idx="28">
                  <c:v>32132099</c:v>
                </c:pt>
                <c:pt idx="29">
                  <c:v>37099221</c:v>
                </c:pt>
                <c:pt idx="30">
                  <c:v>4462812.8600000003</c:v>
                </c:pt>
                <c:pt idx="31">
                  <c:v>1935000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3F49-401A-AD3F-D496B97A990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DICIEMBRE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3.3371251228429918E-2"/>
          <c:y val="0.17888238338038948"/>
          <c:w val="0.75088062360525132"/>
          <c:h val="0.6136904233728183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34D-440B-96A4-EB45C5C108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34D-440B-96A4-EB45C5C108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34D-440B-96A4-EB45C5C108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34D-440B-96A4-EB45C5C108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34D-440B-96A4-EB45C5C1087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34D-440B-96A4-EB45C5C1087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34D-440B-96A4-EB45C5C1087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34D-440B-96A4-EB45C5C1087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34D-440B-96A4-EB45C5C1087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34D-440B-96A4-EB45C5C1087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034D-440B-96A4-EB45C5C1087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34D-440B-96A4-EB45C5C1087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34D-440B-96A4-EB45C5C1087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034D-440B-96A4-EB45C5C1087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034D-440B-96A4-EB45C5C1087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034D-440B-96A4-EB45C5C1087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034D-440B-96A4-EB45C5C1087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034D-440B-96A4-EB45C5C1087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034D-440B-96A4-EB45C5C1087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034D-440B-96A4-EB45C5C1087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034D-440B-96A4-EB45C5C1087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034D-440B-96A4-EB45C5C1087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034D-440B-96A4-EB45C5C1087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034D-440B-96A4-EB45C5C1087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034D-440B-96A4-EB45C5C1087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034D-440B-96A4-EB45C5C1087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034D-440B-96A4-EB45C5C1087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034D-440B-96A4-EB45C5C1087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034D-440B-96A4-EB45C5C1087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034D-440B-96A4-EB45C5C1087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034D-440B-96A4-EB45C5C1087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6A31-42CC-9705-98635A2E10B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'[5]TORTA CONSOL'!$B$16:$B$47</c:f>
              <c:strCache>
                <c:ptCount val="32"/>
                <c:pt idx="0">
                  <c:v>CUOTA ACERIAS</c:v>
                </c:pt>
                <c:pt idx="1">
                  <c:v>ENERGIA</c:v>
                </c:pt>
                <c:pt idx="2">
                  <c:v>COMBUSTIBLE</c:v>
                </c:pt>
                <c:pt idx="3">
                  <c:v>MADERA</c:v>
                </c:pt>
                <c:pt idx="4">
                  <c:v>NOMINA </c:v>
                </c:pt>
                <c:pt idx="5">
                  <c:v>CARGA PRESTACI</c:v>
                </c:pt>
                <c:pt idx="6">
                  <c:v>INSUMOS</c:v>
                </c:pt>
                <c:pt idx="7">
                  <c:v>CALIBRACION</c:v>
                </c:pt>
                <c:pt idx="8">
                  <c:v>ELEMEN ASEO</c:v>
                </c:pt>
                <c:pt idx="9">
                  <c:v>DOTACION</c:v>
                </c:pt>
                <c:pt idx="10">
                  <c:v>EX INGRESO</c:v>
                </c:pt>
                <c:pt idx="11">
                  <c:v>PAPELERIA</c:v>
                </c:pt>
                <c:pt idx="12">
                  <c:v>PEAJES</c:v>
                </c:pt>
                <c:pt idx="13">
                  <c:v>TRANS PASA</c:v>
                </c:pt>
                <c:pt idx="14">
                  <c:v>HOSPEDAJE</c:v>
                </c:pt>
                <c:pt idx="15">
                  <c:v>VIATICOS</c:v>
                </c:pt>
                <c:pt idx="16">
                  <c:v>RESTAURANTE</c:v>
                </c:pt>
                <c:pt idx="17">
                  <c:v>MANT EQUIPOS</c:v>
                </c:pt>
                <c:pt idx="18">
                  <c:v>LEVANT TOPOGRAFICO</c:v>
                </c:pt>
                <c:pt idx="19">
                  <c:v>TRANS CARBON</c:v>
                </c:pt>
                <c:pt idx="20">
                  <c:v>TELEFONO</c:v>
                </c:pt>
                <c:pt idx="21">
                  <c:v>LEVANTAMIENTO TOPOGRAFICO</c:v>
                </c:pt>
                <c:pt idx="22">
                  <c:v>VARIOS</c:v>
                </c:pt>
                <c:pt idx="23">
                  <c:v>PUBLICIDAD</c:v>
                </c:pt>
                <c:pt idx="24">
                  <c:v>INTERNET</c:v>
                </c:pt>
                <c:pt idx="25">
                  <c:v>ASESORES EXTERNOS</c:v>
                </c:pt>
                <c:pt idx="26">
                  <c:v>PAJARITA</c:v>
                </c:pt>
                <c:pt idx="27">
                  <c:v>ARRIENDO</c:v>
                </c:pt>
                <c:pt idx="28">
                  <c:v>% SERVIDUMBRE</c:v>
                </c:pt>
                <c:pt idx="29">
                  <c:v>DEPRECIACION</c:v>
                </c:pt>
                <c:pt idx="30">
                  <c:v>AUTORENTA</c:v>
                </c:pt>
                <c:pt idx="31">
                  <c:v>GASTOS BANCARIOS</c:v>
                </c:pt>
              </c:strCache>
            </c:strRef>
          </c:cat>
          <c:val>
            <c:numRef>
              <c:f>'[5]TORTA CONSOL'!$C$16:$C$47</c:f>
              <c:numCache>
                <c:formatCode>General</c:formatCode>
                <c:ptCount val="32"/>
                <c:pt idx="0">
                  <c:v>38000000</c:v>
                </c:pt>
                <c:pt idx="1">
                  <c:v>73321510</c:v>
                </c:pt>
                <c:pt idx="2">
                  <c:v>5283000</c:v>
                </c:pt>
                <c:pt idx="3">
                  <c:v>18000000</c:v>
                </c:pt>
                <c:pt idx="4">
                  <c:v>130493104</c:v>
                </c:pt>
                <c:pt idx="5">
                  <c:v>89113740.721600011</c:v>
                </c:pt>
                <c:pt idx="6">
                  <c:v>35389411</c:v>
                </c:pt>
                <c:pt idx="7">
                  <c:v>0</c:v>
                </c:pt>
                <c:pt idx="8">
                  <c:v>0</c:v>
                </c:pt>
                <c:pt idx="9">
                  <c:v>12404457</c:v>
                </c:pt>
                <c:pt idx="10">
                  <c:v>0</c:v>
                </c:pt>
                <c:pt idx="11">
                  <c:v>640200</c:v>
                </c:pt>
                <c:pt idx="12">
                  <c:v>150000</c:v>
                </c:pt>
                <c:pt idx="13">
                  <c:v>840000</c:v>
                </c:pt>
                <c:pt idx="14">
                  <c:v>0</c:v>
                </c:pt>
                <c:pt idx="15">
                  <c:v>240000</c:v>
                </c:pt>
                <c:pt idx="16">
                  <c:v>24386500</c:v>
                </c:pt>
                <c:pt idx="17">
                  <c:v>6160000</c:v>
                </c:pt>
                <c:pt idx="18">
                  <c:v>0</c:v>
                </c:pt>
                <c:pt idx="19">
                  <c:v>61586560</c:v>
                </c:pt>
                <c:pt idx="20">
                  <c:v>319081</c:v>
                </c:pt>
                <c:pt idx="21">
                  <c:v>0</c:v>
                </c:pt>
                <c:pt idx="22">
                  <c:v>143864000</c:v>
                </c:pt>
                <c:pt idx="23">
                  <c:v>0</c:v>
                </c:pt>
                <c:pt idx="24">
                  <c:v>450000</c:v>
                </c:pt>
                <c:pt idx="25">
                  <c:v>2367000</c:v>
                </c:pt>
                <c:pt idx="26">
                  <c:v>14000000</c:v>
                </c:pt>
                <c:pt idx="27">
                  <c:v>750000</c:v>
                </c:pt>
                <c:pt idx="28">
                  <c:v>32132099</c:v>
                </c:pt>
                <c:pt idx="29">
                  <c:v>37099221</c:v>
                </c:pt>
                <c:pt idx="30">
                  <c:v>4123481.9348800005</c:v>
                </c:pt>
                <c:pt idx="31">
                  <c:v>2325600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034D-440B-96A4-EB45C5C1087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 ACUMULADA'!$B$4</c:f>
              <c:strCache>
                <c:ptCount val="1"/>
                <c:pt idx="0">
                  <c:v>PRODUCCION 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 ACUMULADA'!$A$5:$A$16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'PRODUC ACUMULADA'!$B$5:$B$16</c:f>
              <c:numCache>
                <c:formatCode>0.00</c:formatCode>
                <c:ptCount val="12"/>
                <c:pt idx="0">
                  <c:v>1698.66</c:v>
                </c:pt>
                <c:pt idx="1">
                  <c:v>1830.15</c:v>
                </c:pt>
                <c:pt idx="2">
                  <c:v>1898.77</c:v>
                </c:pt>
                <c:pt idx="3">
                  <c:v>1800.91</c:v>
                </c:pt>
                <c:pt idx="4">
                  <c:v>1964.1099999999997</c:v>
                </c:pt>
                <c:pt idx="5">
                  <c:v>926.96999999999991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D-429D-8A6F-40FABFCC3F3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-908330432"/>
        <c:axId val="-908335872"/>
      </c:barChart>
      <c:catAx>
        <c:axId val="-9083304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908335872"/>
        <c:crosses val="autoZero"/>
        <c:auto val="1"/>
        <c:lblAlgn val="ctr"/>
        <c:lblOffset val="100"/>
        <c:noMultiLvlLbl val="0"/>
      </c:catAx>
      <c:valAx>
        <c:axId val="-908335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90833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'PRODUCCION VS FACTU'!$B$46</c:f>
              <c:strCache>
                <c:ptCount val="1"/>
                <c:pt idx="0">
                  <c:v>COSTOS CONSOLIDADOS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'PRODUCCION VS FACTU'!$A$47:$A$58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'PRODUCCION VS FACTU'!$B$47:$B$58</c:f>
              <c:numCache>
                <c:formatCode>_-* #,##0_-;\-* #,##0_-;_-* "-"??_-;_-@_-</c:formatCode>
                <c:ptCount val="12"/>
                <c:pt idx="0">
                  <c:v>484201440.89896804</c:v>
                </c:pt>
                <c:pt idx="1">
                  <c:v>561681204.34554935</c:v>
                </c:pt>
                <c:pt idx="2">
                  <c:v>591548764.62592494</c:v>
                </c:pt>
                <c:pt idx="3">
                  <c:v>587282335.74929869</c:v>
                </c:pt>
                <c:pt idx="4">
                  <c:v>539115149.5087837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9E-483D-A721-7F9CF9D555B2}"/>
            </c:ext>
          </c:extLst>
        </c:ser>
        <c:ser>
          <c:idx val="1"/>
          <c:order val="1"/>
          <c:tx>
            <c:strRef>
              <c:f>'PRODUCCION VS FACTU'!$C$46</c:f>
              <c:strCache>
                <c:ptCount val="1"/>
                <c:pt idx="0">
                  <c:v>FACTURACION CONSOLIDADA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'PRODUCCION VS FACTU'!$A$47:$A$58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'PRODUCCION VS FACTU'!$C$47:$C$58</c:f>
              <c:numCache>
                <c:formatCode>_-* #,##0_-;\-* #,##0_-;_-* "-"??_-;_-@_-</c:formatCode>
                <c:ptCount val="12"/>
                <c:pt idx="0">
                  <c:v>466303479.68000001</c:v>
                </c:pt>
                <c:pt idx="1">
                  <c:v>680884877.35000002</c:v>
                </c:pt>
                <c:pt idx="2">
                  <c:v>678910541.24000001</c:v>
                </c:pt>
                <c:pt idx="3">
                  <c:v>480957643.94389999</c:v>
                </c:pt>
                <c:pt idx="4">
                  <c:v>584786999.43000007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9E-483D-A721-7F9CF9D555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38039488"/>
        <c:axId val="1938048224"/>
      </c:lineChart>
      <c:catAx>
        <c:axId val="19380394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8048224"/>
        <c:crosses val="autoZero"/>
        <c:auto val="1"/>
        <c:lblAlgn val="ctr"/>
        <c:lblOffset val="100"/>
        <c:noMultiLvlLbl val="0"/>
      </c:catAx>
      <c:valAx>
        <c:axId val="19380482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80394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7</xdr:col>
      <xdr:colOff>314324</xdr:colOff>
      <xdr:row>9</xdr:row>
      <xdr:rowOff>152400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104775</xdr:colOff>
      <xdr:row>10</xdr:row>
      <xdr:rowOff>161925</xdr:rowOff>
    </xdr:from>
    <xdr:to>
      <xdr:col>21</xdr:col>
      <xdr:colOff>95251</xdr:colOff>
      <xdr:row>64</xdr:row>
      <xdr:rowOff>119064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36E7FF6-0F46-4F70-886E-F69E70F6B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371474</xdr:colOff>
      <xdr:row>9</xdr:row>
      <xdr:rowOff>152400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17210097-A774-4BE0-8899-46DEABEAA0D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104775</xdr:colOff>
      <xdr:row>10</xdr:row>
      <xdr:rowOff>161925</xdr:rowOff>
    </xdr:from>
    <xdr:to>
      <xdr:col>21</xdr:col>
      <xdr:colOff>95251</xdr:colOff>
      <xdr:row>64</xdr:row>
      <xdr:rowOff>119064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C11DAFA-B3EF-4D5B-B395-83CF3C117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561974</xdr:colOff>
      <xdr:row>9</xdr:row>
      <xdr:rowOff>152400</xdr:rowOff>
    </xdr:to>
    <xdr:pic>
      <xdr:nvPicPr>
        <xdr:cNvPr id="4" name="Imagen 3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BAAF80C5-12D6-47BF-96BF-2A6AC414741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104775</xdr:colOff>
      <xdr:row>10</xdr:row>
      <xdr:rowOff>161925</xdr:rowOff>
    </xdr:from>
    <xdr:to>
      <xdr:col>21</xdr:col>
      <xdr:colOff>95251</xdr:colOff>
      <xdr:row>64</xdr:row>
      <xdr:rowOff>119064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ACB3F1C-DF16-4F21-ADDB-3984AD9B0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691242</xdr:colOff>
      <xdr:row>9</xdr:row>
      <xdr:rowOff>152400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7C822D45-E6F5-4B25-B08C-113A3483AFB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695326</xdr:colOff>
      <xdr:row>14</xdr:row>
      <xdr:rowOff>200024</xdr:rowOff>
    </xdr:from>
    <xdr:to>
      <xdr:col>18</xdr:col>
      <xdr:colOff>447675</xdr:colOff>
      <xdr:row>42</xdr:row>
      <xdr:rowOff>180974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6E728B-42D9-5355-120E-4E983D1C3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495299</xdr:colOff>
      <xdr:row>9</xdr:row>
      <xdr:rowOff>152400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3F751BBB-DE03-4E41-B20D-EA0206E2B31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561975</xdr:colOff>
      <xdr:row>13</xdr:row>
      <xdr:rowOff>123824</xdr:rowOff>
    </xdr:from>
    <xdr:to>
      <xdr:col>19</xdr:col>
      <xdr:colOff>733424</xdr:colOff>
      <xdr:row>61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9FC3F9-77B8-2367-47C3-BCCAFD237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495299</xdr:colOff>
      <xdr:row>9</xdr:row>
      <xdr:rowOff>152400</xdr:rowOff>
    </xdr:to>
    <xdr:pic>
      <xdr:nvPicPr>
        <xdr:cNvPr id="3" name="Imagen 2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53AF6EA1-010D-4F1A-89D5-F0A0854E3B2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285749</xdr:colOff>
      <xdr:row>9</xdr:row>
      <xdr:rowOff>152400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0EAB7F72-836F-4EC8-93D4-2AFECA6EE0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685799</xdr:colOff>
      <xdr:row>18</xdr:row>
      <xdr:rowOff>166686</xdr:rowOff>
    </xdr:from>
    <xdr:to>
      <xdr:col>19</xdr:col>
      <xdr:colOff>180975</xdr:colOff>
      <xdr:row>57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0390919-6671-8755-7D11-D675780B7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295274</xdr:colOff>
      <xdr:row>9</xdr:row>
      <xdr:rowOff>152400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EE332D45-F06D-4103-8C7B-7D8C0AB4588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295274</xdr:colOff>
      <xdr:row>9</xdr:row>
      <xdr:rowOff>152400</xdr:rowOff>
    </xdr:to>
    <xdr:pic>
      <xdr:nvPicPr>
        <xdr:cNvPr id="3" name="Imagen 2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519DB188-B981-4EAA-B3EE-87C7E69EACF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685799</xdr:colOff>
      <xdr:row>18</xdr:row>
      <xdr:rowOff>166686</xdr:rowOff>
    </xdr:from>
    <xdr:to>
      <xdr:col>19</xdr:col>
      <xdr:colOff>180975</xdr:colOff>
      <xdr:row>57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298296-4D87-4430-A5A7-712B4F7C1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428624</xdr:colOff>
      <xdr:row>9</xdr:row>
      <xdr:rowOff>152400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D9B41763-970A-4D9A-BFFC-C82543F83FD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285749</xdr:colOff>
      <xdr:row>12</xdr:row>
      <xdr:rowOff>85725</xdr:rowOff>
    </xdr:from>
    <xdr:to>
      <xdr:col>20</xdr:col>
      <xdr:colOff>85725</xdr:colOff>
      <xdr:row>54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8832CC-ECAC-C72C-3F21-19DA78443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428624</xdr:colOff>
      <xdr:row>9</xdr:row>
      <xdr:rowOff>152400</xdr:rowOff>
    </xdr:to>
    <xdr:pic>
      <xdr:nvPicPr>
        <xdr:cNvPr id="4" name="Imagen 3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473946F3-F998-4CA7-B72A-AD05785C08F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428624</xdr:colOff>
      <xdr:row>9</xdr:row>
      <xdr:rowOff>152400</xdr:rowOff>
    </xdr:to>
    <xdr:pic>
      <xdr:nvPicPr>
        <xdr:cNvPr id="5" name="Imagen 4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A40E6061-FBC5-4A36-95FC-62FC3EF5541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EA2BE626-FFFE-4514-9C03-A8446759A28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4" name="Imagen 3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2188BB6B-0310-49E7-8217-9DE827439A9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285749</xdr:colOff>
      <xdr:row>12</xdr:row>
      <xdr:rowOff>85725</xdr:rowOff>
    </xdr:from>
    <xdr:to>
      <xdr:col>20</xdr:col>
      <xdr:colOff>85725</xdr:colOff>
      <xdr:row>54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E1787DA-0A85-4D13-B78F-80DAC08DA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6" name="Imagen 5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D8B5BCC3-71CA-4F94-B007-927A645D60C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7" name="Imagen 6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5D2CE368-E2CF-4801-A78E-ECE5BDDE636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AC178558-9E5D-4A69-9670-5BDBE32DDE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704850</xdr:colOff>
      <xdr:row>13</xdr:row>
      <xdr:rowOff>38100</xdr:rowOff>
    </xdr:from>
    <xdr:to>
      <xdr:col>19</xdr:col>
      <xdr:colOff>57151</xdr:colOff>
      <xdr:row>65</xdr:row>
      <xdr:rowOff>176214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6E32AA-45A5-4808-904E-292828136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4" name="Imagen 3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2E5CBA35-D03B-47AF-A471-62F993C53ED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5" name="Imagen 4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E768F883-1C97-4F6A-9D82-985F620476B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7" name="Imagen 6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B63CF33A-6972-4FC4-866C-28C940C9F21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8" name="Imagen 7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8978C555-D707-42D0-B54E-7CE7F000683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295274</xdr:colOff>
      <xdr:row>9</xdr:row>
      <xdr:rowOff>152400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295274</xdr:colOff>
      <xdr:row>9</xdr:row>
      <xdr:rowOff>152400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295274</xdr:colOff>
      <xdr:row>9</xdr:row>
      <xdr:rowOff>152400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295274</xdr:colOff>
      <xdr:row>9</xdr:row>
      <xdr:rowOff>152400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F7B4255C-2E96-4751-9035-8224BAE1336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476250</xdr:colOff>
      <xdr:row>15</xdr:row>
      <xdr:rowOff>180975</xdr:rowOff>
    </xdr:from>
    <xdr:to>
      <xdr:col>19</xdr:col>
      <xdr:colOff>466726</xdr:colOff>
      <xdr:row>67</xdr:row>
      <xdr:rowOff>42864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0CB5AB-041E-4ED1-A7DF-12748C0F2E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4" name="Imagen 3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B8C25C77-7EC1-4F25-AC9A-505C056FFCB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6" name="Imagen 5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83FF62F6-07E5-44E6-B9C2-3C6EB3E2B40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7" name="Imagen 6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16DC09B4-AD4D-4C98-8D01-AA8E5D0835F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8" name="Imagen 7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FC0B65CA-C867-4F36-B42E-770616A54F4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9" name="Imagen 8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D6CBA0CC-03AF-4825-AD4A-CA9D0F950E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678F5AAB-6D6D-40F6-9A2C-63FF9B09E77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504825</xdr:colOff>
      <xdr:row>14</xdr:row>
      <xdr:rowOff>104775</xdr:rowOff>
    </xdr:from>
    <xdr:to>
      <xdr:col>19</xdr:col>
      <xdr:colOff>742951</xdr:colOff>
      <xdr:row>66</xdr:row>
      <xdr:rowOff>166689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346F33A-8BF0-4459-8740-2EBA19FA9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4" name="Imagen 3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BBB1796A-997F-4BDF-8B71-751AB72C86A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6" name="Imagen 5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C2CDFBCE-6B20-4F41-A08D-08D26FA4D0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7" name="Imagen 6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51F97BDC-E10C-4448-B21D-21026B85179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8" name="Imagen 7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F534FA36-42A8-4C53-B354-948F1C0434D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9" name="Imagen 8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F4F67DAC-C09B-4769-871E-B728C0896A3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400049</xdr:colOff>
      <xdr:row>9</xdr:row>
      <xdr:rowOff>152400</xdr:rowOff>
    </xdr:to>
    <xdr:pic>
      <xdr:nvPicPr>
        <xdr:cNvPr id="10" name="Imagen 9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E8FDD3A0-4B82-432C-90FE-0DD34B22645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238126</xdr:colOff>
      <xdr:row>0</xdr:row>
      <xdr:rowOff>114299</xdr:rowOff>
    </xdr:from>
    <xdr:to>
      <xdr:col>9</xdr:col>
      <xdr:colOff>514350</xdr:colOff>
      <xdr:row>29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418312-595F-4ACF-9FC7-C97234406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590549</xdr:colOff>
      <xdr:row>9</xdr:row>
      <xdr:rowOff>152400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87967B25-5D38-44CE-A617-2196276F2BB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590549</xdr:colOff>
      <xdr:row>9</xdr:row>
      <xdr:rowOff>152400</xdr:rowOff>
    </xdr:to>
    <xdr:pic>
      <xdr:nvPicPr>
        <xdr:cNvPr id="3" name="Imagen 2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6D8F3BEE-7F8F-4FDF-BF26-0A91024C42E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590549</xdr:colOff>
      <xdr:row>9</xdr:row>
      <xdr:rowOff>152400</xdr:rowOff>
    </xdr:to>
    <xdr:pic>
      <xdr:nvPicPr>
        <xdr:cNvPr id="4" name="Imagen 3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BCD9AB87-A67D-4C2E-877D-688D161FAB8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361949</xdr:colOff>
      <xdr:row>9</xdr:row>
      <xdr:rowOff>152400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361949</xdr:colOff>
      <xdr:row>9</xdr:row>
      <xdr:rowOff>152400</xdr:rowOff>
    </xdr:to>
    <xdr:pic>
      <xdr:nvPicPr>
        <xdr:cNvPr id="3" name="Imagen 2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D16F73F8-A3DE-4C8D-8E9C-6B624CB55C8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361949</xdr:colOff>
      <xdr:row>9</xdr:row>
      <xdr:rowOff>152400</xdr:rowOff>
    </xdr:to>
    <xdr:pic>
      <xdr:nvPicPr>
        <xdr:cNvPr id="4" name="Imagen 3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C0061308-1504-4F0F-8CBF-5EE92EA8B71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1066799</xdr:colOff>
      <xdr:row>9</xdr:row>
      <xdr:rowOff>152400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E6E096E9-0C5C-498E-8156-8E30C21D94D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781048</xdr:colOff>
      <xdr:row>45</xdr:row>
      <xdr:rowOff>14286</xdr:rowOff>
    </xdr:from>
    <xdr:to>
      <xdr:col>20</xdr:col>
      <xdr:colOff>847725</xdr:colOff>
      <xdr:row>78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E6E0DDF-3272-9F61-0DD6-7B65300E6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7</xdr:col>
      <xdr:colOff>619124</xdr:colOff>
      <xdr:row>9</xdr:row>
      <xdr:rowOff>152400</xdr:rowOff>
    </xdr:to>
    <xdr:pic>
      <xdr:nvPicPr>
        <xdr:cNvPr id="2" name="Imagen 1" descr="C:\Users\PC\AppData\Local\Packages\microsoft.windowscommunicationsapps_8wekyb3d8bbwe\LocalState\LiveComm\92a8e9319f6bfd80\120712-0049\Att\2000bbca\Logo Final COEXCOOL.png">
          <a:extLst>
            <a:ext uri="{FF2B5EF4-FFF2-40B4-BE49-F238E27FC236}">
              <a16:creationId xmlns:a16="http://schemas.microsoft.com/office/drawing/2014/main" id="{73AF8E1F-FAC1-4E9D-9795-3A3C6AA1992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91274" cy="1866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bilidapc\siiwis\Users\CONTABILIDAD\Downloads\NOMINA%20TRANSPORTES%20Y%20CARBONES%20METALURGICO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GTOS%20MINA/SOCHA/COSTOS/2023/ENERO/31_01_2023-COSTOS%20ENERO%20MINA%20COSTA%20RIC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GTOS%20MINA/SOCHA/COSTOS/2023/OCTUBRE/30_10_2023%20COSTOS%20OCTUBRE%20MINA%20COSTA%20RIC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GTOS%20MINA/SOCHA/COSTOS/2023/NOVIEMBRE/30_11_2023%20COSTOS%20NOVIEMBRE%20MINA%20COSTA%20RIC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GTOS%20MINA/SOCHA/COSTOS/2023/DICIEMBRE/30_12_2023%20COSTOS%20DICIEMBRE%20MINA%20COSTA%20RIC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FACTURACION/PRODUCCION%20SOCHA/2026/31_01_26%20PRODUCCCION%20MINA%20COSTA%20RIC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ebrero/28_02_26%20COSTOS%20FEBRERO%20MINA%20COSTA%20RIC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FACTURACION/PRODUCCION%20SOCHA/2026/30_05_26%20PRODUCCCION%20MINA%20COSTA%20RI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Básicos"/>
      <sheetName val="Calculos"/>
      <sheetName val="Nomina"/>
      <sheetName val="Hoja1"/>
    </sheetNames>
    <sheetDataSet>
      <sheetData sheetId="0">
        <row r="5">
          <cell r="B5">
            <v>566700</v>
          </cell>
        </row>
        <row r="6">
          <cell r="B6">
            <v>67800</v>
          </cell>
        </row>
        <row r="9">
          <cell r="B9">
            <v>0.01</v>
          </cell>
          <cell r="F9">
            <v>6.9599999999999995E-2</v>
          </cell>
        </row>
        <row r="10">
          <cell r="B10">
            <v>1.4999999999999999E-2</v>
          </cell>
        </row>
        <row r="11">
          <cell r="B11">
            <v>0.02</v>
          </cell>
          <cell r="F11">
            <v>26049</v>
          </cell>
        </row>
        <row r="15">
          <cell r="B15">
            <v>0.04</v>
          </cell>
          <cell r="C15">
            <v>8.5000000000000006E-2</v>
          </cell>
          <cell r="F15">
            <v>0</v>
          </cell>
        </row>
        <row r="16">
          <cell r="B16">
            <v>0.04</v>
          </cell>
          <cell r="C16">
            <v>0.12</v>
          </cell>
          <cell r="F16">
            <v>0</v>
          </cell>
        </row>
        <row r="19">
          <cell r="B19">
            <v>8.3333333333333343E-2</v>
          </cell>
        </row>
        <row r="20">
          <cell r="B20">
            <v>8.3333333333333343E-2</v>
          </cell>
        </row>
        <row r="21">
          <cell r="B21">
            <v>4.1666666666666671E-2</v>
          </cell>
        </row>
        <row r="22">
          <cell r="B22">
            <v>0.01</v>
          </cell>
        </row>
        <row r="26">
          <cell r="B26">
            <v>0.01</v>
          </cell>
        </row>
        <row r="27">
          <cell r="B27">
            <v>1.2E-2</v>
          </cell>
        </row>
        <row r="28">
          <cell r="B28">
            <v>1.4E-2</v>
          </cell>
        </row>
        <row r="29">
          <cell r="B29">
            <v>1.6E-2</v>
          </cell>
        </row>
        <row r="30">
          <cell r="B30">
            <v>1.7999999999999999E-2</v>
          </cell>
        </row>
        <row r="31">
          <cell r="B31">
            <v>0.02</v>
          </cell>
        </row>
      </sheetData>
      <sheetData sheetId="1">
        <row r="4">
          <cell r="B4">
            <v>0</v>
          </cell>
        </row>
      </sheetData>
      <sheetData sheetId="2">
        <row r="8">
          <cell r="A8" t="str">
            <v>GRANDAS PINZON WILFER- TEP-077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CION"/>
      <sheetName val="TORTA CONSOL"/>
      <sheetName val="GTOS CONSOLIDADOS"/>
      <sheetName val="PERSONAL"/>
      <sheetName val="CUOTA ACERIAS"/>
      <sheetName val="ENERGIA"/>
      <sheetName val="COMBUSTIBLE"/>
      <sheetName val="MADERA"/>
      <sheetName val="EXPLOSIVO"/>
      <sheetName val="NOMINA"/>
      <sheetName val="CARGA PRESTAC"/>
      <sheetName val="INSUMOS"/>
      <sheetName val="TRANS PEÑA"/>
      <sheetName val="RETROESCA"/>
      <sheetName val="CALIBRACION"/>
      <sheetName val="ELE ASEO"/>
      <sheetName val="DOTACION"/>
      <sheetName val="EX INGRESO"/>
      <sheetName val="PAPELERIA"/>
      <sheetName val="PEAJES"/>
      <sheetName val="TRANS PASA"/>
      <sheetName val="HOSPEDAJE"/>
      <sheetName val="VIATICOS"/>
      <sheetName val="RESTAURANTE"/>
      <sheetName val="MANT EQUIPOS"/>
      <sheetName val="LABORAT"/>
      <sheetName val="LEVA TOPO "/>
      <sheetName val="TRANS CARBON ACOPIO"/>
      <sheetName val="TELEFONO"/>
      <sheetName val="PLAN VENTILACION"/>
      <sheetName val="VARIOS"/>
      <sheetName val="PUBLICIDAD"/>
      <sheetName val="INTERNET"/>
      <sheetName val="ASESORES"/>
      <sheetName val="PAJARITA "/>
      <sheetName val="ARRIENDO"/>
      <sheetName val="% SERVIDUMBRE"/>
      <sheetName val="PAJARITA"/>
      <sheetName val="DEPRECIACION"/>
      <sheetName val="AUTORENTA"/>
      <sheetName val="GASTOS BANCARIOS"/>
      <sheetName val="INVERSIONES MINA"/>
      <sheetName val="INFRAESTUCTURA"/>
      <sheetName val="Hoja1"/>
    </sheetNames>
    <sheetDataSet>
      <sheetData sheetId="0"/>
      <sheetData sheetId="1">
        <row r="16">
          <cell r="B16" t="str">
            <v>CUOTA ACERIAS</v>
          </cell>
          <cell r="C16">
            <v>38000000</v>
          </cell>
        </row>
        <row r="17">
          <cell r="B17" t="str">
            <v>ENERGIA</v>
          </cell>
          <cell r="C17">
            <v>27757830</v>
          </cell>
        </row>
        <row r="18">
          <cell r="B18" t="str">
            <v>COMBUSTIBLE</v>
          </cell>
          <cell r="C18">
            <v>5553000</v>
          </cell>
        </row>
        <row r="19">
          <cell r="B19" t="str">
            <v>MADERA</v>
          </cell>
          <cell r="C19">
            <v>18000000</v>
          </cell>
        </row>
        <row r="20">
          <cell r="B20" t="str">
            <v xml:space="preserve">NOMINA </v>
          </cell>
          <cell r="C20">
            <v>140893966</v>
          </cell>
        </row>
        <row r="21">
          <cell r="B21" t="str">
            <v>CARGA PRESTACI</v>
          </cell>
          <cell r="C21">
            <v>96216489.381400004</v>
          </cell>
        </row>
        <row r="22">
          <cell r="B22" t="str">
            <v>INSUMOS</v>
          </cell>
          <cell r="C22">
            <v>18974208</v>
          </cell>
        </row>
        <row r="23">
          <cell r="B23" t="str">
            <v>CALIBRACION</v>
          </cell>
          <cell r="C23">
            <v>577933</v>
          </cell>
        </row>
        <row r="24">
          <cell r="B24" t="str">
            <v>ELEMEN ASEO</v>
          </cell>
          <cell r="C24">
            <v>570000</v>
          </cell>
        </row>
        <row r="25">
          <cell r="B25" t="str">
            <v>DOTACION</v>
          </cell>
          <cell r="C25">
            <v>3014369</v>
          </cell>
        </row>
        <row r="26">
          <cell r="B26" t="str">
            <v>EX INGRESO</v>
          </cell>
          <cell r="C26">
            <v>0</v>
          </cell>
        </row>
        <row r="27">
          <cell r="B27" t="str">
            <v>PAPELERIA</v>
          </cell>
          <cell r="C27">
            <v>3400000</v>
          </cell>
        </row>
        <row r="28">
          <cell r="B28" t="str">
            <v>PEAJES</v>
          </cell>
          <cell r="C28">
            <v>0</v>
          </cell>
        </row>
        <row r="29">
          <cell r="B29" t="str">
            <v>TRANS PASA</v>
          </cell>
          <cell r="C29">
            <v>950000</v>
          </cell>
        </row>
        <row r="30">
          <cell r="B30" t="str">
            <v>HOSPEDAJE</v>
          </cell>
          <cell r="C30">
            <v>0</v>
          </cell>
        </row>
        <row r="31">
          <cell r="B31" t="str">
            <v>VIATICOS</v>
          </cell>
          <cell r="C31">
            <v>48000</v>
          </cell>
        </row>
        <row r="32">
          <cell r="B32" t="str">
            <v>RESTAURANTE</v>
          </cell>
          <cell r="C32">
            <v>20027500</v>
          </cell>
        </row>
        <row r="33">
          <cell r="B33" t="str">
            <v>MANT EQUIPOS</v>
          </cell>
          <cell r="C33">
            <v>330000</v>
          </cell>
        </row>
        <row r="34">
          <cell r="B34" t="str">
            <v>LEVANT TOPOGRAFICO</v>
          </cell>
          <cell r="C34">
            <v>0</v>
          </cell>
        </row>
        <row r="35">
          <cell r="B35" t="str">
            <v>TRANS CARBON</v>
          </cell>
          <cell r="C35">
            <v>39191040</v>
          </cell>
        </row>
        <row r="36">
          <cell r="B36" t="str">
            <v>TELEFONO</v>
          </cell>
          <cell r="C36">
            <v>319081</v>
          </cell>
        </row>
        <row r="37">
          <cell r="B37" t="str">
            <v>PLAN VENTILACION</v>
          </cell>
          <cell r="C37">
            <v>0</v>
          </cell>
        </row>
        <row r="38">
          <cell r="B38" t="str">
            <v>VARIOS</v>
          </cell>
          <cell r="C38">
            <v>0</v>
          </cell>
        </row>
        <row r="39">
          <cell r="B39" t="str">
            <v>PUBLICIDAD</v>
          </cell>
          <cell r="C39">
            <v>0</v>
          </cell>
        </row>
        <row r="40">
          <cell r="B40" t="str">
            <v>INTERNET</v>
          </cell>
          <cell r="C40">
            <v>612900</v>
          </cell>
        </row>
        <row r="41">
          <cell r="B41" t="str">
            <v>ASESORES EXTERNOS</v>
          </cell>
          <cell r="C41">
            <v>45600000</v>
          </cell>
        </row>
        <row r="42">
          <cell r="B42" t="str">
            <v>PAJARITA</v>
          </cell>
          <cell r="C42">
            <v>20000000</v>
          </cell>
        </row>
        <row r="43">
          <cell r="B43" t="str">
            <v>ARRIENDO</v>
          </cell>
          <cell r="C43">
            <v>650000</v>
          </cell>
        </row>
        <row r="44">
          <cell r="B44" t="str">
            <v>% SERVIDUMBRE</v>
          </cell>
          <cell r="C44">
            <v>22655937</v>
          </cell>
        </row>
        <row r="45">
          <cell r="B45" t="str">
            <v>DEPRECIACION</v>
          </cell>
          <cell r="C45">
            <v>37099221</v>
          </cell>
        </row>
        <row r="46">
          <cell r="B46" t="str">
            <v>AUTORENTA</v>
          </cell>
          <cell r="C46">
            <v>2473934.4</v>
          </cell>
        </row>
        <row r="47">
          <cell r="B47" t="str">
            <v>GASTOS BANCARIOS</v>
          </cell>
          <cell r="C47">
            <v>1830558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CION"/>
      <sheetName val="TORTA CONSOL"/>
      <sheetName val="GTOS CONSOLIDADOS"/>
      <sheetName val="PERSONAL"/>
      <sheetName val="CUOTA ACERIAS"/>
      <sheetName val="ENERGIA"/>
      <sheetName val="COMBUSTIBLE"/>
      <sheetName val="MADERA"/>
      <sheetName val="EXPLOSIVO"/>
      <sheetName val="NOMINA"/>
      <sheetName val="CARGA PRESTAC"/>
      <sheetName val="INSUMOS"/>
      <sheetName val="TRANS MATERIALES"/>
      <sheetName val="RETROESCA"/>
      <sheetName val="CALIBRACION"/>
      <sheetName val="ELE ASEO"/>
      <sheetName val="DOTACION"/>
      <sheetName val="EX INGRESO"/>
      <sheetName val="PAPELERIA"/>
      <sheetName val="PEAJES"/>
      <sheetName val="TRANS PASA"/>
      <sheetName val="HOSPEDAJE"/>
      <sheetName val="VIATICOS"/>
      <sheetName val="RESTAURANTE"/>
      <sheetName val="MANT EQUIPOS"/>
      <sheetName val="LABORAT"/>
      <sheetName val="LEVA TOPO "/>
      <sheetName val="TRANS CARBON ACOPIO"/>
      <sheetName val="TELEFONO"/>
      <sheetName val="PLAN VENTILACION"/>
      <sheetName val="VARIOS"/>
      <sheetName val="PUBLICIDAD"/>
      <sheetName val="INTERNET"/>
      <sheetName val="ASESORES"/>
      <sheetName val="PAJARITA "/>
      <sheetName val="ARRIENDO"/>
      <sheetName val="% SERVIDUMBRE"/>
      <sheetName val="PAJARITA"/>
      <sheetName val="DEPRECIACION"/>
      <sheetName val="AUTORENTA"/>
      <sheetName val="GASTOS BANCARIOS"/>
      <sheetName val="INVERSIONES MINA"/>
      <sheetName val="INFRAESTUCTURA"/>
      <sheetName val="Hoja1"/>
    </sheetNames>
    <sheetDataSet>
      <sheetData sheetId="0"/>
      <sheetData sheetId="1">
        <row r="16">
          <cell r="B16" t="str">
            <v>CUOTA ACERIAS</v>
          </cell>
          <cell r="C16">
            <v>38000000</v>
          </cell>
        </row>
        <row r="17">
          <cell r="B17" t="str">
            <v>ENERGIA</v>
          </cell>
          <cell r="C17">
            <v>69709830</v>
          </cell>
        </row>
        <row r="18">
          <cell r="B18" t="str">
            <v>COMBUSTIBLE</v>
          </cell>
          <cell r="C18">
            <v>6748000</v>
          </cell>
        </row>
        <row r="19">
          <cell r="B19" t="str">
            <v>MADERA</v>
          </cell>
          <cell r="C19">
            <v>18000000</v>
          </cell>
        </row>
        <row r="20">
          <cell r="B20" t="str">
            <v xml:space="preserve">NOMINA </v>
          </cell>
          <cell r="C20">
            <v>163014856</v>
          </cell>
        </row>
        <row r="21">
          <cell r="B21" t="str">
            <v>CARGA PRESTACI</v>
          </cell>
          <cell r="C21">
            <v>111322845.16240001</v>
          </cell>
        </row>
        <row r="22">
          <cell r="B22" t="str">
            <v>INSUMOS</v>
          </cell>
          <cell r="C22">
            <v>17700455</v>
          </cell>
        </row>
        <row r="23">
          <cell r="B23" t="str">
            <v>CALIBRACION</v>
          </cell>
          <cell r="C23">
            <v>0</v>
          </cell>
        </row>
        <row r="24">
          <cell r="B24" t="str">
            <v>ELEMEN ASEO</v>
          </cell>
          <cell r="C24">
            <v>0</v>
          </cell>
        </row>
        <row r="25">
          <cell r="B25" t="str">
            <v>DOTACION</v>
          </cell>
          <cell r="C25">
            <v>2935000</v>
          </cell>
        </row>
        <row r="26">
          <cell r="B26" t="str">
            <v>EX INGRESO</v>
          </cell>
          <cell r="C26">
            <v>0</v>
          </cell>
        </row>
        <row r="27">
          <cell r="B27" t="str">
            <v>PAPELERIA</v>
          </cell>
          <cell r="C27">
            <v>96000</v>
          </cell>
        </row>
        <row r="28">
          <cell r="B28" t="str">
            <v>PEAJES</v>
          </cell>
          <cell r="C28">
            <v>100000</v>
          </cell>
        </row>
        <row r="29">
          <cell r="B29" t="str">
            <v>TRANS PASA</v>
          </cell>
          <cell r="C29">
            <v>720000</v>
          </cell>
        </row>
        <row r="30">
          <cell r="B30" t="str">
            <v>HOSPEDAJE</v>
          </cell>
          <cell r="C30">
            <v>0</v>
          </cell>
        </row>
        <row r="31">
          <cell r="B31" t="str">
            <v>VIATICOS</v>
          </cell>
          <cell r="C31">
            <v>240000</v>
          </cell>
        </row>
        <row r="32">
          <cell r="B32" t="str">
            <v>RESTAURANTE</v>
          </cell>
          <cell r="C32">
            <v>34142500</v>
          </cell>
        </row>
        <row r="33">
          <cell r="B33" t="str">
            <v>MANT EQUIPOS</v>
          </cell>
          <cell r="C33">
            <v>2098000</v>
          </cell>
        </row>
        <row r="34">
          <cell r="B34" t="str">
            <v>LEVANT TOPOGRAFICO</v>
          </cell>
          <cell r="C34">
            <v>0</v>
          </cell>
        </row>
        <row r="35">
          <cell r="B35" t="str">
            <v>TRANS CARBON</v>
          </cell>
          <cell r="C35">
            <v>61567040</v>
          </cell>
        </row>
        <row r="36">
          <cell r="B36" t="str">
            <v>TELEFONO</v>
          </cell>
          <cell r="C36">
            <v>319081</v>
          </cell>
        </row>
        <row r="37">
          <cell r="B37" t="str">
            <v>LEVANTAMIENTO TOPOGRAFICO</v>
          </cell>
          <cell r="C37">
            <v>2534200</v>
          </cell>
        </row>
        <row r="38">
          <cell r="B38" t="str">
            <v>VARIOS</v>
          </cell>
          <cell r="C38">
            <v>0</v>
          </cell>
        </row>
        <row r="39">
          <cell r="B39" t="str">
            <v>PUBLICIDAD</v>
          </cell>
          <cell r="C39">
            <v>0</v>
          </cell>
        </row>
        <row r="40">
          <cell r="B40" t="str">
            <v>INTERNET</v>
          </cell>
          <cell r="C40">
            <v>450000</v>
          </cell>
        </row>
        <row r="41">
          <cell r="B41" t="str">
            <v>ASESORES EXTERNOS</v>
          </cell>
          <cell r="C41">
            <v>700000</v>
          </cell>
        </row>
        <row r="42">
          <cell r="B42" t="str">
            <v>PAJARITA</v>
          </cell>
          <cell r="C42">
            <v>14000000</v>
          </cell>
        </row>
        <row r="43">
          <cell r="B43" t="str">
            <v>ARRIENDO</v>
          </cell>
          <cell r="C43">
            <v>750000</v>
          </cell>
        </row>
        <row r="44">
          <cell r="B44" t="str">
            <v>% SERVIDUMBRE</v>
          </cell>
          <cell r="C44">
            <v>27276358</v>
          </cell>
        </row>
        <row r="45">
          <cell r="B45" t="str">
            <v>DEPRECIACION</v>
          </cell>
          <cell r="C45">
            <v>37099221</v>
          </cell>
        </row>
        <row r="46">
          <cell r="B46" t="str">
            <v>AUTORENTA</v>
          </cell>
          <cell r="C46">
            <v>3920622.7766750003</v>
          </cell>
        </row>
        <row r="47">
          <cell r="B47" t="str">
            <v>GASTOS BANCARIOS</v>
          </cell>
          <cell r="C47">
            <v>1935000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CION"/>
      <sheetName val="TORTA CONSOL"/>
      <sheetName val="GTOS CONSOLIDADOS"/>
      <sheetName val="PERSONAL"/>
      <sheetName val="CUOTA ACERIAS"/>
      <sheetName val="ENERGIA"/>
      <sheetName val="COMBUSTIBLE"/>
      <sheetName val="MADERA"/>
      <sheetName val="EXPLOSIVO"/>
      <sheetName val="NOMINA"/>
      <sheetName val="CARGA PRESTAC"/>
      <sheetName val="INSUMOS"/>
      <sheetName val="TRANS MATERIALES"/>
      <sheetName val="RETROESCA"/>
      <sheetName val="CALIBRACION"/>
      <sheetName val="ELE ASEO"/>
      <sheetName val="DOTACION"/>
      <sheetName val="EX INGRESO"/>
      <sheetName val="PAPELERIA"/>
      <sheetName val="PEAJES"/>
      <sheetName val="TRANS PASA"/>
      <sheetName val="HOSPEDAJE"/>
      <sheetName val="VIATICOS"/>
      <sheetName val="RESTAURANTE"/>
      <sheetName val="MANT EQUIPOS"/>
      <sheetName val="LABORAT"/>
      <sheetName val="LEVA TOPO "/>
      <sheetName val="TRANS CARBON ACOPIO"/>
      <sheetName val="TELEFONO"/>
      <sheetName val="PLAN VENTILACION"/>
      <sheetName val="VARIOS"/>
      <sheetName val="PUBLICIDAD"/>
      <sheetName val="INTERNET"/>
      <sheetName val="ASESORES"/>
      <sheetName val="PAJARITA "/>
      <sheetName val="ARRIENDO"/>
      <sheetName val="% SERVIDUMBRE"/>
      <sheetName val="PAJARITA"/>
      <sheetName val="DEPRECIACION"/>
      <sheetName val="AUTORENTA"/>
      <sheetName val="GASTOS BANCARIOS"/>
      <sheetName val="INVERSIONES MINA"/>
      <sheetName val="INFRAESTUCTURA"/>
      <sheetName val="Hoja1"/>
    </sheetNames>
    <sheetDataSet>
      <sheetData sheetId="0"/>
      <sheetData sheetId="1">
        <row r="16">
          <cell r="B16" t="str">
            <v>CUOTA ACERIAS</v>
          </cell>
          <cell r="C16">
            <v>38000000</v>
          </cell>
        </row>
        <row r="17">
          <cell r="B17" t="str">
            <v>ENERGIA</v>
          </cell>
          <cell r="C17">
            <v>53232060</v>
          </cell>
        </row>
        <row r="18">
          <cell r="B18" t="str">
            <v>COMBUSTIBLE</v>
          </cell>
          <cell r="C18">
            <v>4085000</v>
          </cell>
        </row>
        <row r="19">
          <cell r="B19" t="str">
            <v>MADERA</v>
          </cell>
          <cell r="C19">
            <v>18000000</v>
          </cell>
        </row>
        <row r="20">
          <cell r="B20" t="str">
            <v xml:space="preserve">NOMINA </v>
          </cell>
          <cell r="C20">
            <v>169328214</v>
          </cell>
        </row>
        <row r="21">
          <cell r="B21" t="str">
            <v>CARGA PRESTACI</v>
          </cell>
          <cell r="C21">
            <v>115634237.34060001</v>
          </cell>
        </row>
        <row r="22">
          <cell r="B22" t="str">
            <v>INSUMOS</v>
          </cell>
          <cell r="C22">
            <v>21051761</v>
          </cell>
        </row>
        <row r="23">
          <cell r="B23" t="str">
            <v>CALIBRACION</v>
          </cell>
          <cell r="C23">
            <v>0</v>
          </cell>
        </row>
        <row r="24">
          <cell r="B24" t="str">
            <v>ELEMEN ASEO</v>
          </cell>
          <cell r="C24">
            <v>0</v>
          </cell>
        </row>
        <row r="25">
          <cell r="B25" t="str">
            <v>DOTACION</v>
          </cell>
          <cell r="C25">
            <v>1536000</v>
          </cell>
        </row>
        <row r="26">
          <cell r="B26" t="str">
            <v>EX INGRESO</v>
          </cell>
          <cell r="C26">
            <v>0</v>
          </cell>
        </row>
        <row r="27">
          <cell r="B27" t="str">
            <v>PAPELERIA</v>
          </cell>
          <cell r="C27">
            <v>0</v>
          </cell>
        </row>
        <row r="28">
          <cell r="B28" t="str">
            <v>PEAJES</v>
          </cell>
          <cell r="C28">
            <v>98000</v>
          </cell>
        </row>
        <row r="29">
          <cell r="B29" t="str">
            <v>TRANS PASA</v>
          </cell>
          <cell r="C29">
            <v>0</v>
          </cell>
        </row>
        <row r="30">
          <cell r="B30" t="str">
            <v>HOSPEDAJE</v>
          </cell>
          <cell r="C30">
            <v>0</v>
          </cell>
        </row>
        <row r="31">
          <cell r="B31" t="str">
            <v>VIATICOS</v>
          </cell>
          <cell r="C31">
            <v>240000</v>
          </cell>
        </row>
        <row r="32">
          <cell r="B32" t="str">
            <v>RESTAURANTE</v>
          </cell>
          <cell r="C32">
            <v>32145000</v>
          </cell>
        </row>
        <row r="33">
          <cell r="B33" t="str">
            <v>MANT EQUIPOS</v>
          </cell>
          <cell r="C33">
            <v>16389545</v>
          </cell>
        </row>
        <row r="34">
          <cell r="B34" t="str">
            <v>LEVANT TOPOGRAFICO</v>
          </cell>
          <cell r="C34">
            <v>0</v>
          </cell>
        </row>
        <row r="35">
          <cell r="B35" t="str">
            <v>TRANS CARBON</v>
          </cell>
          <cell r="C35">
            <v>66921280</v>
          </cell>
        </row>
        <row r="36">
          <cell r="B36" t="str">
            <v>TELEFONO</v>
          </cell>
          <cell r="C36">
            <v>319081</v>
          </cell>
        </row>
        <row r="37">
          <cell r="B37" t="str">
            <v>LEVANTAMIENTO TOPOGRAFICO</v>
          </cell>
          <cell r="C37">
            <v>0</v>
          </cell>
        </row>
        <row r="38">
          <cell r="B38" t="str">
            <v>VARIOS</v>
          </cell>
          <cell r="C38">
            <v>9191919</v>
          </cell>
        </row>
        <row r="39">
          <cell r="B39" t="str">
            <v>PUBLICIDAD</v>
          </cell>
          <cell r="C39">
            <v>0</v>
          </cell>
        </row>
        <row r="40">
          <cell r="B40" t="str">
            <v>INTERNET</v>
          </cell>
          <cell r="C40">
            <v>450000</v>
          </cell>
        </row>
        <row r="41">
          <cell r="B41" t="str">
            <v>ASESORES EXTERNOS</v>
          </cell>
          <cell r="C41">
            <v>3700000</v>
          </cell>
        </row>
        <row r="42">
          <cell r="B42" t="str">
            <v>PAJARITA</v>
          </cell>
          <cell r="C42">
            <v>14524000</v>
          </cell>
        </row>
        <row r="43">
          <cell r="B43" t="str">
            <v>ARRIENDO</v>
          </cell>
          <cell r="C43">
            <v>750000</v>
          </cell>
        </row>
        <row r="44">
          <cell r="B44" t="str">
            <v>% SERVIDUMBRE</v>
          </cell>
          <cell r="C44">
            <v>32132099</v>
          </cell>
        </row>
        <row r="45">
          <cell r="B45" t="str">
            <v>DEPRECIACION</v>
          </cell>
          <cell r="C45">
            <v>37099221</v>
          </cell>
        </row>
        <row r="46">
          <cell r="B46" t="str">
            <v>AUTORENTA</v>
          </cell>
          <cell r="C46">
            <v>4462812.8600000003</v>
          </cell>
        </row>
        <row r="47">
          <cell r="B47" t="str">
            <v>GASTOS BANCARIOS</v>
          </cell>
          <cell r="C47">
            <v>1935000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CION"/>
      <sheetName val="TORTA CONSOL"/>
      <sheetName val="GTOS CONSOLIDADOS"/>
      <sheetName val="PERSONAL"/>
      <sheetName val="CUOTA ACERIAS"/>
      <sheetName val="ENERGIA"/>
      <sheetName val="COMBUSTIBLE"/>
      <sheetName val="MADERA"/>
      <sheetName val="EXPLOSIVO"/>
      <sheetName val="NOMINA"/>
      <sheetName val="CARGA PRESTAC"/>
      <sheetName val="INSUMOS"/>
      <sheetName val="TRANS MATERIALES"/>
      <sheetName val="RETROESCA"/>
      <sheetName val="CALIBRACION"/>
      <sheetName val="ELE ASEO"/>
      <sheetName val="DOTACION"/>
      <sheetName val="EX INGRESO"/>
      <sheetName val="PAPELERIA"/>
      <sheetName val="PEAJES"/>
      <sheetName val="TRANS PASA"/>
      <sheetName val="HOSPEDAJE"/>
      <sheetName val="VIATICOS"/>
      <sheetName val="RESTAURANTE"/>
      <sheetName val="MANT EQUIPOS"/>
      <sheetName val="LABORAT"/>
      <sheetName val="LEVA TOPO "/>
      <sheetName val="TRANS CARBON ACOPIO"/>
      <sheetName val="TELEFONO"/>
      <sheetName val="PLAN VENTILACION"/>
      <sheetName val="VARIOS"/>
      <sheetName val="PUBLICIDAD"/>
      <sheetName val="INTERNET"/>
      <sheetName val="ASESORES"/>
      <sheetName val="PAJARITA "/>
      <sheetName val="ARRIENDO"/>
      <sheetName val="% SERVIDUMBRE"/>
      <sheetName val="PAJARITA"/>
      <sheetName val="DEPRECIACION"/>
      <sheetName val="AUTORENTA"/>
      <sheetName val="GASTOS BANCARIOS"/>
      <sheetName val="INVERSIONES MINA"/>
      <sheetName val="INFRAESTUCTURA"/>
      <sheetName val="Hoja1"/>
    </sheetNames>
    <sheetDataSet>
      <sheetData sheetId="0"/>
      <sheetData sheetId="1">
        <row r="16">
          <cell r="B16" t="str">
            <v>CUOTA ACERIAS</v>
          </cell>
          <cell r="C16">
            <v>38000000</v>
          </cell>
        </row>
        <row r="17">
          <cell r="B17" t="str">
            <v>ENERGIA</v>
          </cell>
          <cell r="C17">
            <v>73321510</v>
          </cell>
        </row>
        <row r="18">
          <cell r="B18" t="str">
            <v>COMBUSTIBLE</v>
          </cell>
          <cell r="C18">
            <v>5283000</v>
          </cell>
        </row>
        <row r="19">
          <cell r="B19" t="str">
            <v>MADERA</v>
          </cell>
          <cell r="C19">
            <v>18000000</v>
          </cell>
        </row>
        <row r="20">
          <cell r="B20" t="str">
            <v xml:space="preserve">NOMINA </v>
          </cell>
          <cell r="C20">
            <v>130493104</v>
          </cell>
        </row>
        <row r="21">
          <cell r="B21" t="str">
            <v>CARGA PRESTACI</v>
          </cell>
          <cell r="C21">
            <v>89113740.721600011</v>
          </cell>
        </row>
        <row r="22">
          <cell r="B22" t="str">
            <v>INSUMOS</v>
          </cell>
          <cell r="C22">
            <v>35389411</v>
          </cell>
        </row>
        <row r="23">
          <cell r="B23" t="str">
            <v>CALIBRACION</v>
          </cell>
          <cell r="C23">
            <v>0</v>
          </cell>
        </row>
        <row r="24">
          <cell r="B24" t="str">
            <v>ELEMEN ASEO</v>
          </cell>
          <cell r="C24">
            <v>0</v>
          </cell>
        </row>
        <row r="25">
          <cell r="B25" t="str">
            <v>DOTACION</v>
          </cell>
          <cell r="C25">
            <v>12404457</v>
          </cell>
        </row>
        <row r="26">
          <cell r="B26" t="str">
            <v>EX INGRESO</v>
          </cell>
          <cell r="C26">
            <v>0</v>
          </cell>
        </row>
        <row r="27">
          <cell r="B27" t="str">
            <v>PAPELERIA</v>
          </cell>
          <cell r="C27">
            <v>640200</v>
          </cell>
        </row>
        <row r="28">
          <cell r="B28" t="str">
            <v>PEAJES</v>
          </cell>
          <cell r="C28">
            <v>150000</v>
          </cell>
        </row>
        <row r="29">
          <cell r="B29" t="str">
            <v>TRANS PASA</v>
          </cell>
          <cell r="C29">
            <v>840000</v>
          </cell>
        </row>
        <row r="30">
          <cell r="B30" t="str">
            <v>HOSPEDAJE</v>
          </cell>
          <cell r="C30">
            <v>0</v>
          </cell>
        </row>
        <row r="31">
          <cell r="B31" t="str">
            <v>VIATICOS</v>
          </cell>
          <cell r="C31">
            <v>240000</v>
          </cell>
        </row>
        <row r="32">
          <cell r="B32" t="str">
            <v>RESTAURANTE</v>
          </cell>
          <cell r="C32">
            <v>24386500</v>
          </cell>
        </row>
        <row r="33">
          <cell r="B33" t="str">
            <v>MANT EQUIPOS</v>
          </cell>
          <cell r="C33">
            <v>6160000</v>
          </cell>
        </row>
        <row r="34">
          <cell r="B34" t="str">
            <v>LEVANT TOPOGRAFICO</v>
          </cell>
          <cell r="C34">
            <v>0</v>
          </cell>
        </row>
        <row r="35">
          <cell r="B35" t="str">
            <v>TRANS CARBON</v>
          </cell>
          <cell r="C35">
            <v>61586560</v>
          </cell>
        </row>
        <row r="36">
          <cell r="B36" t="str">
            <v>TELEFONO</v>
          </cell>
          <cell r="C36">
            <v>319081</v>
          </cell>
        </row>
        <row r="37">
          <cell r="B37" t="str">
            <v>LEVANTAMIENTO TOPOGRAFICO</v>
          </cell>
          <cell r="C37">
            <v>0</v>
          </cell>
        </row>
        <row r="38">
          <cell r="B38" t="str">
            <v>VARIOS</v>
          </cell>
          <cell r="C38">
            <v>143864000</v>
          </cell>
        </row>
        <row r="39">
          <cell r="B39" t="str">
            <v>PUBLICIDAD</v>
          </cell>
          <cell r="C39">
            <v>0</v>
          </cell>
        </row>
        <row r="40">
          <cell r="B40" t="str">
            <v>INTERNET</v>
          </cell>
          <cell r="C40">
            <v>450000</v>
          </cell>
        </row>
        <row r="41">
          <cell r="B41" t="str">
            <v>ASESORES EXTERNOS</v>
          </cell>
          <cell r="C41">
            <v>2367000</v>
          </cell>
        </row>
        <row r="42">
          <cell r="B42" t="str">
            <v>PAJARITA</v>
          </cell>
          <cell r="C42">
            <v>14000000</v>
          </cell>
        </row>
        <row r="43">
          <cell r="B43" t="str">
            <v>ARRIENDO</v>
          </cell>
          <cell r="C43">
            <v>750000</v>
          </cell>
        </row>
        <row r="44">
          <cell r="B44" t="str">
            <v>% SERVIDUMBRE</v>
          </cell>
          <cell r="C44">
            <v>32132099</v>
          </cell>
        </row>
        <row r="45">
          <cell r="B45" t="str">
            <v>DEPRECIACION</v>
          </cell>
          <cell r="C45">
            <v>37099221</v>
          </cell>
        </row>
        <row r="46">
          <cell r="B46" t="str">
            <v>AUTORENTA</v>
          </cell>
          <cell r="C46">
            <v>4123481.9348800005</v>
          </cell>
        </row>
        <row r="47">
          <cell r="B47" t="str">
            <v>GASTOS BANCARIOS</v>
          </cell>
          <cell r="C47">
            <v>2325600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Report ENERO"/>
      <sheetName val="Daily Report FEBRERO"/>
      <sheetName val="Daily Report MARZO"/>
      <sheetName val="Daily Report ABRIL"/>
      <sheetName val="Daily Report MAYO"/>
      <sheetName val="Daily Report JUNIO "/>
      <sheetName val="Daily Report JULIO"/>
      <sheetName val="Daily Report AGOSTO"/>
      <sheetName val="Daily Report SEPTIEMBRE"/>
      <sheetName val="Daily Report OCTUBRE"/>
      <sheetName val="Daily Report NOVIEMBRE"/>
      <sheetName val="Daily Report DICIEMBRE"/>
      <sheetName val="PRODUC ACUMULADA"/>
      <sheetName val="PRECIO PROMEDIO ANDRES"/>
      <sheetName val="FACTURACION ANDRES"/>
      <sheetName val="PRECIO PROMEDIO ACERIAS"/>
      <sheetName val="FACTURACION ACERIAS"/>
      <sheetName val="PRECIOS 2024-2025"/>
      <sheetName val="IMPUESTO 1% CONTINGENC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B5">
            <v>1698.66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CION"/>
      <sheetName val="TORTA CONSOL"/>
      <sheetName val="GTOS CONSOLIDADOS"/>
      <sheetName val="PERSONAL"/>
      <sheetName val="CUOTA ACERIAS"/>
      <sheetName val="ENERGIA"/>
      <sheetName val="COMBUSTIBLE"/>
      <sheetName val="MADERA"/>
      <sheetName val="EXPLOSIVO"/>
      <sheetName val="NOMINA"/>
      <sheetName val="CARGA PRESTAC"/>
      <sheetName val="INSUMOS"/>
      <sheetName val="TRANS MATERIALES"/>
      <sheetName val="RETROESCA"/>
      <sheetName val="CALIBRACION"/>
      <sheetName val="ELE ASEO"/>
      <sheetName val="DOTACION"/>
      <sheetName val="EXAMENES"/>
      <sheetName val="PAPELERIA"/>
      <sheetName val="PEAJES"/>
      <sheetName val="TRANS PASA"/>
      <sheetName val="APORTES FEDECARBON"/>
      <sheetName val="VIATICOS"/>
      <sheetName val="RESTAURANTE"/>
      <sheetName val="MANT EQUIPOS"/>
      <sheetName val="LABORAT"/>
      <sheetName val="LEVA TOPO "/>
      <sheetName val="TRANS CARBON ACOPIO"/>
      <sheetName val="TELEFONO"/>
      <sheetName val="POLIZA"/>
      <sheetName val="VARIOS"/>
      <sheetName val="PUBLICIDAD"/>
      <sheetName val="INTERNET"/>
      <sheetName val="ASESORES"/>
      <sheetName val="PAJARITA "/>
      <sheetName val="ARRIENDO"/>
      <sheetName val="% SERVIDUMBRE"/>
      <sheetName val="PAJARITA"/>
      <sheetName val="DEPRECIACION"/>
      <sheetName val="AUTORENTA"/>
      <sheetName val="REGALIAS"/>
      <sheetName val="GASTOS BANCARIOS"/>
      <sheetName val="INVERSIONES MINA"/>
      <sheetName val="INFRAESTUCTURA"/>
      <sheetName val="Hoja1"/>
    </sheetNames>
    <sheetDataSet>
      <sheetData sheetId="0">
        <row r="15">
          <cell r="B15">
            <v>1830.15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Report ENERO"/>
      <sheetName val="Daily Report FEBRERO"/>
      <sheetName val="Daily Report MARZO"/>
      <sheetName val="Daily Report ABRIL"/>
      <sheetName val="Daily Report MAYO"/>
      <sheetName val="Daily Report JUNIO "/>
      <sheetName val="Daily Report JULIO"/>
      <sheetName val="Daily Report AGOSTO"/>
      <sheetName val="Daily Report SEPTIEMBRE"/>
      <sheetName val="Daily Report OCTUBRE"/>
      <sheetName val="Daily Report NOVIEMBRE"/>
      <sheetName val="Daily Report DICIEMBRE"/>
      <sheetName val="PRODUC ACUMULADA"/>
      <sheetName val="PRECIO PROMEDIO ANDRES"/>
      <sheetName val="FACTURACION ANDRES"/>
      <sheetName val="PRECIO PROMEDIO ACERIAS"/>
      <sheetName val="FACTURACION ACERIAS"/>
      <sheetName val="PRECIOS 2024-2025"/>
      <sheetName val="IMPUESTO 1% CONTINGENCIA"/>
      <sheetName val="FACTURACION ACERIAS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">
          <cell r="B9">
            <v>1964.1099999999997</v>
          </cell>
        </row>
        <row r="10">
          <cell r="B10">
            <v>926.96999999999991</v>
          </cell>
        </row>
      </sheetData>
      <sheetData sheetId="13">
        <row r="33">
          <cell r="K33">
            <v>260000.00000000003</v>
          </cell>
          <cell r="V33">
            <v>1577.1299999999999</v>
          </cell>
          <cell r="W33">
            <v>270255</v>
          </cell>
        </row>
        <row r="34">
          <cell r="AB34">
            <v>1569.3</v>
          </cell>
          <cell r="AC34">
            <v>270255.00000000006</v>
          </cell>
        </row>
        <row r="35">
          <cell r="D35">
            <v>1355.27</v>
          </cell>
        </row>
        <row r="36">
          <cell r="Q36">
            <v>259999.99999999997</v>
          </cell>
          <cell r="AC36">
            <v>270255.00000000006</v>
          </cell>
          <cell r="AH36">
            <v>926.96999999999991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5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3:I56"/>
  <sheetViews>
    <sheetView topLeftCell="A28" workbookViewId="0">
      <selection activeCell="I26" sqref="I26"/>
    </sheetView>
  </sheetViews>
  <sheetFormatPr baseColWidth="10" defaultRowHeight="15" x14ac:dyDescent="0.25"/>
  <cols>
    <col min="1" max="1" width="11.42578125" style="314"/>
    <col min="2" max="2" width="22" style="314" customWidth="1"/>
    <col min="3" max="3" width="17.85546875" style="315" customWidth="1"/>
    <col min="4" max="4" width="9.42578125" style="314" customWidth="1"/>
    <col min="5" max="5" width="14.140625" style="316" customWidth="1"/>
    <col min="6" max="6" width="12.5703125" style="314" bestFit="1" customWidth="1"/>
    <col min="7" max="7" width="15.140625" style="314" bestFit="1" customWidth="1"/>
    <col min="8" max="8" width="13" style="314" bestFit="1" customWidth="1"/>
    <col min="9" max="9" width="12.5703125" style="314" bestFit="1" customWidth="1"/>
    <col min="10" max="16384" width="11.42578125" style="314"/>
  </cols>
  <sheetData>
    <row r="13" spans="2:8" x14ac:dyDescent="0.25">
      <c r="C13" s="426" t="s">
        <v>136</v>
      </c>
      <c r="D13" s="426"/>
      <c r="E13" s="426"/>
      <c r="F13" s="426"/>
      <c r="G13" s="426"/>
      <c r="H13" s="426"/>
    </row>
    <row r="14" spans="2:8" x14ac:dyDescent="0.25">
      <c r="C14" s="348"/>
      <c r="D14" s="348"/>
      <c r="E14" s="348"/>
      <c r="F14" s="348"/>
      <c r="G14" s="348"/>
      <c r="H14" s="348"/>
    </row>
    <row r="15" spans="2:8" ht="30" x14ac:dyDescent="0.25">
      <c r="C15" s="344" t="s">
        <v>48</v>
      </c>
      <c r="D15" s="345" t="s">
        <v>119</v>
      </c>
      <c r="E15" s="345" t="s">
        <v>120</v>
      </c>
    </row>
    <row r="16" spans="2:8" x14ac:dyDescent="0.25">
      <c r="B16" s="317" t="s">
        <v>42</v>
      </c>
      <c r="C16" s="343">
        <v>1150.22</v>
      </c>
      <c r="D16" s="346">
        <v>290000</v>
      </c>
      <c r="E16" s="347">
        <f>+C16*D16</f>
        <v>333563800</v>
      </c>
      <c r="F16" s="342"/>
      <c r="G16" s="342"/>
    </row>
    <row r="18" spans="2:8" ht="15.75" thickBot="1" x14ac:dyDescent="0.3"/>
    <row r="19" spans="2:8" ht="30.75" thickBot="1" x14ac:dyDescent="0.3">
      <c r="B19" s="318" t="s">
        <v>30</v>
      </c>
      <c r="C19" s="319" t="s">
        <v>31</v>
      </c>
      <c r="D19" s="319" t="s">
        <v>32</v>
      </c>
      <c r="E19" s="320" t="s">
        <v>33</v>
      </c>
      <c r="F19" s="321">
        <f>+C16</f>
        <v>1150.22</v>
      </c>
      <c r="G19" s="322" t="s">
        <v>113</v>
      </c>
      <c r="H19" s="323" t="s">
        <v>114</v>
      </c>
    </row>
    <row r="20" spans="2:8" x14ac:dyDescent="0.25">
      <c r="B20" s="324" t="s">
        <v>41</v>
      </c>
      <c r="C20" s="325">
        <v>63611017</v>
      </c>
      <c r="D20" s="326">
        <f>+C20*100%/C53</f>
        <v>0.13137304358677626</v>
      </c>
      <c r="E20" s="327">
        <f>+C20/F19</f>
        <v>55303.348055154667</v>
      </c>
      <c r="F20" s="328" t="s">
        <v>113</v>
      </c>
      <c r="G20" s="329">
        <f>+C20</f>
        <v>63611017</v>
      </c>
      <c r="H20" s="330"/>
    </row>
    <row r="21" spans="2:8" customFormat="1" x14ac:dyDescent="0.25">
      <c r="B21" s="312" t="s">
        <v>13</v>
      </c>
      <c r="C21" s="45">
        <v>29603230</v>
      </c>
      <c r="D21" s="23">
        <f>+C21*100%/C53</f>
        <v>6.1138252593876355E-2</v>
      </c>
      <c r="E21" s="47">
        <f>+C21/F19</f>
        <v>25737.015527464311</v>
      </c>
      <c r="F21" s="300" t="s">
        <v>114</v>
      </c>
      <c r="G21" s="2"/>
      <c r="H21" s="301">
        <f t="shared" ref="H21:H27" si="0">+C21</f>
        <v>29603230</v>
      </c>
    </row>
    <row r="22" spans="2:8" customFormat="1" x14ac:dyDescent="0.25">
      <c r="B22" s="313" t="s">
        <v>14</v>
      </c>
      <c r="C22" s="47">
        <v>3431124</v>
      </c>
      <c r="D22" s="46">
        <f>+C22*100%/C53</f>
        <v>7.0861499165094958E-3</v>
      </c>
      <c r="E22" s="47">
        <f>+C22/F19</f>
        <v>2983.0154231364436</v>
      </c>
      <c r="F22" s="302" t="s">
        <v>114</v>
      </c>
      <c r="G22" s="2"/>
      <c r="H22" s="301">
        <f t="shared" si="0"/>
        <v>3431124</v>
      </c>
    </row>
    <row r="23" spans="2:8" customFormat="1" x14ac:dyDescent="0.25">
      <c r="B23" s="313" t="s">
        <v>34</v>
      </c>
      <c r="C23" s="47">
        <v>7369000</v>
      </c>
      <c r="D23" s="46">
        <f>+C23*100%/C53</f>
        <v>1.5218872513718092E-2</v>
      </c>
      <c r="E23" s="47">
        <f>+C23/F19</f>
        <v>6406.6004764305953</v>
      </c>
      <c r="F23" s="302" t="s">
        <v>114</v>
      </c>
      <c r="G23" s="2"/>
      <c r="H23" s="301">
        <f t="shared" si="0"/>
        <v>7369000</v>
      </c>
    </row>
    <row r="24" spans="2:8" customFormat="1" x14ac:dyDescent="0.25">
      <c r="B24" s="313" t="s">
        <v>15</v>
      </c>
      <c r="C24" s="47">
        <v>168822742.42132801</v>
      </c>
      <c r="D24" s="46">
        <f>+C24*100%/C53</f>
        <v>0.34866220577099444</v>
      </c>
      <c r="E24" s="47">
        <f>+C24/F19</f>
        <v>146774.30615128236</v>
      </c>
      <c r="F24" s="302" t="s">
        <v>114</v>
      </c>
      <c r="G24" s="2"/>
      <c r="H24" s="301">
        <f t="shared" si="0"/>
        <v>168822742.42132801</v>
      </c>
    </row>
    <row r="25" spans="2:8" customFormat="1" x14ac:dyDescent="0.25">
      <c r="B25" s="313" t="s">
        <v>16</v>
      </c>
      <c r="C25" s="47">
        <v>70442617</v>
      </c>
      <c r="D25" s="46">
        <f>+C25*100%/C53</f>
        <v>0.14548204744954144</v>
      </c>
      <c r="E25" s="47">
        <f>+C25/F19</f>
        <v>61242.733564013841</v>
      </c>
      <c r="F25" s="302" t="s">
        <v>114</v>
      </c>
      <c r="G25" s="2"/>
      <c r="H25" s="301">
        <f t="shared" si="0"/>
        <v>70442617</v>
      </c>
    </row>
    <row r="26" spans="2:8" customFormat="1" x14ac:dyDescent="0.25">
      <c r="B26" s="313" t="s">
        <v>17</v>
      </c>
      <c r="C26" s="291">
        <v>23584638</v>
      </c>
      <c r="D26" s="46">
        <f>+C26*100%/C53</f>
        <v>4.8708318496972623E-2</v>
      </c>
      <c r="E26" s="47">
        <f>+C26/F19</f>
        <v>20504.458277546903</v>
      </c>
      <c r="F26" s="302" t="s">
        <v>114</v>
      </c>
      <c r="G26" s="2"/>
      <c r="H26" s="301">
        <f t="shared" si="0"/>
        <v>23584638</v>
      </c>
    </row>
    <row r="27" spans="2:8" customFormat="1" x14ac:dyDescent="0.25">
      <c r="B27" s="313" t="s">
        <v>18</v>
      </c>
      <c r="C27" s="291">
        <v>150000</v>
      </c>
      <c r="D27" s="46">
        <f>+C27*100%/C53</f>
        <v>3.0978842136758229E-4</v>
      </c>
      <c r="E27" s="47">
        <f>+C27/F19</f>
        <v>130.40983464032968</v>
      </c>
      <c r="F27" s="302" t="s">
        <v>114</v>
      </c>
      <c r="G27" s="2"/>
      <c r="H27" s="301">
        <f t="shared" si="0"/>
        <v>150000</v>
      </c>
    </row>
    <row r="28" spans="2:8" x14ac:dyDescent="0.25">
      <c r="B28" s="331" t="s">
        <v>28</v>
      </c>
      <c r="C28" s="327">
        <v>166666</v>
      </c>
      <c r="D28" s="332">
        <f>+C28*100%/C53</f>
        <v>3.4420798023766314E-4</v>
      </c>
      <c r="E28" s="327">
        <f>+C28/F19</f>
        <v>144.89923666776789</v>
      </c>
      <c r="F28" s="333" t="s">
        <v>113</v>
      </c>
      <c r="G28" s="334">
        <f>+C28</f>
        <v>166666</v>
      </c>
      <c r="H28" s="335"/>
    </row>
    <row r="29" spans="2:8" customFormat="1" x14ac:dyDescent="0.25">
      <c r="B29" s="313" t="s">
        <v>19</v>
      </c>
      <c r="C29" s="291">
        <v>1645000</v>
      </c>
      <c r="D29" s="46">
        <f>+C29*100%/C53</f>
        <v>3.3973463543311524E-3</v>
      </c>
      <c r="E29" s="47">
        <f>+C29/F19</f>
        <v>1430.1611865556154</v>
      </c>
      <c r="F29" s="302" t="s">
        <v>114</v>
      </c>
      <c r="G29" s="2"/>
      <c r="H29" s="301">
        <f>+C29</f>
        <v>1645000</v>
      </c>
    </row>
    <row r="30" spans="2:8" customFormat="1" x14ac:dyDescent="0.25">
      <c r="B30" s="313" t="s">
        <v>111</v>
      </c>
      <c r="C30" s="47">
        <v>211000</v>
      </c>
      <c r="D30" s="46">
        <f>+C30*100%/C53</f>
        <v>4.3576904605706574E-4</v>
      </c>
      <c r="E30" s="47">
        <f>+C30/F19</f>
        <v>183.44316739406375</v>
      </c>
      <c r="F30" s="302" t="s">
        <v>114</v>
      </c>
      <c r="G30" s="2"/>
      <c r="H30" s="301">
        <f>+C30</f>
        <v>211000</v>
      </c>
    </row>
    <row r="31" spans="2:8" x14ac:dyDescent="0.25">
      <c r="B31" s="331" t="s">
        <v>20</v>
      </c>
      <c r="C31" s="327">
        <v>0</v>
      </c>
      <c r="D31" s="332">
        <f>+C31*100%/C53</f>
        <v>0</v>
      </c>
      <c r="E31" s="327">
        <f>+C31/F19</f>
        <v>0</v>
      </c>
      <c r="F31" s="333" t="s">
        <v>113</v>
      </c>
      <c r="G31" s="334">
        <f>+C31</f>
        <v>0</v>
      </c>
      <c r="H31" s="335"/>
    </row>
    <row r="32" spans="2:8" customFormat="1" x14ac:dyDescent="0.25">
      <c r="B32" s="313" t="s">
        <v>21</v>
      </c>
      <c r="C32" s="47">
        <v>0</v>
      </c>
      <c r="D32" s="46">
        <f>+C32*100%/C53</f>
        <v>0</v>
      </c>
      <c r="E32" s="47">
        <f>+C32/F19</f>
        <v>0</v>
      </c>
      <c r="F32" s="302" t="s">
        <v>114</v>
      </c>
      <c r="G32" s="2"/>
      <c r="H32" s="301">
        <f t="shared" ref="H32:H36" si="1">+C32</f>
        <v>0</v>
      </c>
    </row>
    <row r="33" spans="2:9" customFormat="1" x14ac:dyDescent="0.25">
      <c r="B33" s="313" t="s">
        <v>22</v>
      </c>
      <c r="C33" s="47">
        <v>210000</v>
      </c>
      <c r="D33" s="46">
        <f>+C33*100%/C53</f>
        <v>4.3370378991461518E-4</v>
      </c>
      <c r="E33" s="47">
        <f>+C33/F19</f>
        <v>182.57376849646155</v>
      </c>
      <c r="F33" s="302" t="s">
        <v>114</v>
      </c>
      <c r="G33" s="2"/>
      <c r="H33" s="301">
        <f t="shared" si="1"/>
        <v>210000</v>
      </c>
    </row>
    <row r="34" spans="2:9" x14ac:dyDescent="0.25">
      <c r="B34" s="331" t="s">
        <v>112</v>
      </c>
      <c r="C34" s="327">
        <v>0</v>
      </c>
      <c r="D34" s="332">
        <f>+C34*100%/C53</f>
        <v>0</v>
      </c>
      <c r="E34" s="327">
        <f>+C34/F19</f>
        <v>0</v>
      </c>
      <c r="F34" s="333" t="s">
        <v>113</v>
      </c>
      <c r="G34" s="334">
        <f>+C34</f>
        <v>0</v>
      </c>
      <c r="H34" s="336">
        <v>0</v>
      </c>
    </row>
    <row r="35" spans="2:9" customFormat="1" x14ac:dyDescent="0.25">
      <c r="B35" s="313" t="s">
        <v>23</v>
      </c>
      <c r="C35" s="47">
        <v>4000000</v>
      </c>
      <c r="D35" s="46">
        <f>+C35*100%/C53</f>
        <v>8.2610245698021938E-3</v>
      </c>
      <c r="E35" s="47">
        <f>+C35/F19</f>
        <v>3477.5955904087914</v>
      </c>
      <c r="F35" s="302" t="s">
        <v>114</v>
      </c>
      <c r="G35" s="2"/>
      <c r="H35" s="301">
        <f t="shared" si="1"/>
        <v>4000000</v>
      </c>
    </row>
    <row r="36" spans="2:9" customFormat="1" x14ac:dyDescent="0.25">
      <c r="B36" s="313" t="s">
        <v>24</v>
      </c>
      <c r="C36" s="47">
        <v>17914000</v>
      </c>
      <c r="D36" s="46">
        <f>+C36*100%/C53</f>
        <v>3.6996998535859124E-2</v>
      </c>
      <c r="E36" s="47">
        <f>+C36/F19</f>
        <v>15574.411851645771</v>
      </c>
      <c r="F36" s="304" t="s">
        <v>114</v>
      </c>
      <c r="G36" s="2"/>
      <c r="H36" s="305">
        <f t="shared" si="1"/>
        <v>17914000</v>
      </c>
      <c r="I36" s="3"/>
    </row>
    <row r="37" spans="2:9" x14ac:dyDescent="0.25">
      <c r="B37" s="331" t="s">
        <v>25</v>
      </c>
      <c r="C37" s="327">
        <v>1000000</v>
      </c>
      <c r="D37" s="332">
        <f>+C37*100%/C53</f>
        <v>2.0652561424505484E-3</v>
      </c>
      <c r="E37" s="327">
        <f>+C37/F19</f>
        <v>869.39889760219785</v>
      </c>
      <c r="F37" s="333" t="s">
        <v>113</v>
      </c>
      <c r="G37" s="334">
        <f>+C37</f>
        <v>1000000</v>
      </c>
      <c r="H37" s="336">
        <v>0</v>
      </c>
    </row>
    <row r="38" spans="2:9" x14ac:dyDescent="0.25">
      <c r="B38" s="331" t="s">
        <v>36</v>
      </c>
      <c r="C38" s="327">
        <v>400000</v>
      </c>
      <c r="D38" s="332">
        <f>+C38*100%/C53</f>
        <v>8.261024569802194E-4</v>
      </c>
      <c r="E38" s="327">
        <f>+C38/F19</f>
        <v>347.75955904087914</v>
      </c>
      <c r="F38" s="333" t="s">
        <v>113</v>
      </c>
      <c r="G38" s="334">
        <f>+C38</f>
        <v>400000</v>
      </c>
      <c r="H38" s="335"/>
    </row>
    <row r="39" spans="2:9" x14ac:dyDescent="0.25">
      <c r="B39" s="331" t="s">
        <v>26</v>
      </c>
      <c r="C39" s="327">
        <v>34506600</v>
      </c>
      <c r="D39" s="332">
        <f>+C39*100%/C53</f>
        <v>7.1264967605084092E-2</v>
      </c>
      <c r="E39" s="327">
        <f>+C39/F19</f>
        <v>30000</v>
      </c>
      <c r="F39" s="333" t="s">
        <v>113</v>
      </c>
      <c r="G39" s="334">
        <f>+C39</f>
        <v>34506600</v>
      </c>
      <c r="H39" s="335"/>
    </row>
    <row r="40" spans="2:9" x14ac:dyDescent="0.25">
      <c r="B40" s="331" t="s">
        <v>27</v>
      </c>
      <c r="C40" s="327">
        <v>293000</v>
      </c>
      <c r="D40" s="332">
        <f>+C40*100%/C53</f>
        <v>6.051200497380107E-4</v>
      </c>
      <c r="E40" s="327">
        <f>+C40/F19</f>
        <v>254.73387699744396</v>
      </c>
      <c r="F40" s="333" t="s">
        <v>113</v>
      </c>
      <c r="G40" s="334">
        <f>+C40</f>
        <v>293000</v>
      </c>
      <c r="H40" s="335"/>
    </row>
    <row r="41" spans="2:9" x14ac:dyDescent="0.25">
      <c r="B41" s="331" t="s">
        <v>118</v>
      </c>
      <c r="C41" s="327">
        <v>1457156</v>
      </c>
      <c r="D41" s="332">
        <f>+C41*100%/C53</f>
        <v>3.0094003795086716E-3</v>
      </c>
      <c r="E41" s="327">
        <f>+C41/F19</f>
        <v>1266.8498200344281</v>
      </c>
      <c r="F41" s="333" t="s">
        <v>113</v>
      </c>
      <c r="G41" s="334">
        <f>+C41</f>
        <v>1457156</v>
      </c>
      <c r="H41" s="336">
        <v>0</v>
      </c>
    </row>
    <row r="42" spans="2:9" customFormat="1" x14ac:dyDescent="0.25">
      <c r="B42" s="313" t="s">
        <v>37</v>
      </c>
      <c r="C42" s="47">
        <v>0</v>
      </c>
      <c r="D42" s="46">
        <f>+C42*100%/C53</f>
        <v>0</v>
      </c>
      <c r="E42" s="47">
        <f>+C42/F19</f>
        <v>0</v>
      </c>
      <c r="F42" s="302" t="s">
        <v>114</v>
      </c>
      <c r="G42" s="303"/>
      <c r="H42" s="301">
        <f>+C42</f>
        <v>0</v>
      </c>
    </row>
    <row r="43" spans="2:9" customFormat="1" x14ac:dyDescent="0.25">
      <c r="B43" s="313" t="s">
        <v>38</v>
      </c>
      <c r="C43" s="47">
        <v>0</v>
      </c>
      <c r="D43" s="46">
        <f>+C43*100%/C53</f>
        <v>0</v>
      </c>
      <c r="E43" s="47">
        <f>+C43/F19</f>
        <v>0</v>
      </c>
      <c r="F43" s="302" t="s">
        <v>114</v>
      </c>
      <c r="G43" s="2"/>
      <c r="H43" s="301">
        <f>+C43</f>
        <v>0</v>
      </c>
    </row>
    <row r="44" spans="2:9" x14ac:dyDescent="0.25">
      <c r="B44" s="331" t="s">
        <v>39</v>
      </c>
      <c r="C44" s="327">
        <v>537000</v>
      </c>
      <c r="D44" s="332">
        <f>+C44*100%/C53</f>
        <v>1.1090425484959446E-3</v>
      </c>
      <c r="E44" s="327">
        <f>+C44/F19</f>
        <v>466.86720801238022</v>
      </c>
      <c r="F44" s="333" t="s">
        <v>113</v>
      </c>
      <c r="G44" s="334">
        <f>+C44</f>
        <v>537000</v>
      </c>
      <c r="H44" s="335"/>
    </row>
    <row r="45" spans="2:9" x14ac:dyDescent="0.25">
      <c r="B45" s="331" t="s">
        <v>35</v>
      </c>
      <c r="C45" s="327">
        <v>700000</v>
      </c>
      <c r="D45" s="332">
        <f>+C45*100%/C53</f>
        <v>1.4456792997153841E-3</v>
      </c>
      <c r="E45" s="327">
        <f>+C45/F19</f>
        <v>608.57922832153849</v>
      </c>
      <c r="F45" s="337" t="s">
        <v>113</v>
      </c>
      <c r="G45" s="334">
        <f>+C45</f>
        <v>700000</v>
      </c>
      <c r="H45" s="335"/>
    </row>
    <row r="46" spans="2:9" x14ac:dyDescent="0.25">
      <c r="B46" s="331" t="s">
        <v>58</v>
      </c>
      <c r="C46" s="327">
        <v>16711772.66</v>
      </c>
      <c r="D46" s="332">
        <f>+C46*100%/C53</f>
        <v>3.4514091137302146E-2</v>
      </c>
      <c r="E46" s="327">
        <f>+C46/F19</f>
        <v>14529.19672758255</v>
      </c>
      <c r="F46" s="337" t="s">
        <v>113</v>
      </c>
      <c r="G46" s="334">
        <f>+C46</f>
        <v>16711772.66</v>
      </c>
      <c r="H46" s="335"/>
    </row>
    <row r="47" spans="2:9" x14ac:dyDescent="0.25">
      <c r="B47" s="331" t="s">
        <v>59</v>
      </c>
      <c r="C47" s="327">
        <v>750000</v>
      </c>
      <c r="D47" s="332">
        <f>+C47*100%/C53</f>
        <v>1.5489421068379113E-3</v>
      </c>
      <c r="E47" s="327">
        <f>+C47/F19</f>
        <v>652.04917320164839</v>
      </c>
      <c r="F47" s="337" t="s">
        <v>113</v>
      </c>
      <c r="G47" s="334">
        <f>+C47</f>
        <v>750000</v>
      </c>
      <c r="H47" s="335"/>
    </row>
    <row r="48" spans="2:9" customFormat="1" x14ac:dyDescent="0.25">
      <c r="B48" s="313" t="s">
        <v>40</v>
      </c>
      <c r="C48" s="47">
        <v>16850707</v>
      </c>
      <c r="D48" s="46">
        <f>+C48*100%/C53</f>
        <v>3.4801026136384458E-2</v>
      </c>
      <c r="E48" s="47">
        <f>+C48/F19</f>
        <v>14649.986089617638</v>
      </c>
      <c r="F48" s="304" t="s">
        <v>114</v>
      </c>
      <c r="G48" s="2"/>
      <c r="H48" s="301">
        <f>+C48</f>
        <v>16850707</v>
      </c>
    </row>
    <row r="49" spans="2:9" x14ac:dyDescent="0.25">
      <c r="B49" s="331" t="s">
        <v>55</v>
      </c>
      <c r="C49" s="327"/>
      <c r="D49" s="332">
        <f>+C49*100%/C53</f>
        <v>0</v>
      </c>
      <c r="E49" s="327">
        <f>+C49/F19</f>
        <v>0</v>
      </c>
      <c r="F49" s="337" t="s">
        <v>113</v>
      </c>
      <c r="G49" s="334">
        <f>+C49</f>
        <v>0</v>
      </c>
      <c r="H49" s="335"/>
    </row>
    <row r="50" spans="2:9" customFormat="1" x14ac:dyDescent="0.25">
      <c r="B50" s="313" t="s">
        <v>56</v>
      </c>
      <c r="C50" s="47">
        <v>4251213.12</v>
      </c>
      <c r="D50" s="46">
        <f>+C50*100%/C53</f>
        <v>8.7798440089463612E-3</v>
      </c>
      <c r="E50" s="47">
        <f>+C50/F19</f>
        <v>3696</v>
      </c>
      <c r="F50" s="304" t="s">
        <v>114</v>
      </c>
      <c r="G50" s="2"/>
      <c r="H50" s="301">
        <f>+C50</f>
        <v>4251213.12</v>
      </c>
    </row>
    <row r="51" spans="2:9" ht="15.75" thickBot="1" x14ac:dyDescent="0.3">
      <c r="B51" s="331" t="s">
        <v>57</v>
      </c>
      <c r="C51" s="327">
        <v>1956000</v>
      </c>
      <c r="D51" s="332">
        <f>+C51*100%/C53</f>
        <v>4.039641014633273E-3</v>
      </c>
      <c r="E51" s="327">
        <f>+C51/F19</f>
        <v>1700.5442437098989</v>
      </c>
      <c r="F51" s="338" t="s">
        <v>113</v>
      </c>
      <c r="G51" s="339">
        <f>+C51</f>
        <v>1956000</v>
      </c>
      <c r="H51" s="340"/>
      <c r="I51" s="341">
        <f>SUM(G53:H53)</f>
        <v>484201440.89896798</v>
      </c>
    </row>
    <row r="52" spans="2:9" ht="15.75" thickBot="1" x14ac:dyDescent="0.3">
      <c r="B52" s="313" t="s">
        <v>122</v>
      </c>
      <c r="C52" s="47">
        <v>13626957.69764</v>
      </c>
      <c r="D52" s="46">
        <f>+C52*100%/C53</f>
        <v>2.8143158087964793E-2</v>
      </c>
      <c r="E52" s="47">
        <f>+C52/F19</f>
        <v>11847.261999999999</v>
      </c>
      <c r="F52" s="338" t="s">
        <v>114</v>
      </c>
      <c r="G52" s="339"/>
      <c r="H52" s="370">
        <f>+C52</f>
        <v>13626957.69764</v>
      </c>
      <c r="I52" s="341"/>
    </row>
    <row r="53" spans="2:9" customFormat="1" ht="15.75" thickBot="1" x14ac:dyDescent="0.3">
      <c r="C53" s="276">
        <f>SUM(C20:C52)</f>
        <v>484201440.89896804</v>
      </c>
      <c r="D53" s="4">
        <f t="shared" ref="D53:H53" si="2">SUM(D20:D52)</f>
        <v>0.99999999999999989</v>
      </c>
      <c r="E53" s="276">
        <f t="shared" si="2"/>
        <v>420964.19893495861</v>
      </c>
      <c r="F53" s="276">
        <f t="shared" si="2"/>
        <v>0</v>
      </c>
      <c r="G53" s="276">
        <f>SUM(G20:G52)</f>
        <v>122089211.66</v>
      </c>
      <c r="H53" s="276">
        <f t="shared" si="2"/>
        <v>362112229.23896801</v>
      </c>
    </row>
    <row r="54" spans="2:9" customFormat="1" ht="15.75" thickBot="1" x14ac:dyDescent="0.3">
      <c r="C54" s="309" t="s">
        <v>116</v>
      </c>
      <c r="D54" s="310" t="s">
        <v>117</v>
      </c>
      <c r="E54" s="311">
        <f>+G53/(290000-H54)</f>
        <v>-4918.9905286936782</v>
      </c>
      <c r="G54" s="307" t="s">
        <v>115</v>
      </c>
      <c r="H54" s="308">
        <f>+H53/F19</f>
        <v>314819.97290863312</v>
      </c>
    </row>
    <row r="55" spans="2:9" x14ac:dyDescent="0.25">
      <c r="G55" s="316"/>
    </row>
    <row r="56" spans="2:9" x14ac:dyDescent="0.25">
      <c r="H56" s="341"/>
    </row>
  </sheetData>
  <autoFilter ref="B19:H54" xr:uid="{00000000-0001-0000-0000-000000000000}"/>
  <mergeCells count="1">
    <mergeCell ref="C13:H13"/>
  </mergeCells>
  <pageMargins left="0.19685039370078741" right="0.19685039370078741" top="0.19685039370078741" bottom="0.19685039370078741" header="0.31496062992125984" footer="0.31496062992125984"/>
  <pageSetup paperSize="9" scale="70" orientation="landscape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D008-06F8-43E7-9E34-6632BC4127B8}">
  <sheetPr>
    <tabColor theme="5" tint="-0.249977111117893"/>
  </sheetPr>
  <dimension ref="B13:I64"/>
  <sheetViews>
    <sheetView workbookViewId="0">
      <selection activeCell="B17" sqref="B17"/>
    </sheetView>
  </sheetViews>
  <sheetFormatPr baseColWidth="10" defaultRowHeight="15" x14ac:dyDescent="0.25"/>
  <cols>
    <col min="1" max="1" width="11.42578125" style="314"/>
    <col min="2" max="2" width="24.85546875" style="314" customWidth="1"/>
    <col min="3" max="3" width="17.85546875" style="315" customWidth="1"/>
    <col min="4" max="4" width="9.42578125" style="314" customWidth="1"/>
    <col min="5" max="5" width="14.140625" style="316" customWidth="1"/>
    <col min="6" max="6" width="12.5703125" style="314" bestFit="1" customWidth="1"/>
    <col min="7" max="7" width="15.140625" style="314" bestFit="1" customWidth="1"/>
    <col min="8" max="8" width="13" style="314" customWidth="1"/>
    <col min="9" max="9" width="12.5703125" style="314" bestFit="1" customWidth="1"/>
    <col min="10" max="16384" width="11.42578125" style="314"/>
  </cols>
  <sheetData>
    <row r="13" spans="2:8" x14ac:dyDescent="0.25">
      <c r="C13" s="426" t="s">
        <v>136</v>
      </c>
      <c r="D13" s="426"/>
      <c r="E13" s="426"/>
      <c r="F13" s="426"/>
      <c r="G13" s="426"/>
      <c r="H13" s="426"/>
    </row>
    <row r="14" spans="2:8" x14ac:dyDescent="0.25">
      <c r="C14" s="348"/>
      <c r="D14" s="348"/>
      <c r="E14" s="348"/>
      <c r="F14" s="348"/>
      <c r="G14" s="348"/>
      <c r="H14" s="348"/>
    </row>
    <row r="15" spans="2:8" ht="30" x14ac:dyDescent="0.25">
      <c r="C15" s="344" t="s">
        <v>48</v>
      </c>
      <c r="D15" s="345" t="s">
        <v>119</v>
      </c>
      <c r="E15" s="345" t="s">
        <v>120</v>
      </c>
    </row>
    <row r="16" spans="2:8" x14ac:dyDescent="0.25">
      <c r="B16" s="317" t="s">
        <v>48</v>
      </c>
      <c r="C16" s="343">
        <f>+'PRODUC ACUMULADA'!B6</f>
        <v>1830.15</v>
      </c>
      <c r="D16" s="346">
        <v>325000</v>
      </c>
      <c r="E16" s="347">
        <f>+C16*D16</f>
        <v>594798750</v>
      </c>
      <c r="F16" s="342"/>
      <c r="G16" s="342"/>
    </row>
    <row r="18" spans="2:8" ht="15.75" thickBot="1" x14ac:dyDescent="0.3"/>
    <row r="19" spans="2:8" ht="30.75" thickBot="1" x14ac:dyDescent="0.3">
      <c r="B19" s="318" t="s">
        <v>30</v>
      </c>
      <c r="C19" s="319" t="s">
        <v>31</v>
      </c>
      <c r="D19" s="319" t="s">
        <v>32</v>
      </c>
      <c r="E19" s="320" t="s">
        <v>33</v>
      </c>
      <c r="F19" s="321">
        <f>+C16</f>
        <v>1830.15</v>
      </c>
      <c r="G19" s="322" t="s">
        <v>113</v>
      </c>
      <c r="H19" s="323" t="s">
        <v>114</v>
      </c>
    </row>
    <row r="20" spans="2:8" x14ac:dyDescent="0.25">
      <c r="B20" s="324" t="s">
        <v>41</v>
      </c>
      <c r="C20" s="349">
        <v>63611017</v>
      </c>
      <c r="D20" s="326">
        <f>+C20*100%/C53</f>
        <v>0.11325110491122319</v>
      </c>
      <c r="E20" s="327">
        <f>+C20/F19</f>
        <v>34757.269622708518</v>
      </c>
      <c r="F20" s="328" t="s">
        <v>113</v>
      </c>
      <c r="G20" s="329">
        <f>+C20</f>
        <v>63611017</v>
      </c>
      <c r="H20" s="330"/>
    </row>
    <row r="21" spans="2:8" customFormat="1" x14ac:dyDescent="0.25">
      <c r="B21" s="312" t="s">
        <v>13</v>
      </c>
      <c r="C21" s="350">
        <v>29368280</v>
      </c>
      <c r="D21" s="23">
        <f>+C21*100%/C53</f>
        <v>5.2286385538250046E-2</v>
      </c>
      <c r="E21" s="47">
        <f>+C21/F19</f>
        <v>16046.925115427697</v>
      </c>
      <c r="F21" s="300" t="s">
        <v>114</v>
      </c>
      <c r="G21" s="2"/>
      <c r="H21" s="301">
        <f t="shared" ref="H21:H27" si="0">+C21</f>
        <v>29368280</v>
      </c>
    </row>
    <row r="22" spans="2:8" customFormat="1" x14ac:dyDescent="0.25">
      <c r="B22" s="313" t="s">
        <v>14</v>
      </c>
      <c r="C22" s="13">
        <v>12535782</v>
      </c>
      <c r="D22" s="46">
        <f>+C22*100%/C53</f>
        <v>2.2318322035728862E-2</v>
      </c>
      <c r="E22" s="47">
        <f>+C22/F19</f>
        <v>6849.5926563396442</v>
      </c>
      <c r="F22" s="302" t="s">
        <v>114</v>
      </c>
      <c r="G22" s="2"/>
      <c r="H22" s="301">
        <f t="shared" si="0"/>
        <v>12535782</v>
      </c>
    </row>
    <row r="23" spans="2:8" customFormat="1" x14ac:dyDescent="0.25">
      <c r="B23" s="313" t="s">
        <v>34</v>
      </c>
      <c r="C23" s="13">
        <v>8182000</v>
      </c>
      <c r="D23" s="46">
        <f>+C23*100%/C53</f>
        <v>1.4566982011679332E-2</v>
      </c>
      <c r="E23" s="47">
        <f>+C23/F19</f>
        <v>4470.6718028576888</v>
      </c>
      <c r="F23" s="302" t="s">
        <v>114</v>
      </c>
      <c r="G23" s="2"/>
      <c r="H23" s="301">
        <f t="shared" si="0"/>
        <v>8182000</v>
      </c>
    </row>
    <row r="24" spans="2:8" customFormat="1" x14ac:dyDescent="0.25">
      <c r="B24" s="313" t="s">
        <v>15</v>
      </c>
      <c r="C24" s="13">
        <v>198767662.67836136</v>
      </c>
      <c r="D24" s="46">
        <f>+C24*100%/C53</f>
        <v>0.35387985416025852</v>
      </c>
      <c r="E24" s="47">
        <f>+C24/F19</f>
        <v>108607.30687559016</v>
      </c>
      <c r="F24" s="302" t="s">
        <v>114</v>
      </c>
      <c r="G24" s="2"/>
      <c r="H24" s="301">
        <f t="shared" si="0"/>
        <v>198767662.67836136</v>
      </c>
    </row>
    <row r="25" spans="2:8" customFormat="1" x14ac:dyDescent="0.25">
      <c r="B25" s="313" t="s">
        <v>16</v>
      </c>
      <c r="C25" s="13">
        <v>71057727.457887977</v>
      </c>
      <c r="D25" s="46">
        <f>+C25*100%/C53</f>
        <v>0.12650899995965126</v>
      </c>
      <c r="E25" s="47">
        <f>+C25/F19</f>
        <v>38826.176793097817</v>
      </c>
      <c r="F25" s="302" t="s">
        <v>114</v>
      </c>
      <c r="G25" s="2"/>
      <c r="H25" s="301">
        <f t="shared" si="0"/>
        <v>71057727.457887977</v>
      </c>
    </row>
    <row r="26" spans="2:8" customFormat="1" x14ac:dyDescent="0.25">
      <c r="B26" s="313" t="s">
        <v>17</v>
      </c>
      <c r="C26" s="351">
        <v>20158111</v>
      </c>
      <c r="D26" s="46">
        <f>+C26*100%/C53</f>
        <v>3.5888882953609785E-2</v>
      </c>
      <c r="E26" s="47">
        <f>+C26/F19</f>
        <v>11014.458377728601</v>
      </c>
      <c r="F26" s="302" t="s">
        <v>114</v>
      </c>
      <c r="G26" s="2"/>
      <c r="H26" s="301">
        <f t="shared" si="0"/>
        <v>20158111</v>
      </c>
    </row>
    <row r="27" spans="2:8" customFormat="1" x14ac:dyDescent="0.25">
      <c r="B27" s="313" t="s">
        <v>18</v>
      </c>
      <c r="C27" s="351">
        <v>150000</v>
      </c>
      <c r="D27" s="46">
        <f>+C27*100%/C53</f>
        <v>2.6705540231629181E-4</v>
      </c>
      <c r="E27" s="47">
        <f>+C27/F19</f>
        <v>81.960495041390047</v>
      </c>
      <c r="F27" s="302" t="s">
        <v>114</v>
      </c>
      <c r="G27" s="2"/>
      <c r="H27" s="301">
        <f t="shared" si="0"/>
        <v>150000</v>
      </c>
    </row>
    <row r="28" spans="2:8" x14ac:dyDescent="0.25">
      <c r="B28" s="331" t="s">
        <v>28</v>
      </c>
      <c r="C28" s="352">
        <v>166666</v>
      </c>
      <c r="D28" s="332">
        <f>+C28*100%/C53</f>
        <v>2.967270378829806E-4</v>
      </c>
      <c r="E28" s="327">
        <f>+C28/F19</f>
        <v>91.066852443788761</v>
      </c>
      <c r="F28" s="333" t="s">
        <v>113</v>
      </c>
      <c r="G28" s="334">
        <f>+C28</f>
        <v>166666</v>
      </c>
      <c r="H28" s="335"/>
    </row>
    <row r="29" spans="2:8" customFormat="1" x14ac:dyDescent="0.25">
      <c r="B29" s="313" t="s">
        <v>19</v>
      </c>
      <c r="C29" s="351">
        <v>3818000</v>
      </c>
      <c r="D29" s="46">
        <f>+C29*100%/C53</f>
        <v>6.7974501736240145E-3</v>
      </c>
      <c r="E29" s="47">
        <f>+C29/F19</f>
        <v>2086.1678004535147</v>
      </c>
      <c r="F29" s="302" t="s">
        <v>114</v>
      </c>
      <c r="G29" s="2"/>
      <c r="H29" s="301">
        <f>+C29</f>
        <v>3818000</v>
      </c>
    </row>
    <row r="30" spans="2:8" customFormat="1" x14ac:dyDescent="0.25">
      <c r="B30" s="313" t="s">
        <v>111</v>
      </c>
      <c r="C30" s="13">
        <v>1818000</v>
      </c>
      <c r="D30" s="46">
        <f>+C30*100%/C53</f>
        <v>3.2367114760734569E-3</v>
      </c>
      <c r="E30" s="47">
        <f>+C30/F19</f>
        <v>993.36119990164741</v>
      </c>
      <c r="F30" s="302" t="s">
        <v>114</v>
      </c>
      <c r="G30" s="2"/>
      <c r="H30" s="301">
        <f>+C30</f>
        <v>1818000</v>
      </c>
    </row>
    <row r="31" spans="2:8" x14ac:dyDescent="0.25">
      <c r="B31" s="331" t="s">
        <v>20</v>
      </c>
      <c r="C31" s="352">
        <v>0</v>
      </c>
      <c r="D31" s="332">
        <f>+C31*100%/C53</f>
        <v>0</v>
      </c>
      <c r="E31" s="327">
        <f>+C31/F19</f>
        <v>0</v>
      </c>
      <c r="F31" s="333" t="s">
        <v>113</v>
      </c>
      <c r="G31" s="334">
        <f>+C31</f>
        <v>0</v>
      </c>
      <c r="H31" s="335"/>
    </row>
    <row r="32" spans="2:8" customFormat="1" x14ac:dyDescent="0.25">
      <c r="B32" s="313" t="s">
        <v>21</v>
      </c>
      <c r="C32" s="13">
        <v>0</v>
      </c>
      <c r="D32" s="46">
        <f>+C32*100%/C53</f>
        <v>0</v>
      </c>
      <c r="E32" s="47">
        <f>+C32/F19</f>
        <v>0</v>
      </c>
      <c r="F32" s="302" t="s">
        <v>114</v>
      </c>
      <c r="G32" s="2"/>
      <c r="H32" s="301">
        <f t="shared" ref="H32:H36" si="1">+C32</f>
        <v>0</v>
      </c>
    </row>
    <row r="33" spans="2:9" customFormat="1" x14ac:dyDescent="0.25">
      <c r="B33" s="313" t="s">
        <v>22</v>
      </c>
      <c r="C33" s="13">
        <v>210000</v>
      </c>
      <c r="D33" s="46">
        <f>+C33*100%/C53</f>
        <v>3.7387756324280857E-4</v>
      </c>
      <c r="E33" s="47">
        <f>+C33/F19</f>
        <v>114.74469305794607</v>
      </c>
      <c r="F33" s="302" t="s">
        <v>114</v>
      </c>
      <c r="G33" s="2"/>
      <c r="H33" s="301">
        <f t="shared" si="1"/>
        <v>210000</v>
      </c>
    </row>
    <row r="34" spans="2:9" x14ac:dyDescent="0.25">
      <c r="B34" s="331" t="s">
        <v>112</v>
      </c>
      <c r="C34" s="352">
        <v>0</v>
      </c>
      <c r="D34" s="332">
        <f>+C34*100%/C53</f>
        <v>0</v>
      </c>
      <c r="E34" s="327">
        <f>+C34/F19</f>
        <v>0</v>
      </c>
      <c r="F34" s="333" t="s">
        <v>113</v>
      </c>
      <c r="G34" s="334">
        <f>+C34</f>
        <v>0</v>
      </c>
      <c r="H34" s="336">
        <v>0</v>
      </c>
    </row>
    <row r="35" spans="2:9" customFormat="1" x14ac:dyDescent="0.25">
      <c r="B35" s="313" t="s">
        <v>23</v>
      </c>
      <c r="C35" s="13">
        <v>4000000</v>
      </c>
      <c r="D35" s="46">
        <f>+C35*100%/C53</f>
        <v>7.1214773951011152E-3</v>
      </c>
      <c r="E35" s="47">
        <f>+C35/F19</f>
        <v>2185.6132011037344</v>
      </c>
      <c r="F35" s="302" t="s">
        <v>114</v>
      </c>
      <c r="G35" s="2"/>
      <c r="H35" s="301">
        <f t="shared" si="1"/>
        <v>4000000</v>
      </c>
    </row>
    <row r="36" spans="2:9" customFormat="1" x14ac:dyDescent="0.25">
      <c r="B36" s="313" t="s">
        <v>24</v>
      </c>
      <c r="C36" s="13">
        <v>17914000</v>
      </c>
      <c r="D36" s="46">
        <f>+C36*100%/C53</f>
        <v>3.1893536513960347E-2</v>
      </c>
      <c r="E36" s="47">
        <f>+C36/F19</f>
        <v>9788.2687211430748</v>
      </c>
      <c r="F36" s="304" t="s">
        <v>114</v>
      </c>
      <c r="G36" s="2"/>
      <c r="H36" s="305">
        <f t="shared" si="1"/>
        <v>17914000</v>
      </c>
      <c r="I36" s="3"/>
    </row>
    <row r="37" spans="2:9" x14ac:dyDescent="0.25">
      <c r="B37" s="331" t="s">
        <v>25</v>
      </c>
      <c r="C37" s="352">
        <v>6008352</v>
      </c>
      <c r="D37" s="332">
        <f>+C37*100%/C53</f>
        <v>1.0697085737452644E-2</v>
      </c>
      <c r="E37" s="327">
        <f>+C37/F19</f>
        <v>3282.9833620195063</v>
      </c>
      <c r="F37" s="333" t="s">
        <v>113</v>
      </c>
      <c r="G37" s="334">
        <f>+C37</f>
        <v>6008352</v>
      </c>
      <c r="H37" s="336">
        <v>0</v>
      </c>
    </row>
    <row r="38" spans="2:9" x14ac:dyDescent="0.25">
      <c r="B38" s="331" t="s">
        <v>36</v>
      </c>
      <c r="C38" s="352">
        <v>400000</v>
      </c>
      <c r="D38" s="332">
        <f>+C38*100%/C53</f>
        <v>7.1214773951011156E-4</v>
      </c>
      <c r="E38" s="327">
        <f>+C38/F19</f>
        <v>218.56132011037346</v>
      </c>
      <c r="F38" s="333" t="s">
        <v>113</v>
      </c>
      <c r="G38" s="334">
        <f>+C38</f>
        <v>400000</v>
      </c>
      <c r="H38" s="335"/>
    </row>
    <row r="39" spans="2:9" x14ac:dyDescent="0.25">
      <c r="B39" s="331" t="s">
        <v>26</v>
      </c>
      <c r="C39" s="352">
        <v>54904500</v>
      </c>
      <c r="D39" s="332">
        <f>+C39*100%/C53</f>
        <v>9.7750288909832297E-2</v>
      </c>
      <c r="E39" s="327">
        <f>+C39/F19</f>
        <v>30000</v>
      </c>
      <c r="F39" s="333" t="s">
        <v>113</v>
      </c>
      <c r="G39" s="334">
        <f>+C39</f>
        <v>54904500</v>
      </c>
      <c r="H39" s="335"/>
    </row>
    <row r="40" spans="2:9" x14ac:dyDescent="0.25">
      <c r="B40" s="331" t="s">
        <v>27</v>
      </c>
      <c r="C40" s="352">
        <v>293000</v>
      </c>
      <c r="D40" s="332">
        <f>+C40*100%/C53</f>
        <v>5.2164821919115664E-4</v>
      </c>
      <c r="E40" s="327">
        <f>+C40/F19</f>
        <v>160.09616698084855</v>
      </c>
      <c r="F40" s="333" t="s">
        <v>113</v>
      </c>
      <c r="G40" s="334">
        <f>+C40</f>
        <v>293000</v>
      </c>
      <c r="H40" s="335"/>
    </row>
    <row r="41" spans="2:9" x14ac:dyDescent="0.25">
      <c r="B41" s="331" t="s">
        <v>118</v>
      </c>
      <c r="C41" s="352">
        <v>1457156</v>
      </c>
      <c r="D41" s="332">
        <f>+C41*100%/C53</f>
        <v>2.5942758787839901E-3</v>
      </c>
      <c r="E41" s="327">
        <f>+C41/F19</f>
        <v>796.19484741687836</v>
      </c>
      <c r="F41" s="333" t="s">
        <v>113</v>
      </c>
      <c r="G41" s="334">
        <f>+C41</f>
        <v>1457156</v>
      </c>
      <c r="H41" s="336">
        <v>0</v>
      </c>
    </row>
    <row r="42" spans="2:9" customFormat="1" x14ac:dyDescent="0.25">
      <c r="B42" s="313" t="s">
        <v>37</v>
      </c>
      <c r="C42" s="13">
        <v>0</v>
      </c>
      <c r="D42" s="46">
        <f>+C42*100%/C53</f>
        <v>0</v>
      </c>
      <c r="E42" s="47">
        <f>+C42/F19</f>
        <v>0</v>
      </c>
      <c r="F42" s="302" t="s">
        <v>114</v>
      </c>
      <c r="G42" s="303"/>
      <c r="H42" s="301">
        <f>+C42</f>
        <v>0</v>
      </c>
    </row>
    <row r="43" spans="2:9" customFormat="1" x14ac:dyDescent="0.25">
      <c r="B43" s="313" t="s">
        <v>38</v>
      </c>
      <c r="C43" s="13">
        <v>0</v>
      </c>
      <c r="D43" s="46">
        <f>+C43*100%/C53</f>
        <v>0</v>
      </c>
      <c r="E43" s="47">
        <f>+C43/F19</f>
        <v>0</v>
      </c>
      <c r="F43" s="302" t="s">
        <v>114</v>
      </c>
      <c r="G43" s="2"/>
      <c r="H43" s="301">
        <f>+C43</f>
        <v>0</v>
      </c>
    </row>
    <row r="44" spans="2:9" x14ac:dyDescent="0.25">
      <c r="B44" s="331" t="s">
        <v>39</v>
      </c>
      <c r="C44" s="352">
        <v>537000</v>
      </c>
      <c r="D44" s="332">
        <f>+C44*100%/C53</f>
        <v>9.5605834029232478E-4</v>
      </c>
      <c r="E44" s="327">
        <f>+C44/F19</f>
        <v>293.41857224817636</v>
      </c>
      <c r="F44" s="333" t="s">
        <v>113</v>
      </c>
      <c r="G44" s="334">
        <f>+C44</f>
        <v>537000</v>
      </c>
      <c r="H44" s="335"/>
    </row>
    <row r="45" spans="2:9" x14ac:dyDescent="0.25">
      <c r="B45" s="331" t="s">
        <v>35</v>
      </c>
      <c r="C45" s="352">
        <v>700000</v>
      </c>
      <c r="D45" s="332">
        <f>+C45*100%/C53</f>
        <v>1.2462585441426952E-3</v>
      </c>
      <c r="E45" s="327">
        <f>+C45/F19</f>
        <v>382.48231019315352</v>
      </c>
      <c r="F45" s="337" t="s">
        <v>113</v>
      </c>
      <c r="G45" s="334">
        <f>+C45</f>
        <v>700000</v>
      </c>
      <c r="H45" s="335"/>
    </row>
    <row r="46" spans="2:9" x14ac:dyDescent="0.25">
      <c r="B46" s="331" t="s">
        <v>58</v>
      </c>
      <c r="C46" s="352">
        <v>16711772.66</v>
      </c>
      <c r="D46" s="332">
        <f>+C46*100%/C53</f>
        <v>2.975312780756471E-2</v>
      </c>
      <c r="E46" s="327">
        <f>+C46/F19</f>
        <v>9131.3677348851179</v>
      </c>
      <c r="F46" s="337" t="s">
        <v>113</v>
      </c>
      <c r="G46" s="334">
        <f>+C46</f>
        <v>16711772.66</v>
      </c>
      <c r="H46" s="335"/>
    </row>
    <row r="47" spans="2:9" x14ac:dyDescent="0.25">
      <c r="B47" s="331" t="s">
        <v>59</v>
      </c>
      <c r="C47" s="352">
        <v>750000</v>
      </c>
      <c r="D47" s="332">
        <f>+C47*100%/C53</f>
        <v>1.335277011581459E-3</v>
      </c>
      <c r="E47" s="327">
        <f>+C47/F19</f>
        <v>409.80247520695025</v>
      </c>
      <c r="F47" s="337" t="s">
        <v>113</v>
      </c>
      <c r="G47" s="334">
        <f>+C47</f>
        <v>750000</v>
      </c>
      <c r="H47" s="335"/>
    </row>
    <row r="48" spans="2:9" customFormat="1" x14ac:dyDescent="0.25">
      <c r="B48" s="313" t="s">
        <v>40</v>
      </c>
      <c r="C48" s="13">
        <v>18154989</v>
      </c>
      <c r="D48" s="46">
        <f>+C48*100%/C53</f>
        <v>3.2322585942952349E-2</v>
      </c>
      <c r="E48" s="47">
        <f>+C48/F19</f>
        <v>9919.9459060732715</v>
      </c>
      <c r="F48" s="304" t="s">
        <v>114</v>
      </c>
      <c r="G48" s="2"/>
      <c r="H48" s="301">
        <f>+C48</f>
        <v>18154989</v>
      </c>
    </row>
    <row r="49" spans="2:9" x14ac:dyDescent="0.25">
      <c r="B49" s="331" t="s">
        <v>55</v>
      </c>
      <c r="C49" s="352"/>
      <c r="D49" s="332">
        <f>+C49*100%/C53</f>
        <v>0</v>
      </c>
      <c r="E49" s="327">
        <f>+C49/F19</f>
        <v>0</v>
      </c>
      <c r="F49" s="337" t="s">
        <v>113</v>
      </c>
      <c r="G49" s="334">
        <f>+C49</f>
        <v>0</v>
      </c>
      <c r="H49" s="335"/>
    </row>
    <row r="50" spans="2:9" customFormat="1" x14ac:dyDescent="0.25">
      <c r="B50" s="313" t="s">
        <v>56</v>
      </c>
      <c r="C50" s="13">
        <v>6368922</v>
      </c>
      <c r="D50" s="46">
        <f>+C50*100%/C53</f>
        <v>1.1339033513540547E-2</v>
      </c>
      <c r="E50" s="47">
        <f>+C50/F19</f>
        <v>3480</v>
      </c>
      <c r="F50" s="304" t="s">
        <v>114</v>
      </c>
      <c r="G50" s="2"/>
      <c r="H50" s="301">
        <f>+C50</f>
        <v>6368922</v>
      </c>
    </row>
    <row r="51" spans="2:9" ht="15.75" thickBot="1" x14ac:dyDescent="0.3">
      <c r="B51" s="331" t="s">
        <v>57</v>
      </c>
      <c r="C51" s="352">
        <v>1956000</v>
      </c>
      <c r="D51" s="332">
        <f>+C51*100%/C53</f>
        <v>3.4824024462044452E-3</v>
      </c>
      <c r="E51" s="327">
        <f>+C51/F19</f>
        <v>1068.7648553397262</v>
      </c>
      <c r="F51" s="338" t="s">
        <v>113</v>
      </c>
      <c r="G51" s="339">
        <f>+C51</f>
        <v>1956000</v>
      </c>
      <c r="H51" s="340"/>
      <c r="I51" s="341">
        <f>SUM(G53:H53)</f>
        <v>561681204.34554935</v>
      </c>
    </row>
    <row r="52" spans="2:9" ht="15.75" thickBot="1" x14ac:dyDescent="0.3">
      <c r="B52" s="313" t="s">
        <v>122</v>
      </c>
      <c r="C52" s="47">
        <v>21682266.5493</v>
      </c>
      <c r="D52" s="46">
        <f>+C52*100%/C53</f>
        <v>3.8602442776349256E-2</v>
      </c>
      <c r="E52" s="47">
        <f>+C52/F19</f>
        <v>11847.261999999999</v>
      </c>
      <c r="F52" s="338" t="s">
        <v>114</v>
      </c>
      <c r="G52" s="339"/>
      <c r="H52" s="370">
        <f>+C52</f>
        <v>21682266.5493</v>
      </c>
      <c r="I52" s="341"/>
    </row>
    <row r="53" spans="2:9" customFormat="1" ht="15.75" thickBot="1" x14ac:dyDescent="0.3">
      <c r="C53" s="276">
        <f>SUM(C20:C52)</f>
        <v>561681204.34554935</v>
      </c>
      <c r="D53" s="4">
        <f t="shared" ref="D53:H53" si="2">SUM(D20:D52)</f>
        <v>1</v>
      </c>
      <c r="E53" s="276">
        <f t="shared" si="2"/>
        <v>306904.4637573692</v>
      </c>
      <c r="F53" s="276">
        <f t="shared" si="2"/>
        <v>0</v>
      </c>
      <c r="G53" s="276">
        <f t="shared" si="2"/>
        <v>147495463.66</v>
      </c>
      <c r="H53" s="276">
        <f t="shared" si="2"/>
        <v>414185740.68554932</v>
      </c>
    </row>
    <row r="54" spans="2:9" customFormat="1" ht="15.75" thickBot="1" x14ac:dyDescent="0.3">
      <c r="C54" s="309" t="s">
        <v>116</v>
      </c>
      <c r="D54" s="310" t="s">
        <v>117</v>
      </c>
      <c r="E54" s="354">
        <f>+G53/(290000-H54)</f>
        <v>2315.9232332967667</v>
      </c>
      <c r="G54" s="307" t="s">
        <v>115</v>
      </c>
      <c r="H54" s="308">
        <f>+H53/F19</f>
        <v>226312.45563781619</v>
      </c>
    </row>
    <row r="55" spans="2:9" x14ac:dyDescent="0.25">
      <c r="G55" s="316"/>
    </row>
    <row r="56" spans="2:9" x14ac:dyDescent="0.25">
      <c r="H56" s="341"/>
    </row>
    <row r="57" spans="2:9" x14ac:dyDescent="0.25">
      <c r="B57" s="355"/>
      <c r="C57" s="427"/>
      <c r="D57" s="427"/>
      <c r="E57" s="356"/>
    </row>
    <row r="58" spans="2:9" x14ac:dyDescent="0.25">
      <c r="B58" s="355"/>
      <c r="C58" s="428"/>
      <c r="D58" s="429"/>
      <c r="E58" s="356"/>
    </row>
    <row r="59" spans="2:9" x14ac:dyDescent="0.25">
      <c r="C59" s="357"/>
      <c r="E59" s="356"/>
    </row>
    <row r="60" spans="2:9" x14ac:dyDescent="0.25">
      <c r="B60" s="317"/>
      <c r="C60" s="357"/>
      <c r="E60" s="356"/>
    </row>
    <row r="61" spans="2:9" x14ac:dyDescent="0.25">
      <c r="B61" s="317"/>
      <c r="C61" s="429"/>
      <c r="D61" s="429"/>
      <c r="E61" s="429"/>
    </row>
    <row r="62" spans="2:9" x14ac:dyDescent="0.25">
      <c r="B62" s="317"/>
      <c r="C62" s="429"/>
      <c r="D62" s="429"/>
      <c r="E62" s="356"/>
    </row>
    <row r="63" spans="2:9" x14ac:dyDescent="0.25">
      <c r="B63" s="317"/>
      <c r="C63" s="358"/>
      <c r="E63" s="356"/>
    </row>
    <row r="64" spans="2:9" x14ac:dyDescent="0.25">
      <c r="C64" s="357"/>
      <c r="E64" s="356"/>
    </row>
  </sheetData>
  <autoFilter ref="B19:H54" xr:uid="{CB75D008-06F8-43E7-9E34-6632BC4127B8}"/>
  <mergeCells count="5">
    <mergeCell ref="C13:H13"/>
    <mergeCell ref="C57:D57"/>
    <mergeCell ref="C58:D58"/>
    <mergeCell ref="C61:E61"/>
    <mergeCell ref="C62:D62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58E98-34C2-4759-8130-7B4834FB83EA}">
  <sheetPr>
    <tabColor theme="5" tint="-0.249977111117893"/>
  </sheetPr>
  <dimension ref="B13:I56"/>
  <sheetViews>
    <sheetView topLeftCell="B34" workbookViewId="0">
      <selection activeCell="H22" sqref="H22"/>
    </sheetView>
  </sheetViews>
  <sheetFormatPr baseColWidth="10" defaultRowHeight="15" x14ac:dyDescent="0.25"/>
  <cols>
    <col min="1" max="1" width="11.42578125" style="314"/>
    <col min="2" max="2" width="22" style="314" customWidth="1"/>
    <col min="3" max="3" width="17.85546875" style="315" customWidth="1"/>
    <col min="4" max="4" width="9.42578125" style="314" customWidth="1"/>
    <col min="5" max="5" width="14.140625" style="316" customWidth="1"/>
    <col min="6" max="6" width="12.5703125" style="314" bestFit="1" customWidth="1"/>
    <col min="7" max="7" width="15.140625" style="314" bestFit="1" customWidth="1"/>
    <col min="8" max="8" width="13" style="314" bestFit="1" customWidth="1"/>
    <col min="9" max="9" width="12.5703125" style="314" bestFit="1" customWidth="1"/>
    <col min="10" max="16384" width="11.42578125" style="314"/>
  </cols>
  <sheetData>
    <row r="13" spans="2:8" x14ac:dyDescent="0.25">
      <c r="C13" s="426" t="s">
        <v>136</v>
      </c>
      <c r="D13" s="426"/>
      <c r="E13" s="426"/>
      <c r="F13" s="426"/>
      <c r="G13" s="426"/>
      <c r="H13" s="426"/>
    </row>
    <row r="14" spans="2:8" x14ac:dyDescent="0.25">
      <c r="C14" s="348"/>
      <c r="D14" s="348"/>
      <c r="E14" s="348"/>
      <c r="F14" s="348"/>
      <c r="G14" s="348"/>
      <c r="H14" s="348"/>
    </row>
    <row r="15" spans="2:8" ht="30" x14ac:dyDescent="0.25">
      <c r="C15" s="344" t="s">
        <v>48</v>
      </c>
      <c r="D15" s="345" t="s">
        <v>119</v>
      </c>
      <c r="E15" s="345" t="s">
        <v>120</v>
      </c>
    </row>
    <row r="16" spans="2:8" x14ac:dyDescent="0.25">
      <c r="B16" s="317" t="s">
        <v>48</v>
      </c>
      <c r="C16" s="343">
        <f>+'PRODUC ACUMULADA'!B7</f>
        <v>1898.77</v>
      </c>
      <c r="D16" s="346">
        <v>290000</v>
      </c>
      <c r="E16" s="347">
        <f>+C16*D16</f>
        <v>550643300</v>
      </c>
      <c r="F16" s="342"/>
      <c r="G16" s="342"/>
    </row>
    <row r="18" spans="2:8" ht="15.75" thickBot="1" x14ac:dyDescent="0.3"/>
    <row r="19" spans="2:8" ht="30.75" thickBot="1" x14ac:dyDescent="0.3">
      <c r="B19" s="318" t="s">
        <v>30</v>
      </c>
      <c r="C19" s="319" t="s">
        <v>31</v>
      </c>
      <c r="D19" s="319" t="s">
        <v>32</v>
      </c>
      <c r="E19" s="320" t="s">
        <v>33</v>
      </c>
      <c r="F19" s="321">
        <f>+C16</f>
        <v>1898.77</v>
      </c>
      <c r="G19" s="322" t="s">
        <v>113</v>
      </c>
      <c r="H19" s="323" t="s">
        <v>114</v>
      </c>
    </row>
    <row r="20" spans="2:8" x14ac:dyDescent="0.25">
      <c r="B20" s="324" t="s">
        <v>41</v>
      </c>
      <c r="C20" s="349">
        <v>63611017</v>
      </c>
      <c r="D20" s="326">
        <f>+C20*100%/C53</f>
        <v>0.1075330062437463</v>
      </c>
      <c r="E20" s="327">
        <f>+C20/F19</f>
        <v>33501.170231254968</v>
      </c>
      <c r="F20" s="328" t="s">
        <v>113</v>
      </c>
      <c r="G20" s="329">
        <f>+C20</f>
        <v>63611017</v>
      </c>
      <c r="H20" s="330"/>
    </row>
    <row r="21" spans="2:8" customFormat="1" x14ac:dyDescent="0.25">
      <c r="B21" s="312" t="s">
        <v>13</v>
      </c>
      <c r="C21" s="350">
        <v>38315850</v>
      </c>
      <c r="D21" s="23">
        <f>+C21*100%/C53</f>
        <v>6.4772090301345869E-2</v>
      </c>
      <c r="E21" s="47">
        <f>+C21/F19</f>
        <v>20179.300283867979</v>
      </c>
      <c r="F21" s="300" t="s">
        <v>114</v>
      </c>
      <c r="G21" s="2"/>
      <c r="H21" s="301">
        <f>+C21+3000000</f>
        <v>41315850</v>
      </c>
    </row>
    <row r="22" spans="2:8" customFormat="1" x14ac:dyDescent="0.25">
      <c r="B22" s="313" t="s">
        <v>14</v>
      </c>
      <c r="C22" s="13">
        <v>4480816</v>
      </c>
      <c r="D22" s="46">
        <f>+C22*100%/C53</f>
        <v>7.5747195632020524E-3</v>
      </c>
      <c r="E22" s="47">
        <f>+C22/F19</f>
        <v>2359.8519041274089</v>
      </c>
      <c r="F22" s="302" t="s">
        <v>114</v>
      </c>
      <c r="G22" s="2"/>
      <c r="H22" s="301">
        <f t="shared" ref="H22:H27" si="0">+C22</f>
        <v>4480816</v>
      </c>
    </row>
    <row r="23" spans="2:8" customFormat="1" x14ac:dyDescent="0.25">
      <c r="B23" s="313" t="s">
        <v>34</v>
      </c>
      <c r="C23" s="13">
        <v>10796500</v>
      </c>
      <c r="D23" s="46">
        <f>+C23*100%/C53</f>
        <v>1.8251242578162317E-2</v>
      </c>
      <c r="E23" s="47">
        <f>+C23/F19</f>
        <v>5686.049389868178</v>
      </c>
      <c r="F23" s="302" t="s">
        <v>114</v>
      </c>
      <c r="G23" s="2"/>
      <c r="H23" s="301">
        <f t="shared" si="0"/>
        <v>10796500</v>
      </c>
    </row>
    <row r="24" spans="2:8" customFormat="1" x14ac:dyDescent="0.25">
      <c r="B24" s="313" t="s">
        <v>15</v>
      </c>
      <c r="C24" s="13">
        <v>213743614.46699297</v>
      </c>
      <c r="D24" s="46">
        <f>+C24*100%/C53</f>
        <v>0.36132881555784679</v>
      </c>
      <c r="E24" s="47">
        <f>+C24/F19</f>
        <v>112569.51314113504</v>
      </c>
      <c r="F24" s="302" t="s">
        <v>114</v>
      </c>
      <c r="G24" s="2"/>
      <c r="H24" s="301">
        <f t="shared" si="0"/>
        <v>213743614.46699297</v>
      </c>
    </row>
    <row r="25" spans="2:8" customFormat="1" x14ac:dyDescent="0.25">
      <c r="B25" s="313" t="s">
        <v>16</v>
      </c>
      <c r="C25" s="13">
        <v>76527947.231191993</v>
      </c>
      <c r="D25" s="46">
        <f>+C25*100%/C53</f>
        <v>0.12936878885984257</v>
      </c>
      <c r="E25" s="47">
        <f>+C25/F19</f>
        <v>40303.958473744577</v>
      </c>
      <c r="F25" s="302" t="s">
        <v>114</v>
      </c>
      <c r="G25" s="2"/>
      <c r="H25" s="301">
        <f t="shared" si="0"/>
        <v>76527947.231191993</v>
      </c>
    </row>
    <row r="26" spans="2:8" customFormat="1" x14ac:dyDescent="0.25">
      <c r="B26" s="313" t="s">
        <v>17</v>
      </c>
      <c r="C26" s="351">
        <v>20658931</v>
      </c>
      <c r="D26" s="46">
        <f>+C26*100%/C53</f>
        <v>3.4923462333767183E-2</v>
      </c>
      <c r="E26" s="47">
        <f>+C26/F19</f>
        <v>10880.165054219311</v>
      </c>
      <c r="F26" s="302" t="s">
        <v>114</v>
      </c>
      <c r="G26" s="2"/>
      <c r="H26" s="301">
        <f t="shared" si="0"/>
        <v>20658931</v>
      </c>
    </row>
    <row r="27" spans="2:8" customFormat="1" x14ac:dyDescent="0.25">
      <c r="B27" s="313" t="s">
        <v>18</v>
      </c>
      <c r="C27" s="351">
        <v>150000</v>
      </c>
      <c r="D27" s="46">
        <f>+C27*100%/C53</f>
        <v>2.5357165625196571E-4</v>
      </c>
      <c r="E27" s="47">
        <f>+C27/F19</f>
        <v>78.998509561452948</v>
      </c>
      <c r="F27" s="302" t="s">
        <v>114</v>
      </c>
      <c r="G27" s="2"/>
      <c r="H27" s="301">
        <f t="shared" si="0"/>
        <v>150000</v>
      </c>
    </row>
    <row r="28" spans="2:8" x14ac:dyDescent="0.25">
      <c r="B28" s="331" t="s">
        <v>28</v>
      </c>
      <c r="C28" s="352">
        <v>166666</v>
      </c>
      <c r="D28" s="332">
        <f>+C28*100%/C53</f>
        <v>2.8174515773926742E-4</v>
      </c>
      <c r="E28" s="327">
        <f>+C28/F19</f>
        <v>87.775770630460769</v>
      </c>
      <c r="F28" s="333" t="s">
        <v>113</v>
      </c>
      <c r="G28" s="334">
        <f>+C28</f>
        <v>166666</v>
      </c>
      <c r="H28" s="335"/>
    </row>
    <row r="29" spans="2:8" customFormat="1" x14ac:dyDescent="0.25">
      <c r="B29" s="313" t="s">
        <v>19</v>
      </c>
      <c r="C29" s="351">
        <v>7751000</v>
      </c>
      <c r="D29" s="46">
        <f>+C29*100%/C53</f>
        <v>1.310289271739324E-2</v>
      </c>
      <c r="E29" s="47">
        <f>+C29/F19</f>
        <v>4082.1163174054782</v>
      </c>
      <c r="F29" s="302" t="s">
        <v>114</v>
      </c>
      <c r="G29" s="2"/>
      <c r="H29" s="301">
        <f>+C29</f>
        <v>7751000</v>
      </c>
    </row>
    <row r="30" spans="2:8" customFormat="1" x14ac:dyDescent="0.25">
      <c r="B30" s="313" t="s">
        <v>111</v>
      </c>
      <c r="C30" s="13">
        <v>0</v>
      </c>
      <c r="D30" s="46">
        <f>+C30*100%/C53</f>
        <v>0</v>
      </c>
      <c r="E30" s="47">
        <f>+C30/F19</f>
        <v>0</v>
      </c>
      <c r="F30" s="302" t="s">
        <v>114</v>
      </c>
      <c r="G30" s="2"/>
      <c r="H30" s="301">
        <f>+C30</f>
        <v>0</v>
      </c>
    </row>
    <row r="31" spans="2:8" x14ac:dyDescent="0.25">
      <c r="B31" s="331" t="s">
        <v>20</v>
      </c>
      <c r="C31" s="352">
        <v>0</v>
      </c>
      <c r="D31" s="332">
        <f>+C31*100%/C53</f>
        <v>0</v>
      </c>
      <c r="E31" s="327">
        <f>+C31/F19</f>
        <v>0</v>
      </c>
      <c r="F31" s="333" t="s">
        <v>113</v>
      </c>
      <c r="G31" s="334">
        <f>+C31</f>
        <v>0</v>
      </c>
      <c r="H31" s="335"/>
    </row>
    <row r="32" spans="2:8" customFormat="1" x14ac:dyDescent="0.25">
      <c r="B32" s="313" t="s">
        <v>21</v>
      </c>
      <c r="C32" s="13">
        <v>0</v>
      </c>
      <c r="D32" s="46">
        <f>+C32*100%/C53</f>
        <v>0</v>
      </c>
      <c r="E32" s="47">
        <f>+C32/F19</f>
        <v>0</v>
      </c>
      <c r="F32" s="302" t="s">
        <v>114</v>
      </c>
      <c r="G32" s="2"/>
      <c r="H32" s="301">
        <f t="shared" ref="H32:H36" si="1">+C32</f>
        <v>0</v>
      </c>
    </row>
    <row r="33" spans="2:9" customFormat="1" x14ac:dyDescent="0.25">
      <c r="B33" s="313" t="s">
        <v>22</v>
      </c>
      <c r="C33" s="13">
        <v>880000</v>
      </c>
      <c r="D33" s="46">
        <f>+C33*100%/C53</f>
        <v>1.4876203833448654E-3</v>
      </c>
      <c r="E33" s="47">
        <f>+C33/F19</f>
        <v>463.4579227605239</v>
      </c>
      <c r="F33" s="302" t="s">
        <v>114</v>
      </c>
      <c r="G33" s="2"/>
      <c r="H33" s="301">
        <f t="shared" si="1"/>
        <v>880000</v>
      </c>
    </row>
    <row r="34" spans="2:9" x14ac:dyDescent="0.25">
      <c r="B34" s="331" t="s">
        <v>112</v>
      </c>
      <c r="C34" s="352">
        <v>0</v>
      </c>
      <c r="D34" s="332">
        <f>+C34*100%/C53</f>
        <v>0</v>
      </c>
      <c r="E34" s="327">
        <f>+C34/F19</f>
        <v>0</v>
      </c>
      <c r="F34" s="333" t="s">
        <v>113</v>
      </c>
      <c r="G34" s="334">
        <f>+C34</f>
        <v>0</v>
      </c>
      <c r="H34" s="336">
        <v>0</v>
      </c>
    </row>
    <row r="35" spans="2:9" customFormat="1" x14ac:dyDescent="0.25">
      <c r="B35" s="313" t="s">
        <v>23</v>
      </c>
      <c r="C35" s="13">
        <v>4000000</v>
      </c>
      <c r="D35" s="46">
        <f>+C35*100%/C53</f>
        <v>6.7619108333857514E-3</v>
      </c>
      <c r="E35" s="47">
        <f>+C35/F19</f>
        <v>2106.626921638745</v>
      </c>
      <c r="F35" s="302" t="s">
        <v>114</v>
      </c>
      <c r="G35" s="2"/>
      <c r="H35" s="301">
        <f t="shared" si="1"/>
        <v>4000000</v>
      </c>
    </row>
    <row r="36" spans="2:9" customFormat="1" x14ac:dyDescent="0.25">
      <c r="B36" s="313" t="s">
        <v>24</v>
      </c>
      <c r="C36" s="13">
        <v>21459750</v>
      </c>
      <c r="D36" s="46">
        <f>+C36*100%/C53</f>
        <v>3.6277229001687471E-2</v>
      </c>
      <c r="E36" s="47">
        <f>+C36/F19</f>
        <v>11301.921770409264</v>
      </c>
      <c r="F36" s="304" t="s">
        <v>114</v>
      </c>
      <c r="G36" s="2"/>
      <c r="H36" s="305">
        <f t="shared" si="1"/>
        <v>21459750</v>
      </c>
      <c r="I36" s="3"/>
    </row>
    <row r="37" spans="2:9" x14ac:dyDescent="0.25">
      <c r="B37" s="331" t="s">
        <v>25</v>
      </c>
      <c r="C37" s="352">
        <v>0</v>
      </c>
      <c r="D37" s="332">
        <f>+C37*100%/C53</f>
        <v>0</v>
      </c>
      <c r="E37" s="327">
        <f>+C37/F19</f>
        <v>0</v>
      </c>
      <c r="F37" s="333" t="s">
        <v>113</v>
      </c>
      <c r="G37" s="334">
        <f>+C37</f>
        <v>0</v>
      </c>
      <c r="H37" s="336">
        <v>0</v>
      </c>
    </row>
    <row r="38" spans="2:9" x14ac:dyDescent="0.25">
      <c r="B38" s="331" t="s">
        <v>36</v>
      </c>
      <c r="C38" s="352">
        <v>400000</v>
      </c>
      <c r="D38" s="332">
        <f>+C38*100%/C53</f>
        <v>6.7619108333857511E-4</v>
      </c>
      <c r="E38" s="327">
        <f>+C38/F19</f>
        <v>210.66269216387451</v>
      </c>
      <c r="F38" s="333" t="s">
        <v>113</v>
      </c>
      <c r="G38" s="334">
        <f>+C38</f>
        <v>400000</v>
      </c>
      <c r="H38" s="335"/>
    </row>
    <row r="39" spans="2:9" x14ac:dyDescent="0.25">
      <c r="B39" s="331" t="s">
        <v>26</v>
      </c>
      <c r="C39" s="352">
        <v>56963100</v>
      </c>
      <c r="D39" s="332">
        <f>+C39*100%/C53</f>
        <v>9.6294850748308972E-2</v>
      </c>
      <c r="E39" s="327">
        <f>+C39/F19</f>
        <v>30000</v>
      </c>
      <c r="F39" s="333" t="s">
        <v>113</v>
      </c>
      <c r="G39" s="334">
        <f>+C39</f>
        <v>56963100</v>
      </c>
      <c r="H39" s="335"/>
    </row>
    <row r="40" spans="2:9" x14ac:dyDescent="0.25">
      <c r="B40" s="331" t="s">
        <v>27</v>
      </c>
      <c r="C40" s="352">
        <v>293000</v>
      </c>
      <c r="D40" s="332">
        <f>+C40*100%/C53</f>
        <v>4.9530996854550626E-4</v>
      </c>
      <c r="E40" s="327">
        <f>+C40/F19</f>
        <v>154.31042201003808</v>
      </c>
      <c r="F40" s="333" t="s">
        <v>113</v>
      </c>
      <c r="G40" s="334">
        <f>+C40</f>
        <v>293000</v>
      </c>
      <c r="H40" s="335"/>
    </row>
    <row r="41" spans="2:9" x14ac:dyDescent="0.25">
      <c r="B41" s="331" t="s">
        <v>118</v>
      </c>
      <c r="C41" s="352">
        <v>1457156</v>
      </c>
      <c r="D41" s="332">
        <f>+C41*100%/C53</f>
        <v>2.4632897355832623E-3</v>
      </c>
      <c r="E41" s="327">
        <f>+C41/F19</f>
        <v>767.42101465685687</v>
      </c>
      <c r="F41" s="333" t="s">
        <v>113</v>
      </c>
      <c r="G41" s="334">
        <f>+C41</f>
        <v>1457156</v>
      </c>
      <c r="H41" s="336">
        <v>0</v>
      </c>
    </row>
    <row r="42" spans="2:9" customFormat="1" x14ac:dyDescent="0.25">
      <c r="B42" s="313" t="s">
        <v>37</v>
      </c>
      <c r="C42" s="13">
        <v>0</v>
      </c>
      <c r="D42" s="46">
        <f>+C42*100%/C53</f>
        <v>0</v>
      </c>
      <c r="E42" s="47">
        <f>+C42/F19</f>
        <v>0</v>
      </c>
      <c r="F42" s="302" t="s">
        <v>114</v>
      </c>
      <c r="G42" s="303"/>
      <c r="H42" s="301">
        <f>+C42</f>
        <v>0</v>
      </c>
    </row>
    <row r="43" spans="2:9" customFormat="1" x14ac:dyDescent="0.25">
      <c r="B43" s="313" t="s">
        <v>38</v>
      </c>
      <c r="C43" s="13">
        <v>0</v>
      </c>
      <c r="D43" s="46">
        <f>+C43*100%/C53</f>
        <v>0</v>
      </c>
      <c r="E43" s="47">
        <f>+C43/F19</f>
        <v>0</v>
      </c>
      <c r="F43" s="302" t="s">
        <v>114</v>
      </c>
      <c r="G43" s="2"/>
      <c r="H43" s="301">
        <f>+C43</f>
        <v>0</v>
      </c>
    </row>
    <row r="44" spans="2:9" x14ac:dyDescent="0.25">
      <c r="B44" s="331" t="s">
        <v>39</v>
      </c>
      <c r="C44" s="352">
        <v>537000</v>
      </c>
      <c r="D44" s="332">
        <f>+C44*100%/C53</f>
        <v>9.0778652938203717E-4</v>
      </c>
      <c r="E44" s="327">
        <f>+C44/F19</f>
        <v>282.81466423000154</v>
      </c>
      <c r="F44" s="333" t="s">
        <v>113</v>
      </c>
      <c r="G44" s="334">
        <f>+C44</f>
        <v>537000</v>
      </c>
      <c r="H44" s="335"/>
    </row>
    <row r="45" spans="2:9" x14ac:dyDescent="0.25">
      <c r="B45" s="331" t="s">
        <v>35</v>
      </c>
      <c r="C45" s="352">
        <v>2000000</v>
      </c>
      <c r="D45" s="332">
        <f>+C45*100%/C53</f>
        <v>3.3809554166928757E-3</v>
      </c>
      <c r="E45" s="327">
        <f>+C45/F19</f>
        <v>1053.3134608193725</v>
      </c>
      <c r="F45" s="337" t="s">
        <v>113</v>
      </c>
      <c r="G45" s="334">
        <f>+C45</f>
        <v>2000000</v>
      </c>
      <c r="H45" s="335"/>
    </row>
    <row r="46" spans="2:9" x14ac:dyDescent="0.25">
      <c r="B46" s="331" t="s">
        <v>58</v>
      </c>
      <c r="C46" s="352">
        <v>16711772.66</v>
      </c>
      <c r="D46" s="332">
        <f>+C46*100%/C53</f>
        <v>2.8250879148683454E-2</v>
      </c>
      <c r="E46" s="327">
        <f>+C46/F19</f>
        <v>8801.3675484655851</v>
      </c>
      <c r="F46" s="337" t="s">
        <v>113</v>
      </c>
      <c r="G46" s="334">
        <f>+C46</f>
        <v>16711772.66</v>
      </c>
      <c r="H46" s="335"/>
    </row>
    <row r="47" spans="2:9" x14ac:dyDescent="0.25">
      <c r="B47" s="331" t="s">
        <v>59</v>
      </c>
      <c r="C47" s="352">
        <v>750000</v>
      </c>
      <c r="D47" s="332">
        <f>+C47*100%/C53</f>
        <v>1.2678582812598285E-3</v>
      </c>
      <c r="E47" s="327">
        <f>+C47/F19</f>
        <v>394.99254780726471</v>
      </c>
      <c r="F47" s="337" t="s">
        <v>113</v>
      </c>
      <c r="G47" s="334">
        <f>+C47</f>
        <v>750000</v>
      </c>
      <c r="H47" s="335"/>
    </row>
    <row r="48" spans="2:9" customFormat="1" x14ac:dyDescent="0.25">
      <c r="B48" s="313" t="s">
        <v>40</v>
      </c>
      <c r="C48" s="13">
        <v>18835699</v>
      </c>
      <c r="D48" s="46">
        <f>+C48*100%/C53</f>
        <v>3.184132928062329E-2</v>
      </c>
      <c r="E48" s="47">
        <f>+C48/F19</f>
        <v>9919.9476503209971</v>
      </c>
      <c r="F48" s="304" t="s">
        <v>114</v>
      </c>
      <c r="G48" s="2"/>
      <c r="H48" s="301">
        <f>+C48</f>
        <v>18835699</v>
      </c>
    </row>
    <row r="49" spans="2:9" x14ac:dyDescent="0.25">
      <c r="B49" s="331" t="s">
        <v>55</v>
      </c>
      <c r="C49" s="352"/>
      <c r="D49" s="332">
        <f>+C49*100%/C53</f>
        <v>0</v>
      </c>
      <c r="E49" s="327">
        <f>+C49/F19</f>
        <v>0</v>
      </c>
      <c r="F49" s="337" t="s">
        <v>113</v>
      </c>
      <c r="G49" s="334">
        <f>+C49</f>
        <v>0</v>
      </c>
      <c r="H49" s="335"/>
    </row>
    <row r="50" spans="2:9" customFormat="1" x14ac:dyDescent="0.25">
      <c r="B50" s="313" t="s">
        <v>56</v>
      </c>
      <c r="C50" s="13">
        <v>6607719.5999999996</v>
      </c>
      <c r="D50" s="46">
        <f>+C50*100%/C53</f>
        <v>1.117020268680384E-2</v>
      </c>
      <c r="E50" s="47">
        <f>+C50/F19</f>
        <v>3480</v>
      </c>
      <c r="F50" s="304" t="s">
        <v>114</v>
      </c>
      <c r="G50" s="2"/>
      <c r="H50" s="301">
        <f>+C50</f>
        <v>6607719.5999999996</v>
      </c>
    </row>
    <row r="51" spans="2:9" ht="15.75" thickBot="1" x14ac:dyDescent="0.3">
      <c r="B51" s="331" t="s">
        <v>57</v>
      </c>
      <c r="C51" s="352">
        <v>1956000</v>
      </c>
      <c r="D51" s="332">
        <f>+C51*100%/C53</f>
        <v>3.3065743975256327E-3</v>
      </c>
      <c r="E51" s="327">
        <f>+C51/F19</f>
        <v>1030.1405646813464</v>
      </c>
      <c r="F51" s="338" t="s">
        <v>113</v>
      </c>
      <c r="G51" s="339">
        <f>+C51</f>
        <v>1956000</v>
      </c>
      <c r="H51" s="340"/>
      <c r="I51" s="341">
        <f>SUM(G53:H53)</f>
        <v>594548764.62592494</v>
      </c>
    </row>
    <row r="52" spans="2:9" ht="15.75" thickBot="1" x14ac:dyDescent="0.3">
      <c r="B52" s="313" t="s">
        <v>122</v>
      </c>
      <c r="C52" s="47">
        <v>22495225.667739999</v>
      </c>
      <c r="D52" s="46">
        <f>+C52*100%/C53</f>
        <v>3.8027677535537083E-2</v>
      </c>
      <c r="E52" s="47">
        <f>+C52/F19</f>
        <v>11847.261999999999</v>
      </c>
      <c r="F52" s="338" t="s">
        <v>114</v>
      </c>
      <c r="G52" s="339"/>
      <c r="H52" s="370">
        <f>+C52</f>
        <v>22495225.667739999</v>
      </c>
      <c r="I52" s="341"/>
    </row>
    <row r="53" spans="2:9" customFormat="1" ht="15.75" thickBot="1" x14ac:dyDescent="0.3">
      <c r="C53" s="276">
        <f>SUM(C20:C52)</f>
        <v>591548764.62592494</v>
      </c>
      <c r="D53" s="4">
        <f t="shared" ref="D53:F53" si="2">SUM(D20:D52)</f>
        <v>1.0000000000000002</v>
      </c>
      <c r="E53" s="276">
        <f t="shared" si="2"/>
        <v>311543.1382557787</v>
      </c>
      <c r="F53" s="276">
        <f t="shared" si="2"/>
        <v>0</v>
      </c>
      <c r="G53" s="276">
        <f>SUM(G20:G52)</f>
        <v>144845711.66</v>
      </c>
      <c r="H53" s="276">
        <f>SUM(H20:H52)</f>
        <v>449703052.96592498</v>
      </c>
    </row>
    <row r="54" spans="2:9" customFormat="1" ht="15.75" thickBot="1" x14ac:dyDescent="0.3">
      <c r="C54" s="309" t="s">
        <v>116</v>
      </c>
      <c r="D54" s="310" t="s">
        <v>117</v>
      </c>
      <c r="E54" s="311">
        <f>+G53/(290000-H54)</f>
        <v>2724.6683063477653</v>
      </c>
      <c r="G54" s="307" t="s">
        <v>115</v>
      </c>
      <c r="H54" s="308">
        <f>+H53/F19</f>
        <v>236839.13953028803</v>
      </c>
    </row>
    <row r="55" spans="2:9" x14ac:dyDescent="0.25">
      <c r="G55" s="316"/>
    </row>
    <row r="56" spans="2:9" x14ac:dyDescent="0.25">
      <c r="E56" s="353"/>
      <c r="H56" s="341"/>
    </row>
  </sheetData>
  <mergeCells count="1">
    <mergeCell ref="C13:H13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81C4-BFCA-4D34-89AC-D176292A0B95}">
  <sheetPr>
    <tabColor theme="5" tint="-0.249977111117893"/>
  </sheetPr>
  <dimension ref="B13:K58"/>
  <sheetViews>
    <sheetView topLeftCell="A15" zoomScale="80" zoomScaleNormal="80" workbookViewId="0">
      <selection activeCell="L57" sqref="L57"/>
    </sheetView>
  </sheetViews>
  <sheetFormatPr baseColWidth="10" defaultRowHeight="15" x14ac:dyDescent="0.25"/>
  <cols>
    <col min="1" max="1" width="11.42578125" style="314"/>
    <col min="2" max="2" width="22" style="314" customWidth="1"/>
    <col min="3" max="3" width="15.85546875" style="315" customWidth="1"/>
    <col min="4" max="4" width="14.28515625" style="314" customWidth="1"/>
    <col min="5" max="5" width="17.5703125" style="316" customWidth="1"/>
    <col min="6" max="6" width="15.7109375" style="314" customWidth="1"/>
    <col min="7" max="7" width="16.5703125" style="314" customWidth="1"/>
    <col min="8" max="8" width="18.28515625" style="314" customWidth="1"/>
    <col min="9" max="16384" width="11.42578125" style="314"/>
  </cols>
  <sheetData>
    <row r="13" spans="2:8" x14ac:dyDescent="0.25">
      <c r="C13" s="426" t="s">
        <v>136</v>
      </c>
      <c r="D13" s="426"/>
      <c r="E13" s="426"/>
      <c r="F13" s="426"/>
      <c r="G13" s="426"/>
      <c r="H13" s="426"/>
    </row>
    <row r="14" spans="2:8" ht="15.75" thickBot="1" x14ac:dyDescent="0.3"/>
    <row r="15" spans="2:8" ht="30" customHeight="1" x14ac:dyDescent="0.25">
      <c r="B15" s="317" t="s">
        <v>48</v>
      </c>
      <c r="C15" s="409">
        <v>0</v>
      </c>
      <c r="D15" s="362" t="s">
        <v>48</v>
      </c>
      <c r="E15" s="359" t="s">
        <v>119</v>
      </c>
      <c r="F15" s="433" t="s">
        <v>120</v>
      </c>
      <c r="G15" s="434"/>
    </row>
    <row r="16" spans="2:8" ht="15.75" thickBot="1" x14ac:dyDescent="0.3">
      <c r="D16" s="360">
        <f>+'PRODUC ACUMULADA'!B8</f>
        <v>1800.91</v>
      </c>
      <c r="E16" s="361">
        <v>290000</v>
      </c>
      <c r="F16" s="431">
        <f>+D16*E16</f>
        <v>522263900</v>
      </c>
      <c r="G16" s="432"/>
    </row>
    <row r="18" spans="2:11" ht="21.75" thickBot="1" x14ac:dyDescent="0.4">
      <c r="C18" s="430">
        <v>2026</v>
      </c>
      <c r="D18" s="430"/>
      <c r="E18" s="430"/>
      <c r="F18" s="430"/>
      <c r="G18" s="430"/>
      <c r="H18" s="430"/>
      <c r="I18" s="430"/>
      <c r="J18" s="430"/>
      <c r="K18" s="430"/>
    </row>
    <row r="19" spans="2:11" ht="30.75" thickBot="1" x14ac:dyDescent="0.3">
      <c r="B19" s="410" t="s">
        <v>30</v>
      </c>
      <c r="C19" s="410" t="s">
        <v>31</v>
      </c>
      <c r="D19" s="410" t="s">
        <v>32</v>
      </c>
      <c r="E19" s="411" t="s">
        <v>33</v>
      </c>
      <c r="F19" s="321">
        <v>1840.79</v>
      </c>
      <c r="G19" s="322" t="s">
        <v>113</v>
      </c>
      <c r="H19" s="323" t="s">
        <v>114</v>
      </c>
    </row>
    <row r="20" spans="2:11" x14ac:dyDescent="0.25">
      <c r="B20" s="324" t="s">
        <v>41</v>
      </c>
      <c r="C20" s="423">
        <v>63611017</v>
      </c>
      <c r="D20" s="326">
        <f>+C20*100%/C53</f>
        <v>0.10831420107134725</v>
      </c>
      <c r="E20" s="327">
        <f>+C20/F19</f>
        <v>34556.368189744622</v>
      </c>
      <c r="F20" s="328" t="s">
        <v>113</v>
      </c>
      <c r="G20" s="329">
        <f>+C20</f>
        <v>63611017</v>
      </c>
      <c r="H20" s="330"/>
    </row>
    <row r="21" spans="2:11" x14ac:dyDescent="0.25">
      <c r="B21" s="324" t="s">
        <v>13</v>
      </c>
      <c r="C21" s="423">
        <v>36893750</v>
      </c>
      <c r="D21" s="412">
        <f>+C21*100%/C53</f>
        <v>6.2821147094315716E-2</v>
      </c>
      <c r="E21" s="327">
        <f>+C21/F19</f>
        <v>20042.345949293511</v>
      </c>
      <c r="F21" s="413" t="s">
        <v>114</v>
      </c>
      <c r="G21" s="414"/>
      <c r="H21" s="336">
        <f>+C21+5000000</f>
        <v>41893750</v>
      </c>
    </row>
    <row r="22" spans="2:11" x14ac:dyDescent="0.25">
      <c r="B22" s="331" t="s">
        <v>14</v>
      </c>
      <c r="C22" s="424">
        <v>4609346</v>
      </c>
      <c r="D22" s="332">
        <f>+C22*100%/C53</f>
        <v>7.8486031665145391E-3</v>
      </c>
      <c r="E22" s="327">
        <f>+C22/F19</f>
        <v>2504.0042590409553</v>
      </c>
      <c r="F22" s="333" t="s">
        <v>114</v>
      </c>
      <c r="G22" s="414"/>
      <c r="H22" s="336">
        <f t="shared" ref="H22:H27" si="0">+C22</f>
        <v>4609346</v>
      </c>
    </row>
    <row r="23" spans="2:11" x14ac:dyDescent="0.25">
      <c r="B23" s="331" t="s">
        <v>34</v>
      </c>
      <c r="C23" s="424">
        <v>10794500</v>
      </c>
      <c r="D23" s="332">
        <f>+C23*100%/C53</f>
        <v>1.8380426828652305E-2</v>
      </c>
      <c r="E23" s="327">
        <f>+C23/F19</f>
        <v>5864.0583662449271</v>
      </c>
      <c r="F23" s="333" t="s">
        <v>114</v>
      </c>
      <c r="G23" s="414"/>
      <c r="H23" s="336">
        <f t="shared" si="0"/>
        <v>10794500</v>
      </c>
    </row>
    <row r="24" spans="2:11" x14ac:dyDescent="0.25">
      <c r="B24" s="331" t="s">
        <v>15</v>
      </c>
      <c r="C24" s="424">
        <v>210197784.54519475</v>
      </c>
      <c r="D24" s="332">
        <f>+C24*100%/C53</f>
        <v>0.35791606821786781</v>
      </c>
      <c r="E24" s="327">
        <f>+C24/F19</f>
        <v>114188.89962743971</v>
      </c>
      <c r="F24" s="333" t="s">
        <v>114</v>
      </c>
      <c r="G24" s="414"/>
      <c r="H24" s="336">
        <f t="shared" si="0"/>
        <v>210197784.54519475</v>
      </c>
    </row>
    <row r="25" spans="2:11" x14ac:dyDescent="0.25">
      <c r="B25" s="331" t="s">
        <v>16</v>
      </c>
      <c r="C25" s="424">
        <v>80910432.30350399</v>
      </c>
      <c r="D25" s="332">
        <f>+C25*100%/C53</f>
        <v>0.13777092784558626</v>
      </c>
      <c r="E25" s="327">
        <f>+C25/F19</f>
        <v>43954.189398847229</v>
      </c>
      <c r="F25" s="333" t="s">
        <v>114</v>
      </c>
      <c r="G25" s="414"/>
      <c r="H25" s="336">
        <f t="shared" si="0"/>
        <v>80910432.30350399</v>
      </c>
    </row>
    <row r="26" spans="2:11" x14ac:dyDescent="0.25">
      <c r="B26" s="331" t="s">
        <v>17</v>
      </c>
      <c r="C26" s="424">
        <v>14065477</v>
      </c>
      <c r="D26" s="332">
        <f>+C26*100%/C53</f>
        <v>2.3950110779433223E-2</v>
      </c>
      <c r="E26" s="327">
        <f>+C26/F19</f>
        <v>7641.0003313794623</v>
      </c>
      <c r="F26" s="333" t="s">
        <v>114</v>
      </c>
      <c r="G26" s="414"/>
      <c r="H26" s="336">
        <f t="shared" si="0"/>
        <v>14065477</v>
      </c>
    </row>
    <row r="27" spans="2:11" x14ac:dyDescent="0.25">
      <c r="B27" s="331" t="s">
        <v>18</v>
      </c>
      <c r="C27" s="424">
        <v>150000</v>
      </c>
      <c r="D27" s="332">
        <f>+C27*100%/C53</f>
        <v>2.5541377778478353E-4</v>
      </c>
      <c r="E27" s="327">
        <f>+C27/F19</f>
        <v>81.486752970192143</v>
      </c>
      <c r="F27" s="333" t="s">
        <v>114</v>
      </c>
      <c r="G27" s="414"/>
      <c r="H27" s="336">
        <f t="shared" si="0"/>
        <v>150000</v>
      </c>
    </row>
    <row r="28" spans="2:11" x14ac:dyDescent="0.25">
      <c r="B28" s="331" t="s">
        <v>28</v>
      </c>
      <c r="C28" s="424">
        <v>166666</v>
      </c>
      <c r="D28" s="332">
        <f>+C28*100%/C53</f>
        <v>2.8379195125519151E-4</v>
      </c>
      <c r="E28" s="327">
        <f>+C28/F19</f>
        <v>90.540474470200294</v>
      </c>
      <c r="F28" s="333" t="s">
        <v>113</v>
      </c>
      <c r="G28" s="334">
        <f>+C28</f>
        <v>166666</v>
      </c>
      <c r="H28" s="335"/>
    </row>
    <row r="29" spans="2:11" x14ac:dyDescent="0.25">
      <c r="B29" s="331" t="s">
        <v>19</v>
      </c>
      <c r="C29" s="424">
        <v>7743200</v>
      </c>
      <c r="D29" s="332">
        <f>+C29*100%/C53</f>
        <v>1.3184799760954238E-2</v>
      </c>
      <c r="E29" s="327">
        <f>+C29/F19</f>
        <v>4206.4548373252792</v>
      </c>
      <c r="F29" s="333" t="s">
        <v>114</v>
      </c>
      <c r="G29" s="414"/>
      <c r="H29" s="336">
        <f>+C29</f>
        <v>7743200</v>
      </c>
    </row>
    <row r="30" spans="2:11" x14ac:dyDescent="0.25">
      <c r="B30" s="415" t="s">
        <v>111</v>
      </c>
      <c r="C30" s="424">
        <v>880000</v>
      </c>
      <c r="D30" s="332">
        <f>+C30*100%/C53</f>
        <v>1.4984274963373966E-3</v>
      </c>
      <c r="E30" s="327">
        <f>+C30/F19</f>
        <v>478.05561742512725</v>
      </c>
      <c r="F30" s="333" t="s">
        <v>114</v>
      </c>
      <c r="G30" s="414"/>
      <c r="H30" s="336">
        <f>+C30</f>
        <v>880000</v>
      </c>
    </row>
    <row r="31" spans="2:11" x14ac:dyDescent="0.25">
      <c r="B31" s="331" t="s">
        <v>20</v>
      </c>
      <c r="C31" s="424">
        <v>0</v>
      </c>
      <c r="D31" s="332">
        <f>+C31*100%/C53</f>
        <v>0</v>
      </c>
      <c r="E31" s="327">
        <f>+C31/F19</f>
        <v>0</v>
      </c>
      <c r="F31" s="333" t="s">
        <v>113</v>
      </c>
      <c r="G31" s="334">
        <f>+C31</f>
        <v>0</v>
      </c>
      <c r="H31" s="335"/>
    </row>
    <row r="32" spans="2:11" x14ac:dyDescent="0.25">
      <c r="B32" s="331" t="s">
        <v>21</v>
      </c>
      <c r="C32" s="424">
        <v>0</v>
      </c>
      <c r="D32" s="332">
        <f>+C32*100%/C53</f>
        <v>0</v>
      </c>
      <c r="E32" s="327">
        <f>+C32/F19</f>
        <v>0</v>
      </c>
      <c r="F32" s="333" t="s">
        <v>114</v>
      </c>
      <c r="G32" s="414"/>
      <c r="H32" s="336">
        <f t="shared" ref="H32:H36" si="1">+C32</f>
        <v>0</v>
      </c>
    </row>
    <row r="33" spans="2:8" x14ac:dyDescent="0.25">
      <c r="B33" s="331" t="s">
        <v>22</v>
      </c>
      <c r="C33" s="424">
        <v>960000</v>
      </c>
      <c r="D33" s="332">
        <f>+C33*100%/C53</f>
        <v>1.6346481778226145E-3</v>
      </c>
      <c r="E33" s="327">
        <f>+C33/F19</f>
        <v>521.51521900922978</v>
      </c>
      <c r="F33" s="333" t="s">
        <v>114</v>
      </c>
      <c r="G33" s="414"/>
      <c r="H33" s="336">
        <f t="shared" si="1"/>
        <v>960000</v>
      </c>
    </row>
    <row r="34" spans="2:8" x14ac:dyDescent="0.25">
      <c r="B34" s="331" t="s">
        <v>112</v>
      </c>
      <c r="C34" s="424">
        <v>0</v>
      </c>
      <c r="D34" s="332">
        <f>+C34*100%/C53</f>
        <v>0</v>
      </c>
      <c r="E34" s="327">
        <f>+C34/F19</f>
        <v>0</v>
      </c>
      <c r="F34" s="333" t="s">
        <v>113</v>
      </c>
      <c r="G34" s="334">
        <f>+C34</f>
        <v>0</v>
      </c>
      <c r="H34" s="336">
        <v>0</v>
      </c>
    </row>
    <row r="35" spans="2:8" x14ac:dyDescent="0.25">
      <c r="B35" s="331" t="s">
        <v>23</v>
      </c>
      <c r="C35" s="424">
        <v>4000000</v>
      </c>
      <c r="D35" s="332">
        <f>+C35*100%/C53</f>
        <v>6.811034074260894E-3</v>
      </c>
      <c r="E35" s="327">
        <f>+C35/F19</f>
        <v>2172.9800792051237</v>
      </c>
      <c r="F35" s="333" t="s">
        <v>114</v>
      </c>
      <c r="G35" s="414"/>
      <c r="H35" s="336">
        <f t="shared" si="1"/>
        <v>4000000</v>
      </c>
    </row>
    <row r="36" spans="2:8" x14ac:dyDescent="0.25">
      <c r="B36" s="331" t="s">
        <v>24</v>
      </c>
      <c r="C36" s="424">
        <v>20731750</v>
      </c>
      <c r="D36" s="332">
        <f>+C36*100%/C53</f>
        <v>3.5301163917264573E-2</v>
      </c>
      <c r="E36" s="327">
        <f>+C36/F19</f>
        <v>11262.419939265206</v>
      </c>
      <c r="F36" s="337" t="s">
        <v>114</v>
      </c>
      <c r="G36" s="414"/>
      <c r="H36" s="416">
        <f t="shared" si="1"/>
        <v>20731750</v>
      </c>
    </row>
    <row r="37" spans="2:8" x14ac:dyDescent="0.25">
      <c r="B37" s="331" t="s">
        <v>25</v>
      </c>
      <c r="C37" s="424">
        <v>0</v>
      </c>
      <c r="D37" s="332">
        <f>+C37*100%/C53</f>
        <v>0</v>
      </c>
      <c r="E37" s="327">
        <f>+C37/F19</f>
        <v>0</v>
      </c>
      <c r="F37" s="333" t="s">
        <v>113</v>
      </c>
      <c r="G37" s="334">
        <f>+C37</f>
        <v>0</v>
      </c>
      <c r="H37" s="336">
        <v>0</v>
      </c>
    </row>
    <row r="38" spans="2:8" x14ac:dyDescent="0.25">
      <c r="B38" s="331" t="s">
        <v>36</v>
      </c>
      <c r="C38" s="424">
        <v>400000</v>
      </c>
      <c r="D38" s="332">
        <f>+C38*100%/C53</f>
        <v>6.8110340742608935E-4</v>
      </c>
      <c r="E38" s="327">
        <f>+C38/F19</f>
        <v>217.29800792051239</v>
      </c>
      <c r="F38" s="333" t="s">
        <v>113</v>
      </c>
      <c r="G38" s="334">
        <f>+C38</f>
        <v>400000</v>
      </c>
      <c r="H38" s="335"/>
    </row>
    <row r="39" spans="2:8" x14ac:dyDescent="0.25">
      <c r="B39" s="331" t="s">
        <v>26</v>
      </c>
      <c r="C39" s="424">
        <v>54027300</v>
      </c>
      <c r="D39" s="332">
        <f>+C39*100%/C53</f>
        <v>9.1995445310078902E-2</v>
      </c>
      <c r="E39" s="327">
        <f>+C39/F19</f>
        <v>29350.061658309747</v>
      </c>
      <c r="F39" s="333" t="s">
        <v>113</v>
      </c>
      <c r="G39" s="334">
        <f>+C39</f>
        <v>54027300</v>
      </c>
      <c r="H39" s="335"/>
    </row>
    <row r="40" spans="2:8" x14ac:dyDescent="0.25">
      <c r="B40" s="331" t="s">
        <v>27</v>
      </c>
      <c r="C40" s="424">
        <v>293000</v>
      </c>
      <c r="D40" s="332">
        <f>+C40*100%/C53</f>
        <v>4.9890824593961042E-4</v>
      </c>
      <c r="E40" s="327">
        <f>+C40/F19</f>
        <v>159.17079080177533</v>
      </c>
      <c r="F40" s="333" t="s">
        <v>113</v>
      </c>
      <c r="G40" s="334">
        <f>+C40</f>
        <v>293000</v>
      </c>
      <c r="H40" s="335"/>
    </row>
    <row r="41" spans="2:8" x14ac:dyDescent="0.25">
      <c r="B41" s="331" t="s">
        <v>118</v>
      </c>
      <c r="C41" s="424">
        <v>1457156</v>
      </c>
      <c r="D41" s="332">
        <f>+C41*100%/C53</f>
        <v>2.4811847918784265E-3</v>
      </c>
      <c r="E41" s="327">
        <f>+C41/F19</f>
        <v>791.59274007355543</v>
      </c>
      <c r="F41" s="333" t="s">
        <v>113</v>
      </c>
      <c r="G41" s="334">
        <f>+C41</f>
        <v>1457156</v>
      </c>
      <c r="H41" s="336">
        <v>0</v>
      </c>
    </row>
    <row r="42" spans="2:8" x14ac:dyDescent="0.25">
      <c r="B42" s="331" t="s">
        <v>37</v>
      </c>
      <c r="C42" s="424">
        <v>0</v>
      </c>
      <c r="D42" s="332">
        <f>+C42*100%/C53</f>
        <v>0</v>
      </c>
      <c r="E42" s="327">
        <f>+C42/F19</f>
        <v>0</v>
      </c>
      <c r="F42" s="333" t="s">
        <v>114</v>
      </c>
      <c r="G42" s="334"/>
      <c r="H42" s="336">
        <f>+C42</f>
        <v>0</v>
      </c>
    </row>
    <row r="43" spans="2:8" x14ac:dyDescent="0.25">
      <c r="B43" s="331" t="s">
        <v>38</v>
      </c>
      <c r="C43" s="424">
        <v>0</v>
      </c>
      <c r="D43" s="332">
        <f>+C43*100%/C53</f>
        <v>0</v>
      </c>
      <c r="E43" s="327">
        <f>+C43/F19</f>
        <v>0</v>
      </c>
      <c r="F43" s="333" t="s">
        <v>114</v>
      </c>
      <c r="G43" s="414"/>
      <c r="H43" s="336">
        <f>+C43</f>
        <v>0</v>
      </c>
    </row>
    <row r="44" spans="2:8" ht="16.5" customHeight="1" x14ac:dyDescent="0.25">
      <c r="B44" s="331" t="s">
        <v>39</v>
      </c>
      <c r="C44" s="424">
        <v>537000</v>
      </c>
      <c r="D44" s="332">
        <f>+C44*100%/C53</f>
        <v>9.1438132446952495E-4</v>
      </c>
      <c r="E44" s="327">
        <f>+C44/F19</f>
        <v>291.72257563328787</v>
      </c>
      <c r="F44" s="333" t="s">
        <v>113</v>
      </c>
      <c r="G44" s="334">
        <f>+C44</f>
        <v>537000</v>
      </c>
      <c r="H44" s="335"/>
    </row>
    <row r="45" spans="2:8" x14ac:dyDescent="0.25">
      <c r="B45" s="331" t="s">
        <v>35</v>
      </c>
      <c r="C45" s="424">
        <v>700000</v>
      </c>
      <c r="D45" s="332">
        <f>+C45*100%/C53</f>
        <v>1.1919309629956564E-3</v>
      </c>
      <c r="E45" s="327">
        <f>+C45/F19</f>
        <v>380.27151386089668</v>
      </c>
      <c r="F45" s="337" t="s">
        <v>113</v>
      </c>
      <c r="G45" s="334">
        <f>+C45</f>
        <v>700000</v>
      </c>
      <c r="H45" s="335"/>
    </row>
    <row r="46" spans="2:8" x14ac:dyDescent="0.25">
      <c r="B46" s="331" t="s">
        <v>58</v>
      </c>
      <c r="C46" s="424">
        <v>16711772.66</v>
      </c>
      <c r="D46" s="332">
        <f>+C46*100%/C53</f>
        <v>2.8456113257140404E-2</v>
      </c>
      <c r="E46" s="327">
        <f>+C46/F19</f>
        <v>9078.5872695962062</v>
      </c>
      <c r="F46" s="337" t="s">
        <v>113</v>
      </c>
      <c r="G46" s="334">
        <f>+C46</f>
        <v>16711772.66</v>
      </c>
      <c r="H46" s="335"/>
    </row>
    <row r="47" spans="2:8" x14ac:dyDescent="0.25">
      <c r="B47" s="331" t="s">
        <v>59</v>
      </c>
      <c r="C47" s="424">
        <v>750000</v>
      </c>
      <c r="D47" s="332">
        <f>+C47*100%/C53</f>
        <v>1.2770688889239177E-3</v>
      </c>
      <c r="E47" s="327">
        <f>+C47/F19</f>
        <v>407.43376485096076</v>
      </c>
      <c r="F47" s="337" t="s">
        <v>113</v>
      </c>
      <c r="G47" s="334">
        <f>+C47</f>
        <v>750000</v>
      </c>
      <c r="H47" s="335"/>
    </row>
    <row r="48" spans="2:8" x14ac:dyDescent="0.25">
      <c r="B48" s="331" t="s">
        <v>40</v>
      </c>
      <c r="C48" s="424">
        <v>17864928</v>
      </c>
      <c r="D48" s="332">
        <f>+C48*100%/C53</f>
        <v>3.0419658335554382E-2</v>
      </c>
      <c r="E48" s="327">
        <f>+C48/F19</f>
        <v>9705.0331651084598</v>
      </c>
      <c r="F48" s="337" t="s">
        <v>114</v>
      </c>
      <c r="G48" s="414"/>
      <c r="H48" s="336">
        <f>+C48</f>
        <v>17864928</v>
      </c>
    </row>
    <row r="49" spans="2:8" x14ac:dyDescent="0.25">
      <c r="B49" s="331" t="s">
        <v>55</v>
      </c>
      <c r="C49" s="424"/>
      <c r="D49" s="332">
        <f>+C49*100%/C53</f>
        <v>0</v>
      </c>
      <c r="E49" s="327">
        <f>+C49/F19</f>
        <v>0</v>
      </c>
      <c r="F49" s="337" t="s">
        <v>113</v>
      </c>
      <c r="G49" s="334">
        <f>+C49</f>
        <v>0</v>
      </c>
      <c r="H49" s="335"/>
    </row>
    <row r="50" spans="2:8" x14ac:dyDescent="0.25">
      <c r="B50" s="331" t="s">
        <v>56</v>
      </c>
      <c r="C50" s="424">
        <v>6267166.7999999998</v>
      </c>
      <c r="D50" s="332">
        <f>+C50*100%/C53</f>
        <v>1.0671471655969152E-2</v>
      </c>
      <c r="E50" s="327">
        <f>+C50/F19</f>
        <v>3404.6071523639307</v>
      </c>
      <c r="F50" s="337" t="s">
        <v>114</v>
      </c>
      <c r="G50" s="414"/>
      <c r="H50" s="336">
        <f>+C50</f>
        <v>6267166.7999999998</v>
      </c>
    </row>
    <row r="51" spans="2:8" ht="15.75" thickBot="1" x14ac:dyDescent="0.3">
      <c r="B51" s="331" t="s">
        <v>57</v>
      </c>
      <c r="C51" s="424">
        <v>2080300</v>
      </c>
      <c r="D51" s="332">
        <f>+C51*100%/C53</f>
        <v>3.5422485461712341E-3</v>
      </c>
      <c r="E51" s="327">
        <f>+C51/F19</f>
        <v>1130.1126146926049</v>
      </c>
      <c r="F51" s="338" t="s">
        <v>113</v>
      </c>
      <c r="G51" s="339">
        <f>+C51</f>
        <v>2080300</v>
      </c>
      <c r="H51" s="340"/>
    </row>
    <row r="52" spans="2:8" ht="15.75" thickBot="1" x14ac:dyDescent="0.3">
      <c r="B52" s="331" t="s">
        <v>122</v>
      </c>
      <c r="C52" s="424">
        <v>30479789.4406</v>
      </c>
      <c r="D52" s="332">
        <f>+C52*100%/C53</f>
        <v>5.1899721114055997E-2</v>
      </c>
      <c r="E52" s="327">
        <f>+C52/F19</f>
        <v>16557.993818197621</v>
      </c>
      <c r="F52" s="338" t="s">
        <v>114</v>
      </c>
      <c r="G52" s="339"/>
      <c r="H52" s="370">
        <f>+C52</f>
        <v>30479789.4406</v>
      </c>
    </row>
    <row r="53" spans="2:8" ht="15.75" thickBot="1" x14ac:dyDescent="0.3">
      <c r="C53" s="417">
        <f>SUM(C20:C52)</f>
        <v>587282335.74929869</v>
      </c>
      <c r="D53" s="353">
        <f t="shared" ref="D53:E53" si="2">SUM(D20:D52)</f>
        <v>1</v>
      </c>
      <c r="E53" s="417">
        <f t="shared" si="2"/>
        <v>319038.20411307039</v>
      </c>
      <c r="F53" s="417"/>
      <c r="G53" s="417">
        <f>SUM(G20:G52)</f>
        <v>140734211.66</v>
      </c>
      <c r="H53" s="417">
        <f>SUM(H20:H52)</f>
        <v>451548124.08929873</v>
      </c>
    </row>
    <row r="54" spans="2:8" ht="15.75" thickBot="1" x14ac:dyDescent="0.3">
      <c r="C54" s="418" t="s">
        <v>116</v>
      </c>
      <c r="D54" s="419" t="s">
        <v>117</v>
      </c>
      <c r="E54" s="420">
        <f>+G53/(290000-H54)</f>
        <v>3148.5057951034623</v>
      </c>
      <c r="G54" s="421" t="s">
        <v>115</v>
      </c>
      <c r="H54" s="422">
        <f>+H53/F19</f>
        <v>245301.26961212236</v>
      </c>
    </row>
    <row r="58" spans="2:8" x14ac:dyDescent="0.25">
      <c r="H58" s="342">
        <f>+C53-F16</f>
        <v>65018435.749298692</v>
      </c>
    </row>
  </sheetData>
  <mergeCells count="4">
    <mergeCell ref="C13:H13"/>
    <mergeCell ref="C18:K18"/>
    <mergeCell ref="F16:G16"/>
    <mergeCell ref="F15:G15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82109-90D6-4B3C-9047-77A541FDA190}">
  <sheetPr>
    <tabColor theme="5" tint="-0.249977111117893"/>
  </sheetPr>
  <dimension ref="A13:J54"/>
  <sheetViews>
    <sheetView tabSelected="1" topLeftCell="A8" workbookViewId="0">
      <selection activeCell="A16" sqref="A16"/>
    </sheetView>
  </sheetViews>
  <sheetFormatPr baseColWidth="10" defaultRowHeight="15" x14ac:dyDescent="0.25"/>
  <cols>
    <col min="1" max="1" width="22" customWidth="1"/>
    <col min="2" max="2" width="15.85546875" style="1" customWidth="1"/>
    <col min="3" max="3" width="11.42578125" customWidth="1"/>
    <col min="4" max="4" width="12.85546875" style="19" customWidth="1"/>
    <col min="5" max="6" width="13.140625" customWidth="1"/>
    <col min="7" max="7" width="13.42578125" customWidth="1"/>
  </cols>
  <sheetData>
    <row r="13" spans="1:7" x14ac:dyDescent="0.25">
      <c r="B13" s="435" t="s">
        <v>136</v>
      </c>
      <c r="C13" s="435"/>
      <c r="D13" s="435"/>
      <c r="E13" s="435"/>
      <c r="F13" s="435"/>
      <c r="G13" s="435"/>
    </row>
    <row r="14" spans="1:7" ht="15.75" thickBot="1" x14ac:dyDescent="0.3"/>
    <row r="15" spans="1:7" ht="30" customHeight="1" x14ac:dyDescent="0.25">
      <c r="A15" s="20" t="s">
        <v>48</v>
      </c>
      <c r="B15" s="22">
        <v>0</v>
      </c>
      <c r="C15" s="362" t="s">
        <v>48</v>
      </c>
      <c r="D15" s="359" t="s">
        <v>119</v>
      </c>
      <c r="E15" s="359" t="s">
        <v>120</v>
      </c>
      <c r="F15" s="367"/>
    </row>
    <row r="16" spans="1:7" ht="15.75" thickBot="1" x14ac:dyDescent="0.3">
      <c r="C16" s="360">
        <f>+'PRODUC ACUMULADA'!B9</f>
        <v>1964.1099999999997</v>
      </c>
      <c r="D16" s="361">
        <v>290000</v>
      </c>
      <c r="E16" s="368">
        <f>+C16*D16</f>
        <v>569591899.99999988</v>
      </c>
      <c r="F16" s="369"/>
    </row>
    <row r="18" spans="1:10" ht="21.75" thickBot="1" x14ac:dyDescent="0.4">
      <c r="B18" s="436">
        <v>2026</v>
      </c>
      <c r="C18" s="436"/>
      <c r="D18" s="436"/>
      <c r="E18" s="436"/>
      <c r="F18" s="436"/>
      <c r="G18" s="436"/>
      <c r="H18" s="436"/>
      <c r="I18" s="436"/>
      <c r="J18" s="436"/>
    </row>
    <row r="19" spans="1:10" ht="30.75" thickBot="1" x14ac:dyDescent="0.3">
      <c r="A19" s="5" t="s">
        <v>30</v>
      </c>
      <c r="B19" s="5" t="s">
        <v>31</v>
      </c>
      <c r="C19" s="5" t="s">
        <v>32</v>
      </c>
      <c r="D19" s="44" t="s">
        <v>33</v>
      </c>
      <c r="E19" s="321">
        <f>+C16</f>
        <v>1964.1099999999997</v>
      </c>
      <c r="F19" s="322" t="s">
        <v>113</v>
      </c>
      <c r="G19" s="323" t="s">
        <v>114</v>
      </c>
    </row>
    <row r="20" spans="1:10" x14ac:dyDescent="0.25">
      <c r="A20" s="312" t="s">
        <v>41</v>
      </c>
      <c r="B20" s="49">
        <v>63611017</v>
      </c>
      <c r="C20" s="50">
        <f>+B20*100%/B53</f>
        <v>0.11799152195585555</v>
      </c>
      <c r="D20" s="47">
        <f>+B20/E19</f>
        <v>32386.687609146131</v>
      </c>
      <c r="E20" s="328" t="s">
        <v>113</v>
      </c>
      <c r="F20" s="329">
        <f>+B20</f>
        <v>63611017</v>
      </c>
      <c r="G20" s="330"/>
    </row>
    <row r="21" spans="1:10" x14ac:dyDescent="0.25">
      <c r="A21" s="312" t="s">
        <v>13</v>
      </c>
      <c r="B21" s="45">
        <v>31502690</v>
      </c>
      <c r="C21" s="23">
        <f>+B21*100%/B53</f>
        <v>5.8434065577091958E-2</v>
      </c>
      <c r="D21" s="47">
        <f>+B21/E19</f>
        <v>16039.16786738014</v>
      </c>
      <c r="E21" s="300" t="s">
        <v>114</v>
      </c>
      <c r="F21" s="2"/>
      <c r="G21" s="301">
        <f t="shared" ref="G21:G27" si="0">+B21</f>
        <v>31502690</v>
      </c>
    </row>
    <row r="22" spans="1:10" x14ac:dyDescent="0.25">
      <c r="A22" s="313" t="s">
        <v>14</v>
      </c>
      <c r="B22" s="47">
        <v>11596960</v>
      </c>
      <c r="C22" s="46">
        <f>+B22*100%/B53</f>
        <v>2.15111001992183E-2</v>
      </c>
      <c r="D22" s="47">
        <f>+B22/E19</f>
        <v>5904.4350876478411</v>
      </c>
      <c r="E22" s="302" t="s">
        <v>114</v>
      </c>
      <c r="F22" s="2"/>
      <c r="G22" s="301">
        <f t="shared" si="0"/>
        <v>11596960</v>
      </c>
    </row>
    <row r="23" spans="1:10" x14ac:dyDescent="0.25">
      <c r="A23" s="313" t="s">
        <v>34</v>
      </c>
      <c r="B23" s="47">
        <v>9099500</v>
      </c>
      <c r="C23" s="46">
        <f>+B23*100%/B53</f>
        <v>1.6878583375538669E-2</v>
      </c>
      <c r="D23" s="47">
        <f>+B23/E19</f>
        <v>4632.8871600877756</v>
      </c>
      <c r="E23" s="302" t="s">
        <v>114</v>
      </c>
      <c r="F23" s="2"/>
      <c r="G23" s="301">
        <f t="shared" si="0"/>
        <v>9099500</v>
      </c>
    </row>
    <row r="24" spans="1:10" x14ac:dyDescent="0.25">
      <c r="A24" s="313" t="s">
        <v>15</v>
      </c>
      <c r="B24" s="47">
        <v>157253477.27370131</v>
      </c>
      <c r="C24" s="46">
        <f>+B24*100%/B53</f>
        <v>0.29168810673746282</v>
      </c>
      <c r="D24" s="47">
        <f>+B24/E19</f>
        <v>80063.477744984411</v>
      </c>
      <c r="E24" s="302" t="s">
        <v>114</v>
      </c>
      <c r="F24" s="2"/>
      <c r="G24" s="301">
        <f t="shared" si="0"/>
        <v>157253477.27370131</v>
      </c>
    </row>
    <row r="25" spans="1:10" x14ac:dyDescent="0.25">
      <c r="A25" s="313" t="s">
        <v>16</v>
      </c>
      <c r="B25" s="47">
        <v>81142043.52248238</v>
      </c>
      <c r="C25" s="46">
        <f>+B25*100%/B53</f>
        <v>0.15050967051550154</v>
      </c>
      <c r="D25" s="47">
        <f>+B25/E19</f>
        <v>41312.372281838791</v>
      </c>
      <c r="E25" s="302" t="s">
        <v>114</v>
      </c>
      <c r="F25" s="2"/>
      <c r="G25" s="301">
        <f t="shared" si="0"/>
        <v>81142043.52248238</v>
      </c>
    </row>
    <row r="26" spans="1:10" x14ac:dyDescent="0.25">
      <c r="A26" s="313" t="s">
        <v>17</v>
      </c>
      <c r="B26" s="47">
        <v>19639123.899999999</v>
      </c>
      <c r="C26" s="46">
        <f>+B26*100%/B53</f>
        <v>3.6428440042714887E-2</v>
      </c>
      <c r="D26" s="47">
        <f>+B26/E19</f>
        <v>9998.9938954539211</v>
      </c>
      <c r="E26" s="302" t="s">
        <v>114</v>
      </c>
      <c r="F26" s="2"/>
      <c r="G26" s="301">
        <f t="shared" si="0"/>
        <v>19639123.899999999</v>
      </c>
    </row>
    <row r="27" spans="1:10" x14ac:dyDescent="0.25">
      <c r="A27" s="313" t="s">
        <v>18</v>
      </c>
      <c r="B27" s="47">
        <v>0</v>
      </c>
      <c r="C27" s="46">
        <f>+B27*100%/B53</f>
        <v>0</v>
      </c>
      <c r="D27" s="47">
        <f>+B27/E19</f>
        <v>0</v>
      </c>
      <c r="E27" s="302" t="s">
        <v>114</v>
      </c>
      <c r="F27" s="2"/>
      <c r="G27" s="301">
        <f t="shared" si="0"/>
        <v>0</v>
      </c>
    </row>
    <row r="28" spans="1:10" x14ac:dyDescent="0.25">
      <c r="A28" s="313" t="s">
        <v>28</v>
      </c>
      <c r="B28" s="47">
        <v>166666</v>
      </c>
      <c r="C28" s="46">
        <f>+B28*100%/B53</f>
        <v>3.0914731324441208E-4</v>
      </c>
      <c r="D28" s="47">
        <f>+B28/E19</f>
        <v>84.855736185855179</v>
      </c>
      <c r="E28" s="333" t="s">
        <v>113</v>
      </c>
      <c r="F28" s="334">
        <f>+B28</f>
        <v>166666</v>
      </c>
      <c r="G28" s="335"/>
    </row>
    <row r="29" spans="1:10" x14ac:dyDescent="0.25">
      <c r="A29" s="313" t="s">
        <v>19</v>
      </c>
      <c r="B29" s="47">
        <v>1095800</v>
      </c>
      <c r="C29" s="46">
        <f>+B29*100%/B53</f>
        <v>2.0325898854789025E-3</v>
      </c>
      <c r="D29" s="47">
        <f>+B29/E19</f>
        <v>557.91172592166436</v>
      </c>
      <c r="E29" s="302" t="s">
        <v>114</v>
      </c>
      <c r="F29" s="2"/>
      <c r="G29" s="301">
        <f>+B29</f>
        <v>1095800</v>
      </c>
    </row>
    <row r="30" spans="1:10" x14ac:dyDescent="0.25">
      <c r="A30" s="365" t="s">
        <v>111</v>
      </c>
      <c r="B30" s="47">
        <v>3480000</v>
      </c>
      <c r="C30" s="46">
        <f>+B30*100%/B53</f>
        <v>6.4550217206302066E-3</v>
      </c>
      <c r="D30" s="47">
        <f>+B30/E19</f>
        <v>1771.7948587400913</v>
      </c>
      <c r="E30" s="302" t="s">
        <v>114</v>
      </c>
      <c r="F30" s="2"/>
      <c r="G30" s="301">
        <f>+B30</f>
        <v>3480000</v>
      </c>
    </row>
    <row r="31" spans="1:10" x14ac:dyDescent="0.25">
      <c r="A31" s="313" t="s">
        <v>20</v>
      </c>
      <c r="B31" s="47">
        <v>0</v>
      </c>
      <c r="C31" s="46">
        <f>+B31*100%/B53</f>
        <v>0</v>
      </c>
      <c r="D31" s="47">
        <f>+B31/E19</f>
        <v>0</v>
      </c>
      <c r="E31" s="333" t="s">
        <v>113</v>
      </c>
      <c r="F31" s="334">
        <f>+B31</f>
        <v>0</v>
      </c>
      <c r="G31" s="335"/>
    </row>
    <row r="32" spans="1:10" x14ac:dyDescent="0.25">
      <c r="A32" s="313" t="s">
        <v>21</v>
      </c>
      <c r="B32" s="47">
        <v>0</v>
      </c>
      <c r="C32" s="46">
        <f>+B32*100%/B53</f>
        <v>0</v>
      </c>
      <c r="D32" s="47">
        <f>+B32/E19</f>
        <v>0</v>
      </c>
      <c r="E32" s="302" t="s">
        <v>114</v>
      </c>
      <c r="F32" s="2"/>
      <c r="G32" s="301">
        <f t="shared" ref="G32:G36" si="1">+B32</f>
        <v>0</v>
      </c>
    </row>
    <row r="33" spans="1:7" x14ac:dyDescent="0.25">
      <c r="A33" s="313" t="s">
        <v>22</v>
      </c>
      <c r="B33" s="47">
        <v>960000</v>
      </c>
      <c r="C33" s="46">
        <f>+B33*100%/B53</f>
        <v>1.7806956470704017E-3</v>
      </c>
      <c r="D33" s="47">
        <f>+B33/E19</f>
        <v>488.77099551450794</v>
      </c>
      <c r="E33" s="302" t="s">
        <v>114</v>
      </c>
      <c r="F33" s="2"/>
      <c r="G33" s="301">
        <f t="shared" si="1"/>
        <v>960000</v>
      </c>
    </row>
    <row r="34" spans="1:7" x14ac:dyDescent="0.25">
      <c r="A34" s="313" t="s">
        <v>112</v>
      </c>
      <c r="B34" s="47">
        <v>0</v>
      </c>
      <c r="C34" s="46">
        <f>+B34*100%/B53</f>
        <v>0</v>
      </c>
      <c r="D34" s="47">
        <f>+B34/E19</f>
        <v>0</v>
      </c>
      <c r="E34" s="333" t="s">
        <v>113</v>
      </c>
      <c r="F34" s="334">
        <f>+B34</f>
        <v>0</v>
      </c>
      <c r="G34" s="336">
        <v>0</v>
      </c>
    </row>
    <row r="35" spans="1:7" x14ac:dyDescent="0.25">
      <c r="A35" s="313" t="s">
        <v>23</v>
      </c>
      <c r="B35" s="47">
        <v>4000000</v>
      </c>
      <c r="C35" s="46">
        <f>+B35*100%/B53</f>
        <v>7.4195651961266743E-3</v>
      </c>
      <c r="D35" s="47">
        <f>+B35/E19</f>
        <v>2036.5458146437829</v>
      </c>
      <c r="E35" s="302" t="s">
        <v>114</v>
      </c>
      <c r="F35" s="2"/>
      <c r="G35" s="301">
        <f t="shared" si="1"/>
        <v>4000000</v>
      </c>
    </row>
    <row r="36" spans="1:7" x14ac:dyDescent="0.25">
      <c r="A36" s="313" t="s">
        <v>24</v>
      </c>
      <c r="B36" s="47">
        <v>23087468</v>
      </c>
      <c r="C36" s="46">
        <f>+B36*100%/B53</f>
        <v>4.2824743509872081E-2</v>
      </c>
      <c r="D36" s="47">
        <f>+B36/E19</f>
        <v>11754.671581530569</v>
      </c>
      <c r="E36" s="304" t="s">
        <v>114</v>
      </c>
      <c r="F36" s="2"/>
      <c r="G36" s="305">
        <f t="shared" si="1"/>
        <v>23087468</v>
      </c>
    </row>
    <row r="37" spans="1:7" x14ac:dyDescent="0.25">
      <c r="A37" s="313" t="s">
        <v>25</v>
      </c>
      <c r="B37" s="47">
        <v>0</v>
      </c>
      <c r="C37" s="46">
        <f>+B37*100%/B53</f>
        <v>0</v>
      </c>
      <c r="D37" s="47">
        <f>+B37/E19</f>
        <v>0</v>
      </c>
      <c r="E37" s="333" t="s">
        <v>113</v>
      </c>
      <c r="F37" s="334">
        <f>+B37</f>
        <v>0</v>
      </c>
      <c r="G37" s="336">
        <v>0</v>
      </c>
    </row>
    <row r="38" spans="1:7" x14ac:dyDescent="0.25">
      <c r="A38" s="313" t="s">
        <v>36</v>
      </c>
      <c r="B38" s="47">
        <v>400000</v>
      </c>
      <c r="C38" s="46">
        <f>+B38*100%/B53</f>
        <v>7.4195651961266745E-4</v>
      </c>
      <c r="D38" s="47">
        <f>+B38/E19</f>
        <v>203.65458146437831</v>
      </c>
      <c r="E38" s="333" t="s">
        <v>113</v>
      </c>
      <c r="F38" s="334">
        <f>+B38</f>
        <v>400000</v>
      </c>
      <c r="G38" s="335"/>
    </row>
    <row r="39" spans="1:7" x14ac:dyDescent="0.25">
      <c r="A39" s="313" t="s">
        <v>26</v>
      </c>
      <c r="B39" s="47">
        <v>49921100</v>
      </c>
      <c r="C39" s="46">
        <f>+B39*100%/B53</f>
        <v>9.2598214028089834E-2</v>
      </c>
      <c r="D39" s="47">
        <f>+B39/E19</f>
        <v>25416.651816853439</v>
      </c>
      <c r="E39" s="333" t="s">
        <v>113</v>
      </c>
      <c r="F39" s="334">
        <f>+B39</f>
        <v>49921100</v>
      </c>
      <c r="G39" s="335"/>
    </row>
    <row r="40" spans="1:7" x14ac:dyDescent="0.25">
      <c r="A40" s="313" t="s">
        <v>27</v>
      </c>
      <c r="B40" s="47">
        <v>293000</v>
      </c>
      <c r="C40" s="46">
        <f>+B40*100%/B53</f>
        <v>5.4348315061627888E-4</v>
      </c>
      <c r="D40" s="47">
        <f>+B40/E19</f>
        <v>149.17698092265709</v>
      </c>
      <c r="E40" s="333" t="s">
        <v>113</v>
      </c>
      <c r="F40" s="334">
        <f>+B40</f>
        <v>293000</v>
      </c>
      <c r="G40" s="335"/>
    </row>
    <row r="41" spans="1:7" x14ac:dyDescent="0.25">
      <c r="A41" s="313" t="s">
        <v>118</v>
      </c>
      <c r="B41" s="47">
        <v>1457156</v>
      </c>
      <c r="C41" s="46">
        <f>+B41*100%/B53</f>
        <v>2.7028659857317901E-3</v>
      </c>
      <c r="D41" s="47">
        <f>+B41/E19</f>
        <v>741.89123827076912</v>
      </c>
      <c r="E41" s="333" t="s">
        <v>113</v>
      </c>
      <c r="F41" s="334">
        <f>+B41</f>
        <v>1457156</v>
      </c>
      <c r="G41" s="336">
        <v>0</v>
      </c>
    </row>
    <row r="42" spans="1:7" x14ac:dyDescent="0.25">
      <c r="A42" s="313" t="s">
        <v>37</v>
      </c>
      <c r="B42" s="47">
        <v>0</v>
      </c>
      <c r="C42" s="46">
        <f>+B42*100%/B53</f>
        <v>0</v>
      </c>
      <c r="D42" s="47">
        <f>+B42/E19</f>
        <v>0</v>
      </c>
      <c r="E42" s="302" t="s">
        <v>114</v>
      </c>
      <c r="F42" s="303"/>
      <c r="G42" s="301">
        <f>+B42</f>
        <v>0</v>
      </c>
    </row>
    <row r="43" spans="1:7" x14ac:dyDescent="0.25">
      <c r="A43" s="313" t="s">
        <v>38</v>
      </c>
      <c r="B43" s="47">
        <v>0</v>
      </c>
      <c r="C43" s="46">
        <f>+B43*100%/B53</f>
        <v>0</v>
      </c>
      <c r="D43" s="47">
        <f>+B43/E19</f>
        <v>0</v>
      </c>
      <c r="E43" s="302" t="s">
        <v>114</v>
      </c>
      <c r="F43" s="2"/>
      <c r="G43" s="301">
        <f>+B43</f>
        <v>0</v>
      </c>
    </row>
    <row r="44" spans="1:7" ht="16.5" customHeight="1" x14ac:dyDescent="0.25">
      <c r="A44" s="313" t="s">
        <v>39</v>
      </c>
      <c r="B44" s="47">
        <v>537000</v>
      </c>
      <c r="C44" s="46">
        <f>+B44*100%/B53</f>
        <v>9.9607662758000601E-4</v>
      </c>
      <c r="D44" s="47">
        <f>+B44/E19</f>
        <v>273.40627561592788</v>
      </c>
      <c r="E44" s="333" t="s">
        <v>113</v>
      </c>
      <c r="F44" s="334">
        <f>+B44</f>
        <v>537000</v>
      </c>
      <c r="G44" s="335"/>
    </row>
    <row r="45" spans="1:7" x14ac:dyDescent="0.25">
      <c r="A45" s="313" t="s">
        <v>35</v>
      </c>
      <c r="B45" s="47">
        <v>700000</v>
      </c>
      <c r="C45" s="46">
        <f>+B45*100%/B53</f>
        <v>1.2984239093221681E-3</v>
      </c>
      <c r="D45" s="47">
        <f>+B45/E19</f>
        <v>356.39551756266201</v>
      </c>
      <c r="E45" s="337" t="s">
        <v>113</v>
      </c>
      <c r="F45" s="334">
        <f>+B45</f>
        <v>700000</v>
      </c>
      <c r="G45" s="335"/>
    </row>
    <row r="46" spans="1:7" x14ac:dyDescent="0.25">
      <c r="A46" s="313" t="s">
        <v>58</v>
      </c>
      <c r="B46" s="47">
        <v>16711772.66</v>
      </c>
      <c r="C46" s="46">
        <f>+B46*100%/B53</f>
        <v>3.0998521698429322E-2</v>
      </c>
      <c r="D46" s="47">
        <f>+B46/E19</f>
        <v>8508.5726665003494</v>
      </c>
      <c r="E46" s="337" t="s">
        <v>113</v>
      </c>
      <c r="F46" s="334">
        <f>+B46</f>
        <v>16711772.66</v>
      </c>
      <c r="G46" s="335"/>
    </row>
    <row r="47" spans="1:7" x14ac:dyDescent="0.25">
      <c r="A47" s="313" t="s">
        <v>59</v>
      </c>
      <c r="B47" s="47">
        <v>750000</v>
      </c>
      <c r="C47" s="46">
        <f>+B47*100%/B53</f>
        <v>1.3911684742737515E-3</v>
      </c>
      <c r="D47" s="47">
        <f>+B47/E19</f>
        <v>381.85234024570934</v>
      </c>
      <c r="E47" s="337" t="s">
        <v>113</v>
      </c>
      <c r="F47" s="334">
        <f>+B47</f>
        <v>750000</v>
      </c>
      <c r="G47" s="335"/>
    </row>
    <row r="48" spans="1:7" x14ac:dyDescent="0.25">
      <c r="A48" s="313" t="s">
        <v>40</v>
      </c>
      <c r="B48" s="47">
        <v>19483078.399999999</v>
      </c>
      <c r="C48" s="46">
        <f>+B48*100%/B53</f>
        <v>3.6138992602511841E-2</v>
      </c>
      <c r="D48" s="47">
        <f>+B48/E19</f>
        <v>9919.5454429741731</v>
      </c>
      <c r="E48" s="304" t="s">
        <v>114</v>
      </c>
      <c r="F48" s="2"/>
      <c r="G48" s="301">
        <f>+B48</f>
        <v>19483078.399999999</v>
      </c>
    </row>
    <row r="49" spans="1:7" x14ac:dyDescent="0.25">
      <c r="A49" s="313" t="s">
        <v>55</v>
      </c>
      <c r="B49" s="47"/>
      <c r="C49" s="46">
        <f>+B49*100%/B53</f>
        <v>0</v>
      </c>
      <c r="D49" s="47">
        <f>+B49/E19</f>
        <v>0</v>
      </c>
      <c r="E49" s="337" t="s">
        <v>113</v>
      </c>
      <c r="F49" s="334">
        <f>+B49</f>
        <v>0</v>
      </c>
      <c r="G49" s="335"/>
    </row>
    <row r="50" spans="1:7" x14ac:dyDescent="0.25">
      <c r="A50" s="313" t="s">
        <v>56</v>
      </c>
      <c r="B50" s="47">
        <v>6835102.7999999989</v>
      </c>
      <c r="C50" s="46">
        <f>+B50*100%/B53</f>
        <v>1.2678372711706992E-2</v>
      </c>
      <c r="D50" s="47">
        <f>+B50/E19</f>
        <v>3480</v>
      </c>
      <c r="E50" s="304" t="s">
        <v>114</v>
      </c>
      <c r="F50" s="2"/>
      <c r="G50" s="301">
        <f>+B50</f>
        <v>6835102.7999999989</v>
      </c>
    </row>
    <row r="51" spans="1:7" ht="15.75" thickBot="1" x14ac:dyDescent="0.3">
      <c r="A51" s="313" t="s">
        <v>57</v>
      </c>
      <c r="B51" s="47">
        <v>2150300</v>
      </c>
      <c r="C51" s="46">
        <f>+B51*100%/B53</f>
        <v>3.9885727603077969E-3</v>
      </c>
      <c r="D51" s="47">
        <f>+B51/E19</f>
        <v>1094.7961163071316</v>
      </c>
      <c r="E51" s="338" t="s">
        <v>113</v>
      </c>
      <c r="F51" s="339">
        <f>+B51</f>
        <v>2150300</v>
      </c>
      <c r="G51" s="340"/>
    </row>
    <row r="52" spans="1:7" ht="15.75" thickBot="1" x14ac:dyDescent="0.3">
      <c r="A52" s="313" t="s">
        <v>122</v>
      </c>
      <c r="B52" s="47">
        <v>33241893.952599995</v>
      </c>
      <c r="C52" s="46">
        <f>+B52*100%/B53</f>
        <v>6.1660099856011175E-2</v>
      </c>
      <c r="D52" s="47">
        <f>+B52/E19</f>
        <v>16924.66</v>
      </c>
      <c r="E52" s="338" t="s">
        <v>114</v>
      </c>
      <c r="F52" s="339"/>
      <c r="G52" s="370">
        <f>+B52</f>
        <v>33241893.952599995</v>
      </c>
    </row>
    <row r="53" spans="1:7" ht="15.75" thickBot="1" x14ac:dyDescent="0.3">
      <c r="B53" s="48">
        <f>SUM(B20:B52)</f>
        <v>539115149.5087837</v>
      </c>
      <c r="C53" s="4">
        <f t="shared" ref="C53:G53" si="2">SUM(C20:C52)</f>
        <v>1</v>
      </c>
      <c r="D53" s="48">
        <f t="shared" si="2"/>
        <v>274483.17533579271</v>
      </c>
      <c r="E53" s="48"/>
      <c r="F53" s="48">
        <f>SUM(F20:F52)</f>
        <v>136698011.66</v>
      </c>
      <c r="G53" s="48">
        <f t="shared" si="2"/>
        <v>402417137.84878367</v>
      </c>
    </row>
    <row r="54" spans="1:7" ht="15.75" thickBot="1" x14ac:dyDescent="0.3">
      <c r="B54" s="309" t="s">
        <v>116</v>
      </c>
      <c r="C54" s="310" t="s">
        <v>117</v>
      </c>
      <c r="D54" s="311">
        <f>+F53/(290000-G54)</f>
        <v>1606.0434495409224</v>
      </c>
      <c r="F54" s="307" t="s">
        <v>115</v>
      </c>
      <c r="G54" s="308">
        <f>+G53/E19</f>
        <v>204885.23445671768</v>
      </c>
    </row>
  </sheetData>
  <mergeCells count="2">
    <mergeCell ref="B13:G13"/>
    <mergeCell ref="B18:J18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EC2F1-5993-47D3-9C60-4227E9A79968}">
  <sheetPr>
    <tabColor theme="5" tint="-0.249977111117893"/>
  </sheetPr>
  <dimension ref="A12:J52"/>
  <sheetViews>
    <sheetView topLeftCell="A4" workbookViewId="0">
      <selection activeCell="B18" sqref="B18:B50"/>
    </sheetView>
  </sheetViews>
  <sheetFormatPr baseColWidth="10" defaultRowHeight="15" x14ac:dyDescent="0.25"/>
  <cols>
    <col min="1" max="1" width="22" customWidth="1"/>
    <col min="2" max="2" width="17.140625" style="1" customWidth="1"/>
    <col min="3" max="3" width="11.7109375" customWidth="1"/>
    <col min="4" max="4" width="12.85546875" style="19" customWidth="1"/>
    <col min="5" max="5" width="14.5703125" customWidth="1"/>
    <col min="6" max="7" width="13.28515625" customWidth="1"/>
  </cols>
  <sheetData>
    <row r="12" spans="1:10" ht="15.75" thickBot="1" x14ac:dyDescent="0.3"/>
    <row r="13" spans="1:10" ht="15" customHeight="1" x14ac:dyDescent="0.25">
      <c r="A13" s="20" t="s">
        <v>42</v>
      </c>
      <c r="B13" s="22">
        <v>0</v>
      </c>
      <c r="C13" s="362" t="s">
        <v>48</v>
      </c>
      <c r="D13" s="359" t="s">
        <v>119</v>
      </c>
      <c r="E13" s="359" t="s">
        <v>120</v>
      </c>
      <c r="F13" s="367"/>
    </row>
    <row r="14" spans="1:10" ht="15.75" thickBot="1" x14ac:dyDescent="0.3">
      <c r="C14" s="360"/>
      <c r="D14" s="361">
        <v>293653</v>
      </c>
      <c r="E14" s="368">
        <f>+C14*D14</f>
        <v>0</v>
      </c>
      <c r="F14" s="369"/>
    </row>
    <row r="16" spans="1:10" ht="21.75" thickBot="1" x14ac:dyDescent="0.4">
      <c r="B16" s="436">
        <v>2025</v>
      </c>
      <c r="C16" s="436"/>
      <c r="D16" s="436"/>
      <c r="E16" s="436"/>
      <c r="F16" s="436"/>
      <c r="G16" s="436"/>
      <c r="H16" s="436"/>
      <c r="I16" s="436"/>
      <c r="J16" s="436"/>
    </row>
    <row r="17" spans="1:7" ht="30.75" thickBot="1" x14ac:dyDescent="0.3">
      <c r="A17" s="5" t="s">
        <v>30</v>
      </c>
      <c r="B17" s="5" t="s">
        <v>31</v>
      </c>
      <c r="C17" s="5" t="s">
        <v>32</v>
      </c>
      <c r="D17" s="44" t="s">
        <v>33</v>
      </c>
      <c r="E17" s="321">
        <f>+C14</f>
        <v>0</v>
      </c>
      <c r="F17" s="322" t="s">
        <v>113</v>
      </c>
      <c r="G17" s="323" t="s">
        <v>114</v>
      </c>
    </row>
    <row r="18" spans="1:7" x14ac:dyDescent="0.25">
      <c r="A18" s="312" t="s">
        <v>41</v>
      </c>
      <c r="B18" s="49"/>
      <c r="C18" s="50" t="e">
        <f>+B18*100%/B51</f>
        <v>#DIV/0!</v>
      </c>
      <c r="D18" s="47" t="e">
        <f>+B18/E17</f>
        <v>#DIV/0!</v>
      </c>
      <c r="E18" s="328" t="s">
        <v>113</v>
      </c>
      <c r="F18" s="329">
        <f>+B18</f>
        <v>0</v>
      </c>
      <c r="G18" s="330"/>
    </row>
    <row r="19" spans="1:7" x14ac:dyDescent="0.25">
      <c r="A19" s="312" t="s">
        <v>13</v>
      </c>
      <c r="B19" s="45"/>
      <c r="C19" s="23" t="e">
        <f>+B19*100%/B51</f>
        <v>#DIV/0!</v>
      </c>
      <c r="D19" s="47" t="e">
        <f>+B19/E17</f>
        <v>#DIV/0!</v>
      </c>
      <c r="E19" s="300" t="s">
        <v>114</v>
      </c>
      <c r="F19" s="2"/>
      <c r="G19" s="301">
        <f t="shared" ref="G19:G25" si="0">+B19</f>
        <v>0</v>
      </c>
    </row>
    <row r="20" spans="1:7" x14ac:dyDescent="0.25">
      <c r="A20" s="313" t="s">
        <v>14</v>
      </c>
      <c r="B20" s="47"/>
      <c r="C20" s="46" t="e">
        <f>+B20*100%/B51</f>
        <v>#DIV/0!</v>
      </c>
      <c r="D20" s="47" t="e">
        <f>+B20/E17</f>
        <v>#DIV/0!</v>
      </c>
      <c r="E20" s="302" t="s">
        <v>114</v>
      </c>
      <c r="F20" s="2"/>
      <c r="G20" s="301">
        <f t="shared" si="0"/>
        <v>0</v>
      </c>
    </row>
    <row r="21" spans="1:7" x14ac:dyDescent="0.25">
      <c r="A21" s="313" t="s">
        <v>34</v>
      </c>
      <c r="B21" s="47"/>
      <c r="C21" s="46" t="e">
        <f>+B21*100%/B51</f>
        <v>#DIV/0!</v>
      </c>
      <c r="D21" s="47" t="e">
        <f>+B21/E17</f>
        <v>#DIV/0!</v>
      </c>
      <c r="E21" s="302" t="s">
        <v>114</v>
      </c>
      <c r="F21" s="2"/>
      <c r="G21" s="301">
        <f t="shared" si="0"/>
        <v>0</v>
      </c>
    </row>
    <row r="22" spans="1:7" x14ac:dyDescent="0.25">
      <c r="A22" s="313" t="s">
        <v>15</v>
      </c>
      <c r="B22" s="47"/>
      <c r="C22" s="46" t="e">
        <f>+B22*100%/B51</f>
        <v>#DIV/0!</v>
      </c>
      <c r="D22" s="47" t="e">
        <f>+B22/E17</f>
        <v>#DIV/0!</v>
      </c>
      <c r="E22" s="302" t="s">
        <v>114</v>
      </c>
      <c r="F22" s="2"/>
      <c r="G22" s="301">
        <f t="shared" si="0"/>
        <v>0</v>
      </c>
    </row>
    <row r="23" spans="1:7" x14ac:dyDescent="0.25">
      <c r="A23" s="313" t="s">
        <v>16</v>
      </c>
      <c r="B23" s="47"/>
      <c r="C23" s="46" t="e">
        <f>+B23*100%/B51</f>
        <v>#DIV/0!</v>
      </c>
      <c r="D23" s="47" t="e">
        <f>+B23/E17</f>
        <v>#DIV/0!</v>
      </c>
      <c r="E23" s="302" t="s">
        <v>114</v>
      </c>
      <c r="F23" s="2"/>
      <c r="G23" s="301">
        <f t="shared" si="0"/>
        <v>0</v>
      </c>
    </row>
    <row r="24" spans="1:7" x14ac:dyDescent="0.25">
      <c r="A24" s="313" t="s">
        <v>17</v>
      </c>
      <c r="B24" s="47"/>
      <c r="C24" s="46" t="e">
        <f>+B24*100%/B51</f>
        <v>#DIV/0!</v>
      </c>
      <c r="D24" s="47" t="e">
        <f>+B24/E17</f>
        <v>#DIV/0!</v>
      </c>
      <c r="E24" s="302" t="s">
        <v>114</v>
      </c>
      <c r="F24" s="2"/>
      <c r="G24" s="301">
        <f t="shared" si="0"/>
        <v>0</v>
      </c>
    </row>
    <row r="25" spans="1:7" x14ac:dyDescent="0.25">
      <c r="A25" s="313" t="s">
        <v>18</v>
      </c>
      <c r="B25" s="47"/>
      <c r="C25" s="46" t="e">
        <f>+B25*100%/B51</f>
        <v>#DIV/0!</v>
      </c>
      <c r="D25" s="47" t="e">
        <f>+B25/E17</f>
        <v>#DIV/0!</v>
      </c>
      <c r="E25" s="302" t="s">
        <v>114</v>
      </c>
      <c r="F25" s="2"/>
      <c r="G25" s="301">
        <f t="shared" si="0"/>
        <v>0</v>
      </c>
    </row>
    <row r="26" spans="1:7" x14ac:dyDescent="0.25">
      <c r="A26" s="313" t="s">
        <v>28</v>
      </c>
      <c r="B26" s="47"/>
      <c r="C26" s="46" t="e">
        <f>+B26*100%/B51</f>
        <v>#DIV/0!</v>
      </c>
      <c r="D26" s="47" t="e">
        <f>+B26/E17</f>
        <v>#DIV/0!</v>
      </c>
      <c r="E26" s="333" t="s">
        <v>113</v>
      </c>
      <c r="F26" s="334">
        <f>+B26</f>
        <v>0</v>
      </c>
      <c r="G26" s="335"/>
    </row>
    <row r="27" spans="1:7" x14ac:dyDescent="0.25">
      <c r="A27" s="313" t="s">
        <v>19</v>
      </c>
      <c r="B27" s="47"/>
      <c r="C27" s="46" t="e">
        <f>+B27*100%/B51</f>
        <v>#DIV/0!</v>
      </c>
      <c r="D27" s="47" t="e">
        <f>+B27/E17</f>
        <v>#DIV/0!</v>
      </c>
      <c r="E27" s="302" t="s">
        <v>114</v>
      </c>
      <c r="F27" s="2"/>
      <c r="G27" s="301">
        <f>+B27</f>
        <v>0</v>
      </c>
    </row>
    <row r="28" spans="1:7" x14ac:dyDescent="0.25">
      <c r="A28" s="365" t="s">
        <v>111</v>
      </c>
      <c r="B28" s="47"/>
      <c r="C28" s="46" t="e">
        <f>+B28*100%/B51</f>
        <v>#DIV/0!</v>
      </c>
      <c r="D28" s="47" t="e">
        <f>+B28/E17</f>
        <v>#DIV/0!</v>
      </c>
      <c r="E28" s="302" t="s">
        <v>114</v>
      </c>
      <c r="F28" s="2"/>
      <c r="G28" s="301">
        <f>+B28</f>
        <v>0</v>
      </c>
    </row>
    <row r="29" spans="1:7" x14ac:dyDescent="0.25">
      <c r="A29" s="313" t="s">
        <v>20</v>
      </c>
      <c r="B29" s="47"/>
      <c r="C29" s="46" t="e">
        <f>+B29*100%/B51</f>
        <v>#DIV/0!</v>
      </c>
      <c r="D29" s="47" t="e">
        <f>+B29/E17</f>
        <v>#DIV/0!</v>
      </c>
      <c r="E29" s="333" t="s">
        <v>113</v>
      </c>
      <c r="F29" s="334">
        <f>+B29</f>
        <v>0</v>
      </c>
      <c r="G29" s="335"/>
    </row>
    <row r="30" spans="1:7" x14ac:dyDescent="0.25">
      <c r="A30" s="313" t="s">
        <v>21</v>
      </c>
      <c r="B30" s="47"/>
      <c r="C30" s="46" t="e">
        <f>+B30*100%/B51</f>
        <v>#DIV/0!</v>
      </c>
      <c r="D30" s="47" t="e">
        <f>+B30/E17</f>
        <v>#DIV/0!</v>
      </c>
      <c r="E30" s="302" t="s">
        <v>114</v>
      </c>
      <c r="F30" s="2"/>
      <c r="G30" s="301">
        <f t="shared" ref="G30:G34" si="1">+B30</f>
        <v>0</v>
      </c>
    </row>
    <row r="31" spans="1:7" x14ac:dyDescent="0.25">
      <c r="A31" s="313" t="s">
        <v>22</v>
      </c>
      <c r="B31" s="47"/>
      <c r="C31" s="46" t="e">
        <f>+B31*100%/B51</f>
        <v>#DIV/0!</v>
      </c>
      <c r="D31" s="47" t="e">
        <f>+B31/E17</f>
        <v>#DIV/0!</v>
      </c>
      <c r="E31" s="302" t="s">
        <v>114</v>
      </c>
      <c r="F31" s="2"/>
      <c r="G31" s="301">
        <f t="shared" si="1"/>
        <v>0</v>
      </c>
    </row>
    <row r="32" spans="1:7" x14ac:dyDescent="0.25">
      <c r="A32" s="313" t="s">
        <v>112</v>
      </c>
      <c r="B32" s="47"/>
      <c r="C32" s="46" t="e">
        <f>+B32*100%/B51</f>
        <v>#DIV/0!</v>
      </c>
      <c r="D32" s="47" t="e">
        <f>+B32/E17</f>
        <v>#DIV/0!</v>
      </c>
      <c r="E32" s="333" t="s">
        <v>113</v>
      </c>
      <c r="F32" s="334">
        <f>+B32</f>
        <v>0</v>
      </c>
      <c r="G32" s="336">
        <v>0</v>
      </c>
    </row>
    <row r="33" spans="1:7" x14ac:dyDescent="0.25">
      <c r="A33" s="313" t="s">
        <v>23</v>
      </c>
      <c r="B33" s="47"/>
      <c r="C33" s="46" t="e">
        <f>+B33*100%/B51</f>
        <v>#DIV/0!</v>
      </c>
      <c r="D33" s="47" t="e">
        <f>+B33/E17</f>
        <v>#DIV/0!</v>
      </c>
      <c r="E33" s="302" t="s">
        <v>114</v>
      </c>
      <c r="F33" s="2"/>
      <c r="G33" s="301">
        <f t="shared" si="1"/>
        <v>0</v>
      </c>
    </row>
    <row r="34" spans="1:7" x14ac:dyDescent="0.25">
      <c r="A34" s="313" t="s">
        <v>24</v>
      </c>
      <c r="B34" s="47"/>
      <c r="C34" s="46" t="e">
        <f>+B34*100%/B51</f>
        <v>#DIV/0!</v>
      </c>
      <c r="D34" s="47" t="e">
        <f>+B34/E17</f>
        <v>#DIV/0!</v>
      </c>
      <c r="E34" s="304" t="s">
        <v>114</v>
      </c>
      <c r="F34" s="2"/>
      <c r="G34" s="305">
        <f t="shared" si="1"/>
        <v>0</v>
      </c>
    </row>
    <row r="35" spans="1:7" x14ac:dyDescent="0.25">
      <c r="A35" s="313" t="s">
        <v>25</v>
      </c>
      <c r="B35" s="47"/>
      <c r="C35" s="46" t="e">
        <f>+B35*100%/B51</f>
        <v>#DIV/0!</v>
      </c>
      <c r="D35" s="47" t="e">
        <f>+B35/E17</f>
        <v>#DIV/0!</v>
      </c>
      <c r="E35" s="333" t="s">
        <v>113</v>
      </c>
      <c r="F35" s="334">
        <f>+B35</f>
        <v>0</v>
      </c>
      <c r="G35" s="336">
        <v>0</v>
      </c>
    </row>
    <row r="36" spans="1:7" x14ac:dyDescent="0.25">
      <c r="A36" s="313" t="s">
        <v>36</v>
      </c>
      <c r="B36" s="47"/>
      <c r="C36" s="46" t="e">
        <f>+B36*100%/B51</f>
        <v>#DIV/0!</v>
      </c>
      <c r="D36" s="47" t="e">
        <f>+B36/E17</f>
        <v>#DIV/0!</v>
      </c>
      <c r="E36" s="333" t="s">
        <v>113</v>
      </c>
      <c r="F36" s="334">
        <f>+B36</f>
        <v>0</v>
      </c>
      <c r="G36" s="335"/>
    </row>
    <row r="37" spans="1:7" x14ac:dyDescent="0.25">
      <c r="A37" s="313" t="s">
        <v>26</v>
      </c>
      <c r="B37" s="47"/>
      <c r="C37" s="46" t="e">
        <f>+B37*100%/B51</f>
        <v>#DIV/0!</v>
      </c>
      <c r="D37" s="47" t="e">
        <f>+B37/E17</f>
        <v>#DIV/0!</v>
      </c>
      <c r="E37" s="333" t="s">
        <v>113</v>
      </c>
      <c r="F37" s="334">
        <f>+B37</f>
        <v>0</v>
      </c>
      <c r="G37" s="335"/>
    </row>
    <row r="38" spans="1:7" x14ac:dyDescent="0.25">
      <c r="A38" s="313" t="s">
        <v>27</v>
      </c>
      <c r="B38" s="47"/>
      <c r="C38" s="46" t="e">
        <f>+B38*100%/B51</f>
        <v>#DIV/0!</v>
      </c>
      <c r="D38" s="47" t="e">
        <f>+B38/E17</f>
        <v>#DIV/0!</v>
      </c>
      <c r="E38" s="333" t="s">
        <v>113</v>
      </c>
      <c r="F38" s="334">
        <f>+B38</f>
        <v>0</v>
      </c>
      <c r="G38" s="335"/>
    </row>
    <row r="39" spans="1:7" x14ac:dyDescent="0.25">
      <c r="A39" s="313" t="s">
        <v>118</v>
      </c>
      <c r="B39" s="47"/>
      <c r="C39" s="46" t="e">
        <f>+B39*100%/B51</f>
        <v>#DIV/0!</v>
      </c>
      <c r="D39" s="47" t="e">
        <f>+B39/E17</f>
        <v>#DIV/0!</v>
      </c>
      <c r="E39" s="333" t="s">
        <v>113</v>
      </c>
      <c r="F39" s="334">
        <f>+B39</f>
        <v>0</v>
      </c>
      <c r="G39" s="336">
        <v>0</v>
      </c>
    </row>
    <row r="40" spans="1:7" x14ac:dyDescent="0.25">
      <c r="A40" s="313" t="s">
        <v>37</v>
      </c>
      <c r="B40" s="47"/>
      <c r="C40" s="46" t="e">
        <f>+B40*100%/B51</f>
        <v>#DIV/0!</v>
      </c>
      <c r="D40" s="47" t="e">
        <f>+B40/E17</f>
        <v>#DIV/0!</v>
      </c>
      <c r="E40" s="302" t="s">
        <v>114</v>
      </c>
      <c r="F40" s="303"/>
      <c r="G40" s="301">
        <f>+B40</f>
        <v>0</v>
      </c>
    </row>
    <row r="41" spans="1:7" x14ac:dyDescent="0.25">
      <c r="A41" s="313" t="s">
        <v>38</v>
      </c>
      <c r="B41" s="47"/>
      <c r="C41" s="46" t="e">
        <f>+B41*100%/B51</f>
        <v>#DIV/0!</v>
      </c>
      <c r="D41" s="47" t="e">
        <f>+B41/E17</f>
        <v>#DIV/0!</v>
      </c>
      <c r="E41" s="302" t="s">
        <v>114</v>
      </c>
      <c r="F41" s="2"/>
      <c r="G41" s="301">
        <f>+B41</f>
        <v>0</v>
      </c>
    </row>
    <row r="42" spans="1:7" x14ac:dyDescent="0.25">
      <c r="A42" s="313" t="s">
        <v>39</v>
      </c>
      <c r="B42" s="47"/>
      <c r="C42" s="46" t="e">
        <f>+B42*100%/B51</f>
        <v>#DIV/0!</v>
      </c>
      <c r="D42" s="47" t="e">
        <f>+B42/E17</f>
        <v>#DIV/0!</v>
      </c>
      <c r="E42" s="333" t="s">
        <v>113</v>
      </c>
      <c r="F42" s="334">
        <f>+B42</f>
        <v>0</v>
      </c>
      <c r="G42" s="335"/>
    </row>
    <row r="43" spans="1:7" x14ac:dyDescent="0.25">
      <c r="A43" s="313" t="s">
        <v>35</v>
      </c>
      <c r="B43" s="47"/>
      <c r="C43" s="46" t="e">
        <f>+B43*100%/B51</f>
        <v>#DIV/0!</v>
      </c>
      <c r="D43" s="47" t="e">
        <f>+B43/E17</f>
        <v>#DIV/0!</v>
      </c>
      <c r="E43" s="337" t="s">
        <v>113</v>
      </c>
      <c r="F43" s="334">
        <f>+B43</f>
        <v>0</v>
      </c>
      <c r="G43" s="335"/>
    </row>
    <row r="44" spans="1:7" x14ac:dyDescent="0.25">
      <c r="A44" s="313" t="s">
        <v>58</v>
      </c>
      <c r="B44" s="47"/>
      <c r="C44" s="46" t="e">
        <f>+B44*100%/B51</f>
        <v>#DIV/0!</v>
      </c>
      <c r="D44" s="47" t="e">
        <f>+B44/E17</f>
        <v>#DIV/0!</v>
      </c>
      <c r="E44" s="337" t="s">
        <v>113</v>
      </c>
      <c r="F44" s="334">
        <f>+B44</f>
        <v>0</v>
      </c>
      <c r="G44" s="335"/>
    </row>
    <row r="45" spans="1:7" x14ac:dyDescent="0.25">
      <c r="A45" s="313" t="s">
        <v>59</v>
      </c>
      <c r="B45" s="47"/>
      <c r="C45" s="46" t="e">
        <f>+B45*100%/B51</f>
        <v>#DIV/0!</v>
      </c>
      <c r="D45" s="47" t="e">
        <f>+B45/E17</f>
        <v>#DIV/0!</v>
      </c>
      <c r="E45" s="337" t="s">
        <v>113</v>
      </c>
      <c r="F45" s="334">
        <f>+B45</f>
        <v>0</v>
      </c>
      <c r="G45" s="335"/>
    </row>
    <row r="46" spans="1:7" x14ac:dyDescent="0.25">
      <c r="A46" s="313" t="s">
        <v>40</v>
      </c>
      <c r="B46" s="47"/>
      <c r="C46" s="46" t="e">
        <f>+B46*100%/B51</f>
        <v>#DIV/0!</v>
      </c>
      <c r="D46" s="47" t="e">
        <f>+B46/E17</f>
        <v>#DIV/0!</v>
      </c>
      <c r="E46" s="304" t="s">
        <v>114</v>
      </c>
      <c r="F46" s="2"/>
      <c r="G46" s="301">
        <f>+B46</f>
        <v>0</v>
      </c>
    </row>
    <row r="47" spans="1:7" x14ac:dyDescent="0.25">
      <c r="A47" s="313" t="s">
        <v>55</v>
      </c>
      <c r="B47" s="47"/>
      <c r="C47" s="46" t="e">
        <f>+B47*100%/B51</f>
        <v>#DIV/0!</v>
      </c>
      <c r="D47" s="47" t="e">
        <f>+B47/E17</f>
        <v>#DIV/0!</v>
      </c>
      <c r="E47" s="337" t="s">
        <v>113</v>
      </c>
      <c r="F47" s="334">
        <f>+B47</f>
        <v>0</v>
      </c>
      <c r="G47" s="335"/>
    </row>
    <row r="48" spans="1:7" x14ac:dyDescent="0.25">
      <c r="A48" s="313" t="s">
        <v>56</v>
      </c>
      <c r="B48" s="47"/>
      <c r="C48" s="46" t="e">
        <f>+B48*100%/B51</f>
        <v>#DIV/0!</v>
      </c>
      <c r="D48" s="47" t="e">
        <f>+B48/E17</f>
        <v>#DIV/0!</v>
      </c>
      <c r="E48" s="304" t="s">
        <v>114</v>
      </c>
      <c r="F48" s="2"/>
      <c r="G48" s="301">
        <f>+B48</f>
        <v>0</v>
      </c>
    </row>
    <row r="49" spans="1:7" ht="15.75" thickBot="1" x14ac:dyDescent="0.3">
      <c r="A49" s="313" t="s">
        <v>57</v>
      </c>
      <c r="B49" s="47"/>
      <c r="C49" s="46" t="e">
        <f>+B49*100%/B51</f>
        <v>#DIV/0!</v>
      </c>
      <c r="D49" s="47" t="e">
        <f>+B49/E17</f>
        <v>#DIV/0!</v>
      </c>
      <c r="E49" s="338" t="s">
        <v>113</v>
      </c>
      <c r="F49" s="339">
        <f>+B49</f>
        <v>0</v>
      </c>
      <c r="G49" s="340"/>
    </row>
    <row r="50" spans="1:7" ht="15.75" thickBot="1" x14ac:dyDescent="0.3">
      <c r="A50" s="313" t="s">
        <v>122</v>
      </c>
      <c r="B50" s="47"/>
      <c r="C50" s="46" t="e">
        <f>+B50*100%/B51</f>
        <v>#DIV/0!</v>
      </c>
      <c r="D50" s="47" t="e">
        <f>+B50/E17</f>
        <v>#DIV/0!</v>
      </c>
      <c r="E50" s="338" t="s">
        <v>114</v>
      </c>
      <c r="F50" s="339"/>
      <c r="G50" s="370">
        <f>+B50</f>
        <v>0</v>
      </c>
    </row>
    <row r="51" spans="1:7" ht="15.75" thickBot="1" x14ac:dyDescent="0.3">
      <c r="B51" s="48">
        <f>SUM(B18:B49)</f>
        <v>0</v>
      </c>
      <c r="C51" s="4" t="e">
        <f t="shared" ref="C51" si="2">SUM(C18:C49)</f>
        <v>#DIV/0!</v>
      </c>
      <c r="D51" s="48" t="e">
        <f>SUM(D18:D49)</f>
        <v>#DIV/0!</v>
      </c>
      <c r="F51" s="306">
        <f>SUM(F18:F49)</f>
        <v>0</v>
      </c>
      <c r="G51" s="306">
        <f>SUM(G19:G49)</f>
        <v>0</v>
      </c>
    </row>
    <row r="52" spans="1:7" ht="15.75" thickBot="1" x14ac:dyDescent="0.3">
      <c r="B52" s="309" t="s">
        <v>116</v>
      </c>
      <c r="C52" s="310" t="s">
        <v>117</v>
      </c>
      <c r="D52" s="311" t="e">
        <f>+F51/(293653-G52)</f>
        <v>#DIV/0!</v>
      </c>
      <c r="F52" s="307" t="s">
        <v>115</v>
      </c>
      <c r="G52" s="308" t="e">
        <f>+G51/E17</f>
        <v>#DIV/0!</v>
      </c>
    </row>
  </sheetData>
  <mergeCells count="1">
    <mergeCell ref="B16:J16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90A69-1CE7-40DB-8411-D0CDAE067A3D}">
  <sheetPr>
    <tabColor theme="5" tint="-0.249977111117893"/>
  </sheetPr>
  <dimension ref="A12:J52"/>
  <sheetViews>
    <sheetView topLeftCell="A4" workbookViewId="0">
      <selection activeCell="B18" sqref="B18:B50"/>
    </sheetView>
  </sheetViews>
  <sheetFormatPr baseColWidth="10" defaultRowHeight="15" x14ac:dyDescent="0.25"/>
  <cols>
    <col min="1" max="1" width="22" customWidth="1"/>
    <col min="2" max="2" width="17.140625" style="1" customWidth="1"/>
    <col min="3" max="3" width="11.7109375" customWidth="1"/>
    <col min="4" max="4" width="12.85546875" style="19" customWidth="1"/>
    <col min="5" max="5" width="14.42578125" customWidth="1"/>
    <col min="6" max="7" width="13.28515625" customWidth="1"/>
  </cols>
  <sheetData>
    <row r="12" spans="1:10" ht="15.75" thickBot="1" x14ac:dyDescent="0.3"/>
    <row r="13" spans="1:10" ht="15" customHeight="1" x14ac:dyDescent="0.25">
      <c r="A13" s="20" t="s">
        <v>42</v>
      </c>
      <c r="B13" s="22">
        <v>0</v>
      </c>
      <c r="C13" s="362" t="s">
        <v>48</v>
      </c>
      <c r="D13" s="359" t="s">
        <v>119</v>
      </c>
      <c r="E13" s="359" t="s">
        <v>120</v>
      </c>
      <c r="F13" s="367"/>
    </row>
    <row r="14" spans="1:10" ht="15.75" thickBot="1" x14ac:dyDescent="0.3">
      <c r="C14" s="360"/>
      <c r="D14" s="361">
        <v>279000</v>
      </c>
      <c r="E14" s="368">
        <f>+C14*D14</f>
        <v>0</v>
      </c>
      <c r="F14" s="369"/>
    </row>
    <row r="16" spans="1:10" ht="21.75" thickBot="1" x14ac:dyDescent="0.4">
      <c r="B16" s="436">
        <v>2025</v>
      </c>
      <c r="C16" s="436"/>
      <c r="D16" s="436"/>
      <c r="E16" s="436"/>
      <c r="F16" s="436"/>
      <c r="G16" s="436"/>
      <c r="H16" s="436"/>
      <c r="I16" s="436"/>
      <c r="J16" s="436"/>
    </row>
    <row r="17" spans="1:7" ht="30.75" thickBot="1" x14ac:dyDescent="0.3">
      <c r="A17" s="5" t="s">
        <v>30</v>
      </c>
      <c r="B17" s="5" t="s">
        <v>31</v>
      </c>
      <c r="C17" s="5" t="s">
        <v>32</v>
      </c>
      <c r="D17" s="44" t="s">
        <v>33</v>
      </c>
      <c r="E17" s="321">
        <f>+C14</f>
        <v>0</v>
      </c>
      <c r="F17" s="322" t="s">
        <v>113</v>
      </c>
      <c r="G17" s="323" t="s">
        <v>114</v>
      </c>
    </row>
    <row r="18" spans="1:7" x14ac:dyDescent="0.25">
      <c r="A18" s="312" t="s">
        <v>41</v>
      </c>
      <c r="B18" s="49"/>
      <c r="C18" s="50" t="e">
        <f>+B18*100%/B51</f>
        <v>#DIV/0!</v>
      </c>
      <c r="D18" s="47" t="e">
        <f>+B18/E17</f>
        <v>#DIV/0!</v>
      </c>
      <c r="E18" s="328" t="s">
        <v>113</v>
      </c>
      <c r="F18" s="329">
        <f>+B18</f>
        <v>0</v>
      </c>
      <c r="G18" s="330"/>
    </row>
    <row r="19" spans="1:7" x14ac:dyDescent="0.25">
      <c r="A19" s="312" t="s">
        <v>13</v>
      </c>
      <c r="B19" s="45"/>
      <c r="C19" s="23" t="e">
        <f>+B19*100%/B51</f>
        <v>#DIV/0!</v>
      </c>
      <c r="D19" s="47" t="e">
        <f>+B19/E17</f>
        <v>#DIV/0!</v>
      </c>
      <c r="E19" s="300" t="s">
        <v>114</v>
      </c>
      <c r="F19" s="2"/>
      <c r="G19" s="301">
        <f t="shared" ref="G19:G25" si="0">+B19</f>
        <v>0</v>
      </c>
    </row>
    <row r="20" spans="1:7" x14ac:dyDescent="0.25">
      <c r="A20" s="313" t="s">
        <v>14</v>
      </c>
      <c r="B20" s="47"/>
      <c r="C20" s="46" t="e">
        <f>+B20*100%/B51</f>
        <v>#DIV/0!</v>
      </c>
      <c r="D20" s="47" t="e">
        <f>+B20/E17</f>
        <v>#DIV/0!</v>
      </c>
      <c r="E20" s="302" t="s">
        <v>114</v>
      </c>
      <c r="F20" s="2"/>
      <c r="G20" s="301">
        <f t="shared" si="0"/>
        <v>0</v>
      </c>
    </row>
    <row r="21" spans="1:7" x14ac:dyDescent="0.25">
      <c r="A21" s="313" t="s">
        <v>34</v>
      </c>
      <c r="B21" s="47"/>
      <c r="C21" s="46" t="e">
        <f>+B21*100%/B51</f>
        <v>#DIV/0!</v>
      </c>
      <c r="D21" s="47" t="e">
        <f>+B21/E17</f>
        <v>#DIV/0!</v>
      </c>
      <c r="E21" s="302" t="s">
        <v>114</v>
      </c>
      <c r="F21" s="2"/>
      <c r="G21" s="301">
        <f t="shared" si="0"/>
        <v>0</v>
      </c>
    </row>
    <row r="22" spans="1:7" x14ac:dyDescent="0.25">
      <c r="A22" s="313" t="s">
        <v>15</v>
      </c>
      <c r="B22" s="47"/>
      <c r="C22" s="46" t="e">
        <f>+B22*100%/B51</f>
        <v>#DIV/0!</v>
      </c>
      <c r="D22" s="47" t="e">
        <f>+B22/E17</f>
        <v>#DIV/0!</v>
      </c>
      <c r="E22" s="302" t="s">
        <v>114</v>
      </c>
      <c r="F22" s="2"/>
      <c r="G22" s="301">
        <f t="shared" si="0"/>
        <v>0</v>
      </c>
    </row>
    <row r="23" spans="1:7" x14ac:dyDescent="0.25">
      <c r="A23" s="313" t="s">
        <v>16</v>
      </c>
      <c r="B23" s="47"/>
      <c r="C23" s="46" t="e">
        <f>+B23*100%/B51</f>
        <v>#DIV/0!</v>
      </c>
      <c r="D23" s="47" t="e">
        <f>+B23/E17</f>
        <v>#DIV/0!</v>
      </c>
      <c r="E23" s="302" t="s">
        <v>114</v>
      </c>
      <c r="F23" s="2"/>
      <c r="G23" s="301">
        <f t="shared" si="0"/>
        <v>0</v>
      </c>
    </row>
    <row r="24" spans="1:7" x14ac:dyDescent="0.25">
      <c r="A24" s="313" t="s">
        <v>17</v>
      </c>
      <c r="B24" s="47"/>
      <c r="C24" s="46" t="e">
        <f>+B24*100%/B51</f>
        <v>#DIV/0!</v>
      </c>
      <c r="D24" s="47" t="e">
        <f>+B24/E17</f>
        <v>#DIV/0!</v>
      </c>
      <c r="E24" s="302" t="s">
        <v>114</v>
      </c>
      <c r="F24" s="2"/>
      <c r="G24" s="301">
        <f t="shared" si="0"/>
        <v>0</v>
      </c>
    </row>
    <row r="25" spans="1:7" x14ac:dyDescent="0.25">
      <c r="A25" s="313" t="s">
        <v>18</v>
      </c>
      <c r="B25" s="47"/>
      <c r="C25" s="46" t="e">
        <f>+B25*100%/B51</f>
        <v>#DIV/0!</v>
      </c>
      <c r="D25" s="47" t="e">
        <f>+B25/E17</f>
        <v>#DIV/0!</v>
      </c>
      <c r="E25" s="302" t="s">
        <v>114</v>
      </c>
      <c r="F25" s="2"/>
      <c r="G25" s="301">
        <f t="shared" si="0"/>
        <v>0</v>
      </c>
    </row>
    <row r="26" spans="1:7" x14ac:dyDescent="0.25">
      <c r="A26" s="313" t="s">
        <v>28</v>
      </c>
      <c r="B26" s="47"/>
      <c r="C26" s="46" t="e">
        <f>+B26*100%/B51</f>
        <v>#DIV/0!</v>
      </c>
      <c r="D26" s="47" t="e">
        <f>+B26/E17</f>
        <v>#DIV/0!</v>
      </c>
      <c r="E26" s="333" t="s">
        <v>113</v>
      </c>
      <c r="F26" s="334">
        <f>+B26</f>
        <v>0</v>
      </c>
      <c r="G26" s="335"/>
    </row>
    <row r="27" spans="1:7" x14ac:dyDescent="0.25">
      <c r="A27" s="313" t="s">
        <v>19</v>
      </c>
      <c r="B27" s="47"/>
      <c r="C27" s="46" t="e">
        <f>+B27*100%/B51</f>
        <v>#DIV/0!</v>
      </c>
      <c r="D27" s="47" t="e">
        <f>+B27/E17</f>
        <v>#DIV/0!</v>
      </c>
      <c r="E27" s="302" t="s">
        <v>114</v>
      </c>
      <c r="F27" s="2"/>
      <c r="G27" s="301">
        <f>+B27</f>
        <v>0</v>
      </c>
    </row>
    <row r="28" spans="1:7" x14ac:dyDescent="0.25">
      <c r="A28" s="365" t="s">
        <v>111</v>
      </c>
      <c r="B28" s="47"/>
      <c r="C28" s="46" t="e">
        <f>+B28*100%/B51</f>
        <v>#DIV/0!</v>
      </c>
      <c r="D28" s="47" t="e">
        <f>+B28/E17</f>
        <v>#DIV/0!</v>
      </c>
      <c r="E28" s="302" t="s">
        <v>114</v>
      </c>
      <c r="F28" s="2"/>
      <c r="G28" s="301">
        <f>+B28</f>
        <v>0</v>
      </c>
    </row>
    <row r="29" spans="1:7" x14ac:dyDescent="0.25">
      <c r="A29" s="313" t="s">
        <v>20</v>
      </c>
      <c r="B29" s="47"/>
      <c r="C29" s="46" t="e">
        <f>+B29*100%/B51</f>
        <v>#DIV/0!</v>
      </c>
      <c r="D29" s="47" t="e">
        <f>+B29/E17</f>
        <v>#DIV/0!</v>
      </c>
      <c r="E29" s="333" t="s">
        <v>113</v>
      </c>
      <c r="F29" s="334">
        <f>+B29</f>
        <v>0</v>
      </c>
      <c r="G29" s="335"/>
    </row>
    <row r="30" spans="1:7" x14ac:dyDescent="0.25">
      <c r="A30" s="313" t="s">
        <v>21</v>
      </c>
      <c r="B30" s="47"/>
      <c r="C30" s="46" t="e">
        <f>+B30*100%/B51</f>
        <v>#DIV/0!</v>
      </c>
      <c r="D30" s="47" t="e">
        <f>+B30/E17</f>
        <v>#DIV/0!</v>
      </c>
      <c r="E30" s="302" t="s">
        <v>114</v>
      </c>
      <c r="F30" s="2"/>
      <c r="G30" s="301">
        <f t="shared" ref="G30:G34" si="1">+B30</f>
        <v>0</v>
      </c>
    </row>
    <row r="31" spans="1:7" x14ac:dyDescent="0.25">
      <c r="A31" s="313" t="s">
        <v>22</v>
      </c>
      <c r="B31" s="47"/>
      <c r="C31" s="46" t="e">
        <f>+B31*100%/B51</f>
        <v>#DIV/0!</v>
      </c>
      <c r="D31" s="47" t="e">
        <f>+B31/E17</f>
        <v>#DIV/0!</v>
      </c>
      <c r="E31" s="302" t="s">
        <v>114</v>
      </c>
      <c r="F31" s="2"/>
      <c r="G31" s="301">
        <f t="shared" si="1"/>
        <v>0</v>
      </c>
    </row>
    <row r="32" spans="1:7" x14ac:dyDescent="0.25">
      <c r="A32" s="313" t="s">
        <v>112</v>
      </c>
      <c r="B32" s="47"/>
      <c r="C32" s="46" t="e">
        <f>+B32*100%/B51</f>
        <v>#DIV/0!</v>
      </c>
      <c r="D32" s="47" t="e">
        <f>+B32/E17</f>
        <v>#DIV/0!</v>
      </c>
      <c r="E32" s="333" t="s">
        <v>113</v>
      </c>
      <c r="F32" s="334">
        <f>+B32</f>
        <v>0</v>
      </c>
      <c r="G32" s="336">
        <v>0</v>
      </c>
    </row>
    <row r="33" spans="1:7" x14ac:dyDescent="0.25">
      <c r="A33" s="313" t="s">
        <v>23</v>
      </c>
      <c r="B33" s="47"/>
      <c r="C33" s="46" t="e">
        <f>+B33*100%/B51</f>
        <v>#DIV/0!</v>
      </c>
      <c r="D33" s="47" t="e">
        <f>+B33/E17</f>
        <v>#DIV/0!</v>
      </c>
      <c r="E33" s="302" t="s">
        <v>114</v>
      </c>
      <c r="F33" s="2"/>
      <c r="G33" s="301">
        <f t="shared" si="1"/>
        <v>0</v>
      </c>
    </row>
    <row r="34" spans="1:7" x14ac:dyDescent="0.25">
      <c r="A34" s="313" t="s">
        <v>24</v>
      </c>
      <c r="B34" s="47"/>
      <c r="C34" s="46" t="e">
        <f>+B34*100%/B51</f>
        <v>#DIV/0!</v>
      </c>
      <c r="D34" s="47" t="e">
        <f>+B34/E17</f>
        <v>#DIV/0!</v>
      </c>
      <c r="E34" s="304" t="s">
        <v>114</v>
      </c>
      <c r="F34" s="2"/>
      <c r="G34" s="305">
        <f t="shared" si="1"/>
        <v>0</v>
      </c>
    </row>
    <row r="35" spans="1:7" x14ac:dyDescent="0.25">
      <c r="A35" s="313" t="s">
        <v>25</v>
      </c>
      <c r="B35" s="47"/>
      <c r="C35" s="46" t="e">
        <f>+B35*100%/B51</f>
        <v>#DIV/0!</v>
      </c>
      <c r="D35" s="47" t="e">
        <f>+B35/E17</f>
        <v>#DIV/0!</v>
      </c>
      <c r="E35" s="333" t="s">
        <v>113</v>
      </c>
      <c r="F35" s="334">
        <f>+B35</f>
        <v>0</v>
      </c>
      <c r="G35" s="336">
        <v>0</v>
      </c>
    </row>
    <row r="36" spans="1:7" x14ac:dyDescent="0.25">
      <c r="A36" s="313" t="s">
        <v>36</v>
      </c>
      <c r="B36" s="47"/>
      <c r="C36" s="46" t="e">
        <f>+B36*100%/B51</f>
        <v>#DIV/0!</v>
      </c>
      <c r="D36" s="47" t="e">
        <f>+B36/E17</f>
        <v>#DIV/0!</v>
      </c>
      <c r="E36" s="333" t="s">
        <v>113</v>
      </c>
      <c r="F36" s="334">
        <f>+B36</f>
        <v>0</v>
      </c>
      <c r="G36" s="335"/>
    </row>
    <row r="37" spans="1:7" x14ac:dyDescent="0.25">
      <c r="A37" s="313" t="s">
        <v>26</v>
      </c>
      <c r="B37" s="47"/>
      <c r="C37" s="46" t="e">
        <f>+B37*100%/B51</f>
        <v>#DIV/0!</v>
      </c>
      <c r="D37" s="47" t="e">
        <f>+B37/E17</f>
        <v>#DIV/0!</v>
      </c>
      <c r="E37" s="333" t="s">
        <v>113</v>
      </c>
      <c r="F37" s="334">
        <f>+B37</f>
        <v>0</v>
      </c>
      <c r="G37" s="335"/>
    </row>
    <row r="38" spans="1:7" x14ac:dyDescent="0.25">
      <c r="A38" s="313" t="s">
        <v>27</v>
      </c>
      <c r="B38" s="47"/>
      <c r="C38" s="46" t="e">
        <f>+B38*100%/B51</f>
        <v>#DIV/0!</v>
      </c>
      <c r="D38" s="47" t="e">
        <f>+B38/E17</f>
        <v>#DIV/0!</v>
      </c>
      <c r="E38" s="333" t="s">
        <v>113</v>
      </c>
      <c r="F38" s="334">
        <f>+B38</f>
        <v>0</v>
      </c>
      <c r="G38" s="335"/>
    </row>
    <row r="39" spans="1:7" x14ac:dyDescent="0.25">
      <c r="A39" s="313" t="s">
        <v>118</v>
      </c>
      <c r="B39" s="47"/>
      <c r="C39" s="46" t="e">
        <f>+B39*100%/B51</f>
        <v>#DIV/0!</v>
      </c>
      <c r="D39" s="47" t="e">
        <f>+B39/E17</f>
        <v>#DIV/0!</v>
      </c>
      <c r="E39" s="333" t="s">
        <v>113</v>
      </c>
      <c r="F39" s="334">
        <f>+B39</f>
        <v>0</v>
      </c>
      <c r="G39" s="336">
        <v>0</v>
      </c>
    </row>
    <row r="40" spans="1:7" x14ac:dyDescent="0.25">
      <c r="A40" s="313" t="s">
        <v>37</v>
      </c>
      <c r="B40" s="47"/>
      <c r="C40" s="46" t="e">
        <f>+B40*100%/B51</f>
        <v>#DIV/0!</v>
      </c>
      <c r="D40" s="47" t="e">
        <f>+B40/E17</f>
        <v>#DIV/0!</v>
      </c>
      <c r="E40" s="302" t="s">
        <v>114</v>
      </c>
      <c r="F40" s="303"/>
      <c r="G40" s="301">
        <f>+B40</f>
        <v>0</v>
      </c>
    </row>
    <row r="41" spans="1:7" x14ac:dyDescent="0.25">
      <c r="A41" s="313" t="s">
        <v>38</v>
      </c>
      <c r="B41" s="47"/>
      <c r="C41" s="46" t="e">
        <f>+B41*100%/B51</f>
        <v>#DIV/0!</v>
      </c>
      <c r="D41" s="47" t="e">
        <f>+B41/E17</f>
        <v>#DIV/0!</v>
      </c>
      <c r="E41" s="302" t="s">
        <v>114</v>
      </c>
      <c r="F41" s="2"/>
      <c r="G41" s="301">
        <f>+B41</f>
        <v>0</v>
      </c>
    </row>
    <row r="42" spans="1:7" x14ac:dyDescent="0.25">
      <c r="A42" s="313" t="s">
        <v>39</v>
      </c>
      <c r="B42" s="47"/>
      <c r="C42" s="46" t="e">
        <f>+B42*100%/B51</f>
        <v>#DIV/0!</v>
      </c>
      <c r="D42" s="47" t="e">
        <f>+B42/E17</f>
        <v>#DIV/0!</v>
      </c>
      <c r="E42" s="333" t="s">
        <v>113</v>
      </c>
      <c r="F42" s="334">
        <f>+B42</f>
        <v>0</v>
      </c>
      <c r="G42" s="335"/>
    </row>
    <row r="43" spans="1:7" x14ac:dyDescent="0.25">
      <c r="A43" s="313" t="s">
        <v>35</v>
      </c>
      <c r="B43" s="47"/>
      <c r="C43" s="46" t="e">
        <f>+B43*100%/B51</f>
        <v>#DIV/0!</v>
      </c>
      <c r="D43" s="47" t="e">
        <f>+B43/E17</f>
        <v>#DIV/0!</v>
      </c>
      <c r="E43" s="337" t="s">
        <v>113</v>
      </c>
      <c r="F43" s="334">
        <f>+B43</f>
        <v>0</v>
      </c>
      <c r="G43" s="335"/>
    </row>
    <row r="44" spans="1:7" x14ac:dyDescent="0.25">
      <c r="A44" s="313" t="s">
        <v>58</v>
      </c>
      <c r="B44" s="47"/>
      <c r="C44" s="46" t="e">
        <f>+B44*100%/B51</f>
        <v>#DIV/0!</v>
      </c>
      <c r="D44" s="47" t="e">
        <f>+B44/E17</f>
        <v>#DIV/0!</v>
      </c>
      <c r="E44" s="337" t="s">
        <v>113</v>
      </c>
      <c r="F44" s="334">
        <f>+B44</f>
        <v>0</v>
      </c>
      <c r="G44" s="335"/>
    </row>
    <row r="45" spans="1:7" x14ac:dyDescent="0.25">
      <c r="A45" s="313" t="s">
        <v>59</v>
      </c>
      <c r="B45" s="47"/>
      <c r="C45" s="46" t="e">
        <f>+B45*100%/B51</f>
        <v>#DIV/0!</v>
      </c>
      <c r="D45" s="47" t="e">
        <f>+B45/E17</f>
        <v>#DIV/0!</v>
      </c>
      <c r="E45" s="337" t="s">
        <v>113</v>
      </c>
      <c r="F45" s="334">
        <f>+B45</f>
        <v>0</v>
      </c>
      <c r="G45" s="335"/>
    </row>
    <row r="46" spans="1:7" x14ac:dyDescent="0.25">
      <c r="A46" s="313" t="s">
        <v>40</v>
      </c>
      <c r="B46" s="47"/>
      <c r="C46" s="46" t="e">
        <f>+B46*100%/B51</f>
        <v>#DIV/0!</v>
      </c>
      <c r="D46" s="47" t="e">
        <f>+B46/E17</f>
        <v>#DIV/0!</v>
      </c>
      <c r="E46" s="304" t="s">
        <v>114</v>
      </c>
      <c r="F46" s="2"/>
      <c r="G46" s="301">
        <f>+B46</f>
        <v>0</v>
      </c>
    </row>
    <row r="47" spans="1:7" x14ac:dyDescent="0.25">
      <c r="A47" s="313" t="s">
        <v>55</v>
      </c>
      <c r="B47" s="47"/>
      <c r="C47" s="46" t="e">
        <f>+B47*100%/B51</f>
        <v>#DIV/0!</v>
      </c>
      <c r="D47" s="47" t="e">
        <f>+B47/E17</f>
        <v>#DIV/0!</v>
      </c>
      <c r="E47" s="337" t="s">
        <v>113</v>
      </c>
      <c r="F47" s="334">
        <f>+B47</f>
        <v>0</v>
      </c>
      <c r="G47" s="335"/>
    </row>
    <row r="48" spans="1:7" x14ac:dyDescent="0.25">
      <c r="A48" s="313" t="s">
        <v>56</v>
      </c>
      <c r="B48" s="47"/>
      <c r="C48" s="46" t="e">
        <f>+B48*100%/B51</f>
        <v>#DIV/0!</v>
      </c>
      <c r="D48" s="47" t="e">
        <f>+B48/E17</f>
        <v>#DIV/0!</v>
      </c>
      <c r="E48" s="304" t="s">
        <v>114</v>
      </c>
      <c r="F48" s="2"/>
      <c r="G48" s="301">
        <f>+B48</f>
        <v>0</v>
      </c>
    </row>
    <row r="49" spans="1:7" ht="15.75" thickBot="1" x14ac:dyDescent="0.3">
      <c r="A49" s="313" t="s">
        <v>57</v>
      </c>
      <c r="B49" s="47"/>
      <c r="C49" s="46" t="e">
        <f>+B49*100%/B51</f>
        <v>#DIV/0!</v>
      </c>
      <c r="D49" s="47" t="e">
        <f>+B49/E17</f>
        <v>#DIV/0!</v>
      </c>
      <c r="E49" s="338" t="s">
        <v>113</v>
      </c>
      <c r="F49" s="339">
        <f>+B49</f>
        <v>0</v>
      </c>
      <c r="G49" s="340"/>
    </row>
    <row r="50" spans="1:7" ht="15.75" thickBot="1" x14ac:dyDescent="0.3">
      <c r="A50" s="313" t="s">
        <v>122</v>
      </c>
      <c r="B50" s="47"/>
      <c r="C50" s="46" t="e">
        <f>+B50*100%/B51</f>
        <v>#DIV/0!</v>
      </c>
      <c r="D50" s="47" t="e">
        <f>+B50/E17</f>
        <v>#DIV/0!</v>
      </c>
      <c r="E50" s="338" t="s">
        <v>114</v>
      </c>
      <c r="F50" s="339"/>
      <c r="G50" s="370">
        <f>+B50</f>
        <v>0</v>
      </c>
    </row>
    <row r="51" spans="1:7" ht="15.75" thickBot="1" x14ac:dyDescent="0.3">
      <c r="B51" s="48">
        <f>SUM(B18:B50)</f>
        <v>0</v>
      </c>
      <c r="C51" s="4" t="e">
        <f>SUM(C18:C50)</f>
        <v>#DIV/0!</v>
      </c>
      <c r="D51" s="48" t="e">
        <f>SUM(D18:D49)</f>
        <v>#DIV/0!</v>
      </c>
      <c r="F51" s="306">
        <f>SUM(F18:F50)</f>
        <v>0</v>
      </c>
      <c r="G51" s="306">
        <f>SUM(G18:G50)</f>
        <v>0</v>
      </c>
    </row>
    <row r="52" spans="1:7" ht="15.75" thickBot="1" x14ac:dyDescent="0.3">
      <c r="B52" s="309" t="s">
        <v>116</v>
      </c>
      <c r="C52" s="310" t="s">
        <v>117</v>
      </c>
      <c r="D52" s="311" t="e">
        <f>+F51/(279000-G52)</f>
        <v>#DIV/0!</v>
      </c>
      <c r="F52" s="307" t="s">
        <v>115</v>
      </c>
      <c r="G52" s="308" t="e">
        <f>+G51/E17</f>
        <v>#DIV/0!</v>
      </c>
    </row>
  </sheetData>
  <mergeCells count="1">
    <mergeCell ref="B16:J16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B7BD-47BC-434E-97DD-AC58D61BCE2D}">
  <sheetPr>
    <tabColor theme="5" tint="-0.249977111117893"/>
  </sheetPr>
  <dimension ref="A12:J52"/>
  <sheetViews>
    <sheetView topLeftCell="A4" workbookViewId="0">
      <selection activeCell="B18" sqref="B18:B50"/>
    </sheetView>
  </sheetViews>
  <sheetFormatPr baseColWidth="10" defaultRowHeight="15" x14ac:dyDescent="0.25"/>
  <cols>
    <col min="1" max="1" width="22" customWidth="1"/>
    <col min="2" max="2" width="17.140625" style="1" customWidth="1"/>
    <col min="3" max="3" width="11.7109375" customWidth="1"/>
    <col min="4" max="4" width="12.85546875" style="19" customWidth="1"/>
    <col min="5" max="5" width="12.42578125" customWidth="1"/>
    <col min="6" max="7" width="13.28515625" customWidth="1"/>
  </cols>
  <sheetData>
    <row r="12" spans="1:10" ht="15.75" thickBot="1" x14ac:dyDescent="0.3"/>
    <row r="13" spans="1:10" ht="15" customHeight="1" x14ac:dyDescent="0.25">
      <c r="A13" s="20" t="s">
        <v>42</v>
      </c>
      <c r="B13" s="22"/>
      <c r="C13" s="362" t="s">
        <v>48</v>
      </c>
      <c r="D13" s="359" t="s">
        <v>119</v>
      </c>
      <c r="E13" s="359" t="s">
        <v>120</v>
      </c>
      <c r="F13" s="367"/>
    </row>
    <row r="14" spans="1:10" ht="15.75" thickBot="1" x14ac:dyDescent="0.3">
      <c r="C14" s="360"/>
      <c r="D14" s="361">
        <v>275000</v>
      </c>
      <c r="E14" s="368">
        <f>+C14*D14</f>
        <v>0</v>
      </c>
      <c r="F14" s="369"/>
    </row>
    <row r="16" spans="1:10" ht="21.75" thickBot="1" x14ac:dyDescent="0.4">
      <c r="B16" s="436">
        <v>2025</v>
      </c>
      <c r="C16" s="436"/>
      <c r="D16" s="436"/>
      <c r="E16" s="436"/>
      <c r="F16" s="436"/>
      <c r="G16" s="436"/>
      <c r="H16" s="436"/>
      <c r="I16" s="436"/>
      <c r="J16" s="436"/>
    </row>
    <row r="17" spans="1:7" ht="30.75" thickBot="1" x14ac:dyDescent="0.3">
      <c r="A17" s="5" t="s">
        <v>30</v>
      </c>
      <c r="B17" s="5" t="s">
        <v>31</v>
      </c>
      <c r="C17" s="5" t="s">
        <v>32</v>
      </c>
      <c r="D17" s="44" t="s">
        <v>33</v>
      </c>
      <c r="E17" s="321">
        <f>+C14</f>
        <v>0</v>
      </c>
      <c r="F17" s="322" t="s">
        <v>113</v>
      </c>
      <c r="G17" s="323" t="s">
        <v>114</v>
      </c>
    </row>
    <row r="18" spans="1:7" x14ac:dyDescent="0.25">
      <c r="A18" s="312" t="s">
        <v>41</v>
      </c>
      <c r="B18" s="49"/>
      <c r="C18" s="50" t="e">
        <f>+B18*100%/B51</f>
        <v>#DIV/0!</v>
      </c>
      <c r="D18" s="47" t="e">
        <f>+B18/E17</f>
        <v>#DIV/0!</v>
      </c>
      <c r="E18" s="328" t="s">
        <v>113</v>
      </c>
      <c r="F18" s="329">
        <f>+B18</f>
        <v>0</v>
      </c>
      <c r="G18" s="330"/>
    </row>
    <row r="19" spans="1:7" x14ac:dyDescent="0.25">
      <c r="A19" s="312" t="s">
        <v>13</v>
      </c>
      <c r="B19" s="45"/>
      <c r="C19" s="23" t="e">
        <f>+B19*100%/B51</f>
        <v>#DIV/0!</v>
      </c>
      <c r="D19" s="47" t="e">
        <f>+B19/E17</f>
        <v>#DIV/0!</v>
      </c>
      <c r="E19" s="300" t="s">
        <v>114</v>
      </c>
      <c r="F19" s="2"/>
      <c r="G19" s="301">
        <f t="shared" ref="G19:G25" si="0">+B19</f>
        <v>0</v>
      </c>
    </row>
    <row r="20" spans="1:7" x14ac:dyDescent="0.25">
      <c r="A20" s="313" t="s">
        <v>14</v>
      </c>
      <c r="B20" s="47"/>
      <c r="C20" s="46" t="e">
        <f>+B20*100%/B51</f>
        <v>#DIV/0!</v>
      </c>
      <c r="D20" s="47" t="e">
        <f>+B20/E17</f>
        <v>#DIV/0!</v>
      </c>
      <c r="E20" s="302" t="s">
        <v>114</v>
      </c>
      <c r="F20" s="2"/>
      <c r="G20" s="301">
        <f t="shared" si="0"/>
        <v>0</v>
      </c>
    </row>
    <row r="21" spans="1:7" x14ac:dyDescent="0.25">
      <c r="A21" s="313" t="s">
        <v>34</v>
      </c>
      <c r="B21" s="47"/>
      <c r="C21" s="46" t="e">
        <f>+B21*100%/B51</f>
        <v>#DIV/0!</v>
      </c>
      <c r="D21" s="47" t="e">
        <f>+B21/E17</f>
        <v>#DIV/0!</v>
      </c>
      <c r="E21" s="302" t="s">
        <v>114</v>
      </c>
      <c r="F21" s="2"/>
      <c r="G21" s="301">
        <f t="shared" si="0"/>
        <v>0</v>
      </c>
    </row>
    <row r="22" spans="1:7" x14ac:dyDescent="0.25">
      <c r="A22" s="313" t="s">
        <v>15</v>
      </c>
      <c r="B22" s="47"/>
      <c r="C22" s="46" t="e">
        <f>+B22*100%/B51</f>
        <v>#DIV/0!</v>
      </c>
      <c r="D22" s="47" t="e">
        <f>+B22/E17</f>
        <v>#DIV/0!</v>
      </c>
      <c r="E22" s="302" t="s">
        <v>114</v>
      </c>
      <c r="F22" s="2"/>
      <c r="G22" s="301">
        <f t="shared" si="0"/>
        <v>0</v>
      </c>
    </row>
    <row r="23" spans="1:7" x14ac:dyDescent="0.25">
      <c r="A23" s="313" t="s">
        <v>16</v>
      </c>
      <c r="B23" s="47"/>
      <c r="C23" s="46" t="e">
        <f>+B23*100%/B51</f>
        <v>#DIV/0!</v>
      </c>
      <c r="D23" s="47" t="e">
        <f>+B23/E17</f>
        <v>#DIV/0!</v>
      </c>
      <c r="E23" s="302" t="s">
        <v>114</v>
      </c>
      <c r="F23" s="2"/>
      <c r="G23" s="301">
        <f t="shared" si="0"/>
        <v>0</v>
      </c>
    </row>
    <row r="24" spans="1:7" x14ac:dyDescent="0.25">
      <c r="A24" s="313" t="s">
        <v>17</v>
      </c>
      <c r="B24" s="47"/>
      <c r="C24" s="46" t="e">
        <f>+B24*100%/B51</f>
        <v>#DIV/0!</v>
      </c>
      <c r="D24" s="47" t="e">
        <f>+B24/E17</f>
        <v>#DIV/0!</v>
      </c>
      <c r="E24" s="302" t="s">
        <v>114</v>
      </c>
      <c r="F24" s="2"/>
      <c r="G24" s="301">
        <f t="shared" si="0"/>
        <v>0</v>
      </c>
    </row>
    <row r="25" spans="1:7" x14ac:dyDescent="0.25">
      <c r="A25" s="313" t="s">
        <v>18</v>
      </c>
      <c r="B25" s="47"/>
      <c r="C25" s="46" t="e">
        <f>+B25*100%/B51</f>
        <v>#DIV/0!</v>
      </c>
      <c r="D25" s="47" t="e">
        <f>+B25/E17</f>
        <v>#DIV/0!</v>
      </c>
      <c r="E25" s="302" t="s">
        <v>114</v>
      </c>
      <c r="F25" s="2"/>
      <c r="G25" s="301">
        <f t="shared" si="0"/>
        <v>0</v>
      </c>
    </row>
    <row r="26" spans="1:7" x14ac:dyDescent="0.25">
      <c r="A26" s="313" t="s">
        <v>28</v>
      </c>
      <c r="B26" s="47"/>
      <c r="C26" s="46" t="e">
        <f>+B26*100%/B51</f>
        <v>#DIV/0!</v>
      </c>
      <c r="D26" s="47" t="e">
        <f>+B26/E17</f>
        <v>#DIV/0!</v>
      </c>
      <c r="E26" s="333" t="s">
        <v>113</v>
      </c>
      <c r="F26" s="334">
        <f>+B26</f>
        <v>0</v>
      </c>
      <c r="G26" s="335"/>
    </row>
    <row r="27" spans="1:7" x14ac:dyDescent="0.25">
      <c r="A27" s="313" t="s">
        <v>19</v>
      </c>
      <c r="B27" s="47"/>
      <c r="C27" s="46" t="e">
        <f>+B27*100%/B51</f>
        <v>#DIV/0!</v>
      </c>
      <c r="D27" s="47" t="e">
        <f>+B27/E17</f>
        <v>#DIV/0!</v>
      </c>
      <c r="E27" s="302" t="s">
        <v>114</v>
      </c>
      <c r="F27" s="2"/>
      <c r="G27" s="301">
        <f>+B27</f>
        <v>0</v>
      </c>
    </row>
    <row r="28" spans="1:7" x14ac:dyDescent="0.25">
      <c r="A28" s="365" t="s">
        <v>111</v>
      </c>
      <c r="B28" s="47"/>
      <c r="C28" s="46" t="e">
        <f>+B28*100%/B51</f>
        <v>#DIV/0!</v>
      </c>
      <c r="D28" s="47" t="e">
        <f>+B28/E17</f>
        <v>#DIV/0!</v>
      </c>
      <c r="E28" s="302" t="s">
        <v>114</v>
      </c>
      <c r="F28" s="2"/>
      <c r="G28" s="301">
        <f>+B28</f>
        <v>0</v>
      </c>
    </row>
    <row r="29" spans="1:7" x14ac:dyDescent="0.25">
      <c r="A29" s="313" t="s">
        <v>20</v>
      </c>
      <c r="B29" s="47"/>
      <c r="C29" s="46" t="e">
        <f>+B29*100%/B51</f>
        <v>#DIV/0!</v>
      </c>
      <c r="D29" s="47" t="e">
        <f>+B29/E17</f>
        <v>#DIV/0!</v>
      </c>
      <c r="E29" s="333" t="s">
        <v>113</v>
      </c>
      <c r="F29" s="334">
        <f>+B29</f>
        <v>0</v>
      </c>
      <c r="G29" s="335"/>
    </row>
    <row r="30" spans="1:7" x14ac:dyDescent="0.25">
      <c r="A30" s="313" t="s">
        <v>21</v>
      </c>
      <c r="B30" s="47"/>
      <c r="C30" s="46" t="e">
        <f>+B30*100%/B51</f>
        <v>#DIV/0!</v>
      </c>
      <c r="D30" s="47" t="e">
        <f>+B30/E17</f>
        <v>#DIV/0!</v>
      </c>
      <c r="E30" s="302" t="s">
        <v>114</v>
      </c>
      <c r="F30" s="2"/>
      <c r="G30" s="301">
        <f t="shared" ref="G30:G34" si="1">+B30</f>
        <v>0</v>
      </c>
    </row>
    <row r="31" spans="1:7" x14ac:dyDescent="0.25">
      <c r="A31" s="313" t="s">
        <v>22</v>
      </c>
      <c r="B31" s="47"/>
      <c r="C31" s="46" t="e">
        <f>+B31*100%/B51</f>
        <v>#DIV/0!</v>
      </c>
      <c r="D31" s="47" t="e">
        <f>+B31/E17</f>
        <v>#DIV/0!</v>
      </c>
      <c r="E31" s="302" t="s">
        <v>114</v>
      </c>
      <c r="F31" s="2"/>
      <c r="G31" s="301">
        <f t="shared" si="1"/>
        <v>0</v>
      </c>
    </row>
    <row r="32" spans="1:7" x14ac:dyDescent="0.25">
      <c r="A32" s="313" t="s">
        <v>112</v>
      </c>
      <c r="B32" s="47"/>
      <c r="C32" s="46" t="e">
        <f>+B32*100%/B51</f>
        <v>#DIV/0!</v>
      </c>
      <c r="D32" s="47" t="e">
        <f>+B32/E17</f>
        <v>#DIV/0!</v>
      </c>
      <c r="E32" s="333" t="s">
        <v>113</v>
      </c>
      <c r="F32" s="334">
        <f>+B32</f>
        <v>0</v>
      </c>
      <c r="G32" s="336">
        <v>0</v>
      </c>
    </row>
    <row r="33" spans="1:7" x14ac:dyDescent="0.25">
      <c r="A33" s="313" t="s">
        <v>23</v>
      </c>
      <c r="B33" s="47"/>
      <c r="C33" s="46" t="e">
        <f>+B33*100%/B51</f>
        <v>#DIV/0!</v>
      </c>
      <c r="D33" s="47" t="e">
        <f>+B33/E17</f>
        <v>#DIV/0!</v>
      </c>
      <c r="E33" s="302" t="s">
        <v>114</v>
      </c>
      <c r="F33" s="2"/>
      <c r="G33" s="301">
        <f t="shared" si="1"/>
        <v>0</v>
      </c>
    </row>
    <row r="34" spans="1:7" x14ac:dyDescent="0.25">
      <c r="A34" s="313" t="s">
        <v>24</v>
      </c>
      <c r="B34" s="47"/>
      <c r="C34" s="46" t="e">
        <f>+B34*100%/B51</f>
        <v>#DIV/0!</v>
      </c>
      <c r="D34" s="47" t="e">
        <f>+B34/E17</f>
        <v>#DIV/0!</v>
      </c>
      <c r="E34" s="304" t="s">
        <v>114</v>
      </c>
      <c r="F34" s="2"/>
      <c r="G34" s="305">
        <f t="shared" si="1"/>
        <v>0</v>
      </c>
    </row>
    <row r="35" spans="1:7" x14ac:dyDescent="0.25">
      <c r="A35" s="313" t="s">
        <v>25</v>
      </c>
      <c r="B35" s="47"/>
      <c r="C35" s="46" t="e">
        <f>+B35*100%/B51</f>
        <v>#DIV/0!</v>
      </c>
      <c r="D35" s="47" t="e">
        <f>+B35/E17</f>
        <v>#DIV/0!</v>
      </c>
      <c r="E35" s="333" t="s">
        <v>113</v>
      </c>
      <c r="F35" s="334">
        <f>+B35</f>
        <v>0</v>
      </c>
      <c r="G35" s="336">
        <v>0</v>
      </c>
    </row>
    <row r="36" spans="1:7" x14ac:dyDescent="0.25">
      <c r="A36" s="313" t="s">
        <v>36</v>
      </c>
      <c r="B36" s="47"/>
      <c r="C36" s="46" t="e">
        <f>+B36*100%/B51</f>
        <v>#DIV/0!</v>
      </c>
      <c r="D36" s="47" t="e">
        <f>+B36/E17</f>
        <v>#DIV/0!</v>
      </c>
      <c r="E36" s="333" t="s">
        <v>113</v>
      </c>
      <c r="F36" s="334">
        <f>+B36</f>
        <v>0</v>
      </c>
      <c r="G36" s="335"/>
    </row>
    <row r="37" spans="1:7" x14ac:dyDescent="0.25">
      <c r="A37" s="313" t="s">
        <v>26</v>
      </c>
      <c r="B37" s="47"/>
      <c r="C37" s="46" t="e">
        <f>+B37*100%/B51</f>
        <v>#DIV/0!</v>
      </c>
      <c r="D37" s="47" t="e">
        <f>+B37/E17</f>
        <v>#DIV/0!</v>
      </c>
      <c r="E37" s="333" t="s">
        <v>113</v>
      </c>
      <c r="F37" s="334">
        <f>+B37</f>
        <v>0</v>
      </c>
      <c r="G37" s="335"/>
    </row>
    <row r="38" spans="1:7" x14ac:dyDescent="0.25">
      <c r="A38" s="313" t="s">
        <v>27</v>
      </c>
      <c r="B38" s="47"/>
      <c r="C38" s="46" t="e">
        <f>+B38*100%/B51</f>
        <v>#DIV/0!</v>
      </c>
      <c r="D38" s="47" t="e">
        <f>+B38/E17</f>
        <v>#DIV/0!</v>
      </c>
      <c r="E38" s="333" t="s">
        <v>113</v>
      </c>
      <c r="F38" s="334">
        <f>+B38</f>
        <v>0</v>
      </c>
      <c r="G38" s="335"/>
    </row>
    <row r="39" spans="1:7" x14ac:dyDescent="0.25">
      <c r="A39" s="313" t="s">
        <v>118</v>
      </c>
      <c r="B39" s="47"/>
      <c r="C39" s="46" t="e">
        <f>+B39*100%/B51</f>
        <v>#DIV/0!</v>
      </c>
      <c r="D39" s="47" t="e">
        <f>+B39/E17</f>
        <v>#DIV/0!</v>
      </c>
      <c r="E39" s="333" t="s">
        <v>113</v>
      </c>
      <c r="F39" s="334">
        <f>+B39</f>
        <v>0</v>
      </c>
      <c r="G39" s="336">
        <v>0</v>
      </c>
    </row>
    <row r="40" spans="1:7" x14ac:dyDescent="0.25">
      <c r="A40" s="313" t="s">
        <v>37</v>
      </c>
      <c r="B40" s="47"/>
      <c r="C40" s="46" t="e">
        <f>+B40*100%/B51</f>
        <v>#DIV/0!</v>
      </c>
      <c r="D40" s="47" t="e">
        <f>+B40/E17</f>
        <v>#DIV/0!</v>
      </c>
      <c r="E40" s="302" t="s">
        <v>114</v>
      </c>
      <c r="F40" s="303"/>
      <c r="G40" s="301">
        <f>+B40</f>
        <v>0</v>
      </c>
    </row>
    <row r="41" spans="1:7" x14ac:dyDescent="0.25">
      <c r="A41" s="313" t="s">
        <v>38</v>
      </c>
      <c r="B41" s="47"/>
      <c r="C41" s="46" t="e">
        <f>+B41*100%/B51</f>
        <v>#DIV/0!</v>
      </c>
      <c r="D41" s="47" t="e">
        <f>+B41/E17</f>
        <v>#DIV/0!</v>
      </c>
      <c r="E41" s="302" t="s">
        <v>114</v>
      </c>
      <c r="F41" s="2"/>
      <c r="G41" s="301">
        <f>+B41</f>
        <v>0</v>
      </c>
    </row>
    <row r="42" spans="1:7" x14ac:dyDescent="0.25">
      <c r="A42" s="313" t="s">
        <v>39</v>
      </c>
      <c r="B42" s="47"/>
      <c r="C42" s="46" t="e">
        <f>+B42*100%/B51</f>
        <v>#DIV/0!</v>
      </c>
      <c r="D42" s="47" t="e">
        <f>+B42/E17</f>
        <v>#DIV/0!</v>
      </c>
      <c r="E42" s="333" t="s">
        <v>113</v>
      </c>
      <c r="F42" s="334">
        <f>+B42</f>
        <v>0</v>
      </c>
      <c r="G42" s="335"/>
    </row>
    <row r="43" spans="1:7" x14ac:dyDescent="0.25">
      <c r="A43" s="313" t="s">
        <v>35</v>
      </c>
      <c r="B43" s="47"/>
      <c r="C43" s="46" t="e">
        <f>+B43*100%/B51</f>
        <v>#DIV/0!</v>
      </c>
      <c r="D43" s="47" t="e">
        <f>+B43/E17</f>
        <v>#DIV/0!</v>
      </c>
      <c r="E43" s="337" t="s">
        <v>113</v>
      </c>
      <c r="F43" s="334">
        <f>+B43</f>
        <v>0</v>
      </c>
      <c r="G43" s="335"/>
    </row>
    <row r="44" spans="1:7" x14ac:dyDescent="0.25">
      <c r="A44" s="313" t="s">
        <v>58</v>
      </c>
      <c r="B44" s="47"/>
      <c r="C44" s="46" t="e">
        <f>+B44*100%/B51</f>
        <v>#DIV/0!</v>
      </c>
      <c r="D44" s="47" t="e">
        <f>+B44/E17</f>
        <v>#DIV/0!</v>
      </c>
      <c r="E44" s="337" t="s">
        <v>113</v>
      </c>
      <c r="F44" s="334">
        <f>+B44</f>
        <v>0</v>
      </c>
      <c r="G44" s="335"/>
    </row>
    <row r="45" spans="1:7" x14ac:dyDescent="0.25">
      <c r="A45" s="313" t="s">
        <v>59</v>
      </c>
      <c r="B45" s="47"/>
      <c r="C45" s="46" t="e">
        <f>+B45*100%/B51</f>
        <v>#DIV/0!</v>
      </c>
      <c r="D45" s="47" t="e">
        <f>+B45/E17</f>
        <v>#DIV/0!</v>
      </c>
      <c r="E45" s="337" t="s">
        <v>113</v>
      </c>
      <c r="F45" s="334">
        <f>+B45</f>
        <v>0</v>
      </c>
      <c r="G45" s="335"/>
    </row>
    <row r="46" spans="1:7" x14ac:dyDescent="0.25">
      <c r="A46" s="313" t="s">
        <v>40</v>
      </c>
      <c r="B46" s="47"/>
      <c r="C46" s="46" t="e">
        <f>+B46*100%/B51</f>
        <v>#DIV/0!</v>
      </c>
      <c r="D46" s="47" t="e">
        <f>+B46/E17</f>
        <v>#DIV/0!</v>
      </c>
      <c r="E46" s="304" t="s">
        <v>114</v>
      </c>
      <c r="F46" s="2"/>
      <c r="G46" s="301">
        <f>+B46</f>
        <v>0</v>
      </c>
    </row>
    <row r="47" spans="1:7" x14ac:dyDescent="0.25">
      <c r="A47" s="313" t="s">
        <v>55</v>
      </c>
      <c r="B47" s="47"/>
      <c r="C47" s="46" t="e">
        <f>+B47*100%/B51</f>
        <v>#DIV/0!</v>
      </c>
      <c r="D47" s="47" t="e">
        <f>+B47/E17</f>
        <v>#DIV/0!</v>
      </c>
      <c r="E47" s="337" t="s">
        <v>113</v>
      </c>
      <c r="F47" s="334">
        <f>+B47</f>
        <v>0</v>
      </c>
      <c r="G47" s="335"/>
    </row>
    <row r="48" spans="1:7" x14ac:dyDescent="0.25">
      <c r="A48" s="313" t="s">
        <v>56</v>
      </c>
      <c r="B48" s="47"/>
      <c r="C48" s="46" t="e">
        <f>+B48*100%/B51</f>
        <v>#DIV/0!</v>
      </c>
      <c r="D48" s="47" t="e">
        <f>+B48/E17</f>
        <v>#DIV/0!</v>
      </c>
      <c r="E48" s="304" t="s">
        <v>114</v>
      </c>
      <c r="F48" s="2"/>
      <c r="G48" s="301">
        <f>+B48</f>
        <v>0</v>
      </c>
    </row>
    <row r="49" spans="1:7" ht="15.75" thickBot="1" x14ac:dyDescent="0.3">
      <c r="A49" s="313" t="s">
        <v>57</v>
      </c>
      <c r="B49" s="47"/>
      <c r="C49" s="46" t="e">
        <f>+B49*100%/B51</f>
        <v>#DIV/0!</v>
      </c>
      <c r="D49" s="47" t="e">
        <f>+B49/E17</f>
        <v>#DIV/0!</v>
      </c>
      <c r="E49" s="338" t="s">
        <v>113</v>
      </c>
      <c r="F49" s="339">
        <f>+B49</f>
        <v>0</v>
      </c>
      <c r="G49" s="340"/>
    </row>
    <row r="50" spans="1:7" ht="15.75" thickBot="1" x14ac:dyDescent="0.3">
      <c r="A50" s="313" t="s">
        <v>122</v>
      </c>
      <c r="B50" s="47"/>
      <c r="C50" s="46" t="e">
        <f>+B50*100%/B51</f>
        <v>#DIV/0!</v>
      </c>
      <c r="D50" s="47" t="e">
        <f>+B50/E17</f>
        <v>#DIV/0!</v>
      </c>
      <c r="E50" s="338" t="s">
        <v>114</v>
      </c>
      <c r="F50" s="339"/>
      <c r="G50" s="370">
        <f>+B50</f>
        <v>0</v>
      </c>
    </row>
    <row r="51" spans="1:7" ht="15.75" thickBot="1" x14ac:dyDescent="0.3">
      <c r="B51" s="48">
        <f>SUM(B18:B50)</f>
        <v>0</v>
      </c>
      <c r="C51" s="4" t="e">
        <f t="shared" ref="C51:G51" si="2">SUM(C18:C50)</f>
        <v>#DIV/0!</v>
      </c>
      <c r="D51" s="48" t="e">
        <f t="shared" si="2"/>
        <v>#DIV/0!</v>
      </c>
      <c r="E51" s="48"/>
      <c r="F51" s="48">
        <f t="shared" si="2"/>
        <v>0</v>
      </c>
      <c r="G51" s="48">
        <f t="shared" si="2"/>
        <v>0</v>
      </c>
    </row>
    <row r="52" spans="1:7" ht="15.75" thickBot="1" x14ac:dyDescent="0.3">
      <c r="B52" s="309" t="s">
        <v>116</v>
      </c>
      <c r="C52" s="310" t="s">
        <v>117</v>
      </c>
      <c r="D52" s="311" t="e">
        <f>+F51/(275000-G52)</f>
        <v>#DIV/0!</v>
      </c>
      <c r="F52" s="307" t="s">
        <v>115</v>
      </c>
      <c r="G52" s="308" t="e">
        <f>+G51/E17</f>
        <v>#DIV/0!</v>
      </c>
    </row>
  </sheetData>
  <mergeCells count="1">
    <mergeCell ref="B16:J16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0233-D58B-48D9-A59F-5C6136A29045}">
  <sheetPr>
    <tabColor theme="5" tint="-0.249977111117893"/>
  </sheetPr>
  <dimension ref="A12:J52"/>
  <sheetViews>
    <sheetView topLeftCell="A4" workbookViewId="0">
      <selection activeCell="C14" sqref="C14"/>
    </sheetView>
  </sheetViews>
  <sheetFormatPr baseColWidth="10" defaultRowHeight="15" x14ac:dyDescent="0.25"/>
  <cols>
    <col min="1" max="1" width="22" customWidth="1"/>
    <col min="2" max="2" width="17.140625" style="1" customWidth="1"/>
    <col min="3" max="3" width="11.7109375" customWidth="1"/>
    <col min="4" max="4" width="12.85546875" style="19" customWidth="1"/>
    <col min="5" max="5" width="12.85546875" customWidth="1"/>
    <col min="6" max="7" width="13.28515625" customWidth="1"/>
  </cols>
  <sheetData>
    <row r="12" spans="1:10" ht="15.75" thickBot="1" x14ac:dyDescent="0.3"/>
    <row r="13" spans="1:10" ht="15" customHeight="1" x14ac:dyDescent="0.25">
      <c r="A13" s="20" t="s">
        <v>42</v>
      </c>
      <c r="B13" s="22"/>
      <c r="C13" s="362" t="s">
        <v>48</v>
      </c>
      <c r="D13" s="359" t="s">
        <v>119</v>
      </c>
      <c r="E13" s="359" t="s">
        <v>120</v>
      </c>
      <c r="F13" s="367"/>
    </row>
    <row r="14" spans="1:10" ht="15.75" thickBot="1" x14ac:dyDescent="0.3">
      <c r="C14" s="360"/>
      <c r="D14" s="361">
        <v>275000</v>
      </c>
      <c r="E14" s="368">
        <f>+C14*D14</f>
        <v>0</v>
      </c>
      <c r="F14" s="369"/>
    </row>
    <row r="16" spans="1:10" ht="21.75" thickBot="1" x14ac:dyDescent="0.4">
      <c r="B16" s="436">
        <v>2025</v>
      </c>
      <c r="C16" s="436"/>
      <c r="D16" s="436"/>
      <c r="E16" s="436"/>
      <c r="F16" s="436"/>
      <c r="G16" s="436"/>
      <c r="H16" s="436"/>
      <c r="I16" s="436"/>
      <c r="J16" s="436"/>
    </row>
    <row r="17" spans="1:7" ht="30.75" thickBot="1" x14ac:dyDescent="0.3">
      <c r="A17" s="5" t="s">
        <v>30</v>
      </c>
      <c r="B17" s="5" t="s">
        <v>31</v>
      </c>
      <c r="C17" s="5" t="s">
        <v>32</v>
      </c>
      <c r="D17" s="44" t="s">
        <v>33</v>
      </c>
      <c r="E17" s="321">
        <f>+C14</f>
        <v>0</v>
      </c>
      <c r="F17" s="322" t="s">
        <v>113</v>
      </c>
      <c r="G17" s="323" t="s">
        <v>114</v>
      </c>
    </row>
    <row r="18" spans="1:7" x14ac:dyDescent="0.25">
      <c r="A18" s="312" t="s">
        <v>41</v>
      </c>
      <c r="B18" s="49"/>
      <c r="C18" s="50" t="e">
        <f>+B18*100%/B51</f>
        <v>#DIV/0!</v>
      </c>
      <c r="D18" s="47" t="e">
        <f>+B18/E17</f>
        <v>#DIV/0!</v>
      </c>
      <c r="E18" s="328" t="s">
        <v>113</v>
      </c>
      <c r="F18" s="329">
        <f>+B18</f>
        <v>0</v>
      </c>
      <c r="G18" s="330"/>
    </row>
    <row r="19" spans="1:7" x14ac:dyDescent="0.25">
      <c r="A19" s="312" t="s">
        <v>13</v>
      </c>
      <c r="B19" s="45"/>
      <c r="C19" s="23" t="e">
        <f>+B19*100%/B51</f>
        <v>#DIV/0!</v>
      </c>
      <c r="D19" s="47" t="e">
        <f>+B19/E17</f>
        <v>#DIV/0!</v>
      </c>
      <c r="E19" s="300" t="s">
        <v>114</v>
      </c>
      <c r="F19" s="2"/>
      <c r="G19" s="301">
        <f t="shared" ref="G19:G25" si="0">+B19</f>
        <v>0</v>
      </c>
    </row>
    <row r="20" spans="1:7" x14ac:dyDescent="0.25">
      <c r="A20" s="313" t="s">
        <v>14</v>
      </c>
      <c r="B20" s="47"/>
      <c r="C20" s="46" t="e">
        <f>+B20*100%/B51</f>
        <v>#DIV/0!</v>
      </c>
      <c r="D20" s="47" t="e">
        <f>+B20/E17</f>
        <v>#DIV/0!</v>
      </c>
      <c r="E20" s="302" t="s">
        <v>114</v>
      </c>
      <c r="F20" s="2"/>
      <c r="G20" s="301">
        <f t="shared" si="0"/>
        <v>0</v>
      </c>
    </row>
    <row r="21" spans="1:7" x14ac:dyDescent="0.25">
      <c r="A21" s="313" t="s">
        <v>34</v>
      </c>
      <c r="B21" s="47"/>
      <c r="C21" s="46" t="e">
        <f>+B21*100%/B51</f>
        <v>#DIV/0!</v>
      </c>
      <c r="D21" s="47" t="e">
        <f>+B21/E17</f>
        <v>#DIV/0!</v>
      </c>
      <c r="E21" s="302" t="s">
        <v>114</v>
      </c>
      <c r="F21" s="2"/>
      <c r="G21" s="301">
        <f t="shared" si="0"/>
        <v>0</v>
      </c>
    </row>
    <row r="22" spans="1:7" x14ac:dyDescent="0.25">
      <c r="A22" s="313" t="s">
        <v>15</v>
      </c>
      <c r="B22" s="47"/>
      <c r="C22" s="46" t="e">
        <f>+B22*100%/B51</f>
        <v>#DIV/0!</v>
      </c>
      <c r="D22" s="47" t="e">
        <f>+B22/E17</f>
        <v>#DIV/0!</v>
      </c>
      <c r="E22" s="302" t="s">
        <v>114</v>
      </c>
      <c r="F22" s="2"/>
      <c r="G22" s="301">
        <f t="shared" si="0"/>
        <v>0</v>
      </c>
    </row>
    <row r="23" spans="1:7" x14ac:dyDescent="0.25">
      <c r="A23" s="313" t="s">
        <v>16</v>
      </c>
      <c r="B23" s="47"/>
      <c r="C23" s="46" t="e">
        <f>+B23*100%/B51</f>
        <v>#DIV/0!</v>
      </c>
      <c r="D23" s="47" t="e">
        <f>+B23/E17</f>
        <v>#DIV/0!</v>
      </c>
      <c r="E23" s="302" t="s">
        <v>114</v>
      </c>
      <c r="F23" s="2"/>
      <c r="G23" s="301">
        <f t="shared" si="0"/>
        <v>0</v>
      </c>
    </row>
    <row r="24" spans="1:7" x14ac:dyDescent="0.25">
      <c r="A24" s="313" t="s">
        <v>17</v>
      </c>
      <c r="B24" s="47"/>
      <c r="C24" s="46" t="e">
        <f>+B24*100%/B51</f>
        <v>#DIV/0!</v>
      </c>
      <c r="D24" s="47" t="e">
        <f>+B24/E17</f>
        <v>#DIV/0!</v>
      </c>
      <c r="E24" s="302" t="s">
        <v>114</v>
      </c>
      <c r="F24" s="2"/>
      <c r="G24" s="301">
        <f t="shared" si="0"/>
        <v>0</v>
      </c>
    </row>
    <row r="25" spans="1:7" x14ac:dyDescent="0.25">
      <c r="A25" s="313" t="s">
        <v>18</v>
      </c>
      <c r="B25" s="47"/>
      <c r="C25" s="46" t="e">
        <f>+B25*100%/B51</f>
        <v>#DIV/0!</v>
      </c>
      <c r="D25" s="47" t="e">
        <f>+B25/E17</f>
        <v>#DIV/0!</v>
      </c>
      <c r="E25" s="302" t="s">
        <v>114</v>
      </c>
      <c r="F25" s="2"/>
      <c r="G25" s="301">
        <f t="shared" si="0"/>
        <v>0</v>
      </c>
    </row>
    <row r="26" spans="1:7" x14ac:dyDescent="0.25">
      <c r="A26" s="313" t="s">
        <v>28</v>
      </c>
      <c r="B26" s="47"/>
      <c r="C26" s="46" t="e">
        <f>+B26*100%/B51</f>
        <v>#DIV/0!</v>
      </c>
      <c r="D26" s="47" t="e">
        <f>+B26/E17</f>
        <v>#DIV/0!</v>
      </c>
      <c r="E26" s="333" t="s">
        <v>113</v>
      </c>
      <c r="F26" s="334">
        <f>+B26</f>
        <v>0</v>
      </c>
      <c r="G26" s="335"/>
    </row>
    <row r="27" spans="1:7" x14ac:dyDescent="0.25">
      <c r="A27" s="313" t="s">
        <v>19</v>
      </c>
      <c r="B27" s="47"/>
      <c r="C27" s="46" t="e">
        <f>+B27*100%/B51</f>
        <v>#DIV/0!</v>
      </c>
      <c r="D27" s="47" t="e">
        <f>+B27/E17</f>
        <v>#DIV/0!</v>
      </c>
      <c r="E27" s="302" t="s">
        <v>114</v>
      </c>
      <c r="F27" s="2"/>
      <c r="G27" s="301">
        <f>+B27</f>
        <v>0</v>
      </c>
    </row>
    <row r="28" spans="1:7" x14ac:dyDescent="0.25">
      <c r="A28" s="365" t="s">
        <v>111</v>
      </c>
      <c r="B28" s="47"/>
      <c r="C28" s="46" t="e">
        <f>+B28*100%/B51</f>
        <v>#DIV/0!</v>
      </c>
      <c r="D28" s="47" t="e">
        <f>+B28/E17</f>
        <v>#DIV/0!</v>
      </c>
      <c r="E28" s="302" t="s">
        <v>114</v>
      </c>
      <c r="F28" s="2"/>
      <c r="G28" s="301">
        <f>+B28</f>
        <v>0</v>
      </c>
    </row>
    <row r="29" spans="1:7" x14ac:dyDescent="0.25">
      <c r="A29" s="313" t="s">
        <v>20</v>
      </c>
      <c r="B29" s="47"/>
      <c r="C29" s="46" t="e">
        <f>+B29*100%/B51</f>
        <v>#DIV/0!</v>
      </c>
      <c r="D29" s="47" t="e">
        <f>+B29/E17</f>
        <v>#DIV/0!</v>
      </c>
      <c r="E29" s="333" t="s">
        <v>113</v>
      </c>
      <c r="F29" s="334">
        <f>+B29</f>
        <v>0</v>
      </c>
      <c r="G29" s="335"/>
    </row>
    <row r="30" spans="1:7" x14ac:dyDescent="0.25">
      <c r="A30" s="313" t="s">
        <v>21</v>
      </c>
      <c r="B30" s="47"/>
      <c r="C30" s="46" t="e">
        <f>+B30*100%/B51</f>
        <v>#DIV/0!</v>
      </c>
      <c r="D30" s="47" t="e">
        <f>+B30/E17</f>
        <v>#DIV/0!</v>
      </c>
      <c r="E30" s="302" t="s">
        <v>114</v>
      </c>
      <c r="F30" s="2"/>
      <c r="G30" s="301">
        <f t="shared" ref="G30:G34" si="1">+B30</f>
        <v>0</v>
      </c>
    </row>
    <row r="31" spans="1:7" x14ac:dyDescent="0.25">
      <c r="A31" s="313" t="s">
        <v>22</v>
      </c>
      <c r="B31" s="47"/>
      <c r="C31" s="46" t="e">
        <f>+B31*100%/B51</f>
        <v>#DIV/0!</v>
      </c>
      <c r="D31" s="47" t="e">
        <f>+B31/E17</f>
        <v>#DIV/0!</v>
      </c>
      <c r="E31" s="302" t="s">
        <v>114</v>
      </c>
      <c r="F31" s="2"/>
      <c r="G31" s="301">
        <f t="shared" si="1"/>
        <v>0</v>
      </c>
    </row>
    <row r="32" spans="1:7" x14ac:dyDescent="0.25">
      <c r="A32" s="313" t="s">
        <v>112</v>
      </c>
      <c r="B32" s="47"/>
      <c r="C32" s="46" t="e">
        <f>+B32*100%/B51</f>
        <v>#DIV/0!</v>
      </c>
      <c r="D32" s="47" t="e">
        <f>+B32/E17</f>
        <v>#DIV/0!</v>
      </c>
      <c r="E32" s="333" t="s">
        <v>113</v>
      </c>
      <c r="F32" s="334">
        <f>+B32</f>
        <v>0</v>
      </c>
      <c r="G32" s="336">
        <v>0</v>
      </c>
    </row>
    <row r="33" spans="1:7" x14ac:dyDescent="0.25">
      <c r="A33" s="313" t="s">
        <v>23</v>
      </c>
      <c r="B33" s="47"/>
      <c r="C33" s="46" t="e">
        <f>+B33*100%/B51</f>
        <v>#DIV/0!</v>
      </c>
      <c r="D33" s="47" t="e">
        <f>+B33/E17</f>
        <v>#DIV/0!</v>
      </c>
      <c r="E33" s="302" t="s">
        <v>114</v>
      </c>
      <c r="F33" s="2"/>
      <c r="G33" s="301">
        <f t="shared" si="1"/>
        <v>0</v>
      </c>
    </row>
    <row r="34" spans="1:7" x14ac:dyDescent="0.25">
      <c r="A34" s="313" t="s">
        <v>24</v>
      </c>
      <c r="B34" s="47"/>
      <c r="C34" s="46" t="e">
        <f>+B34*100%/B51</f>
        <v>#DIV/0!</v>
      </c>
      <c r="D34" s="47" t="e">
        <f>+B34/E17</f>
        <v>#DIV/0!</v>
      </c>
      <c r="E34" s="304" t="s">
        <v>114</v>
      </c>
      <c r="F34" s="2"/>
      <c r="G34" s="305">
        <f t="shared" si="1"/>
        <v>0</v>
      </c>
    </row>
    <row r="35" spans="1:7" x14ac:dyDescent="0.25">
      <c r="A35" s="313" t="s">
        <v>25</v>
      </c>
      <c r="B35" s="47"/>
      <c r="C35" s="46" t="e">
        <f>+B35*100%/B51</f>
        <v>#DIV/0!</v>
      </c>
      <c r="D35" s="47" t="e">
        <f>+B35/E17</f>
        <v>#DIV/0!</v>
      </c>
      <c r="E35" s="333" t="s">
        <v>113</v>
      </c>
      <c r="F35" s="334">
        <f>+B35</f>
        <v>0</v>
      </c>
      <c r="G35" s="336">
        <v>0</v>
      </c>
    </row>
    <row r="36" spans="1:7" x14ac:dyDescent="0.25">
      <c r="A36" s="313" t="s">
        <v>36</v>
      </c>
      <c r="B36" s="47"/>
      <c r="C36" s="46" t="e">
        <f>+B36*100%/B51</f>
        <v>#DIV/0!</v>
      </c>
      <c r="D36" s="47" t="e">
        <f>+B36/E17</f>
        <v>#DIV/0!</v>
      </c>
      <c r="E36" s="333" t="s">
        <v>113</v>
      </c>
      <c r="F36" s="334">
        <f>+B36</f>
        <v>0</v>
      </c>
      <c r="G36" s="335"/>
    </row>
    <row r="37" spans="1:7" x14ac:dyDescent="0.25">
      <c r="A37" s="313" t="s">
        <v>26</v>
      </c>
      <c r="B37" s="47"/>
      <c r="C37" s="46" t="e">
        <f>+B37*100%/B51</f>
        <v>#DIV/0!</v>
      </c>
      <c r="D37" s="47" t="e">
        <f>+B37/E17</f>
        <v>#DIV/0!</v>
      </c>
      <c r="E37" s="333" t="s">
        <v>113</v>
      </c>
      <c r="F37" s="334">
        <f>+B37</f>
        <v>0</v>
      </c>
      <c r="G37" s="335"/>
    </row>
    <row r="38" spans="1:7" x14ac:dyDescent="0.25">
      <c r="A38" s="313" t="s">
        <v>27</v>
      </c>
      <c r="B38" s="47"/>
      <c r="C38" s="46" t="e">
        <f>+B38*100%/B51</f>
        <v>#DIV/0!</v>
      </c>
      <c r="D38" s="47" t="e">
        <f>+B38/E17</f>
        <v>#DIV/0!</v>
      </c>
      <c r="E38" s="333" t="s">
        <v>113</v>
      </c>
      <c r="F38" s="334">
        <f>+B38</f>
        <v>0</v>
      </c>
      <c r="G38" s="335"/>
    </row>
    <row r="39" spans="1:7" x14ac:dyDescent="0.25">
      <c r="A39" s="313" t="s">
        <v>118</v>
      </c>
      <c r="B39" s="47"/>
      <c r="C39" s="46" t="e">
        <f>+B39*100%/B51</f>
        <v>#DIV/0!</v>
      </c>
      <c r="D39" s="47" t="e">
        <f>+B39/E17</f>
        <v>#DIV/0!</v>
      </c>
      <c r="E39" s="333" t="s">
        <v>113</v>
      </c>
      <c r="F39" s="334">
        <f>+B39</f>
        <v>0</v>
      </c>
      <c r="G39" s="336">
        <v>0</v>
      </c>
    </row>
    <row r="40" spans="1:7" x14ac:dyDescent="0.25">
      <c r="A40" s="313" t="s">
        <v>37</v>
      </c>
      <c r="B40" s="47"/>
      <c r="C40" s="46" t="e">
        <f>+B40*100%/B51</f>
        <v>#DIV/0!</v>
      </c>
      <c r="D40" s="47" t="e">
        <f>+B40/E17</f>
        <v>#DIV/0!</v>
      </c>
      <c r="E40" s="302" t="s">
        <v>114</v>
      </c>
      <c r="F40" s="303"/>
      <c r="G40" s="301">
        <f>+B40</f>
        <v>0</v>
      </c>
    </row>
    <row r="41" spans="1:7" x14ac:dyDescent="0.25">
      <c r="A41" s="313" t="s">
        <v>38</v>
      </c>
      <c r="B41" s="47"/>
      <c r="C41" s="46" t="e">
        <f>+B41*100%/B51</f>
        <v>#DIV/0!</v>
      </c>
      <c r="D41" s="47" t="e">
        <f>+B41/E17</f>
        <v>#DIV/0!</v>
      </c>
      <c r="E41" s="302" t="s">
        <v>114</v>
      </c>
      <c r="F41" s="2"/>
      <c r="G41" s="301">
        <f>+B41</f>
        <v>0</v>
      </c>
    </row>
    <row r="42" spans="1:7" x14ac:dyDescent="0.25">
      <c r="A42" s="313" t="s">
        <v>39</v>
      </c>
      <c r="B42" s="47"/>
      <c r="C42" s="46" t="e">
        <f>+B42*100%/B51</f>
        <v>#DIV/0!</v>
      </c>
      <c r="D42" s="47" t="e">
        <f>+B42/E17</f>
        <v>#DIV/0!</v>
      </c>
      <c r="E42" s="333" t="s">
        <v>113</v>
      </c>
      <c r="F42" s="334">
        <f>+B42</f>
        <v>0</v>
      </c>
      <c r="G42" s="335"/>
    </row>
    <row r="43" spans="1:7" x14ac:dyDescent="0.25">
      <c r="A43" s="313" t="s">
        <v>35</v>
      </c>
      <c r="B43" s="47"/>
      <c r="C43" s="46" t="e">
        <f>+B43*100%/B51</f>
        <v>#DIV/0!</v>
      </c>
      <c r="D43" s="47" t="e">
        <f>+B43/E17</f>
        <v>#DIV/0!</v>
      </c>
      <c r="E43" s="337" t="s">
        <v>113</v>
      </c>
      <c r="F43" s="334">
        <f>+B43</f>
        <v>0</v>
      </c>
      <c r="G43" s="335"/>
    </row>
    <row r="44" spans="1:7" x14ac:dyDescent="0.25">
      <c r="A44" s="313" t="s">
        <v>58</v>
      </c>
      <c r="B44" s="47"/>
      <c r="C44" s="46" t="e">
        <f>+B44*100%/B51</f>
        <v>#DIV/0!</v>
      </c>
      <c r="D44" s="47" t="e">
        <f>+B44/E17</f>
        <v>#DIV/0!</v>
      </c>
      <c r="E44" s="337" t="s">
        <v>113</v>
      </c>
      <c r="F44" s="334">
        <f>+B44</f>
        <v>0</v>
      </c>
      <c r="G44" s="335"/>
    </row>
    <row r="45" spans="1:7" x14ac:dyDescent="0.25">
      <c r="A45" s="313" t="s">
        <v>59</v>
      </c>
      <c r="B45" s="47"/>
      <c r="C45" s="46" t="e">
        <f>+B45*100%/B51</f>
        <v>#DIV/0!</v>
      </c>
      <c r="D45" s="47" t="e">
        <f>+B45/E17</f>
        <v>#DIV/0!</v>
      </c>
      <c r="E45" s="337" t="s">
        <v>113</v>
      </c>
      <c r="F45" s="334">
        <f>+B45</f>
        <v>0</v>
      </c>
      <c r="G45" s="335"/>
    </row>
    <row r="46" spans="1:7" x14ac:dyDescent="0.25">
      <c r="A46" s="313" t="s">
        <v>40</v>
      </c>
      <c r="B46" s="47"/>
      <c r="C46" s="46" t="e">
        <f>+B46*100%/B51</f>
        <v>#DIV/0!</v>
      </c>
      <c r="D46" s="47" t="e">
        <f>+B46/E17</f>
        <v>#DIV/0!</v>
      </c>
      <c r="E46" s="304" t="s">
        <v>114</v>
      </c>
      <c r="F46" s="2"/>
      <c r="G46" s="301">
        <f>+B46</f>
        <v>0</v>
      </c>
    </row>
    <row r="47" spans="1:7" x14ac:dyDescent="0.25">
      <c r="A47" s="313" t="s">
        <v>55</v>
      </c>
      <c r="B47" s="47"/>
      <c r="C47" s="46" t="e">
        <f>+B47*100%/B51</f>
        <v>#DIV/0!</v>
      </c>
      <c r="D47" s="47" t="e">
        <f>+B47/E17</f>
        <v>#DIV/0!</v>
      </c>
      <c r="E47" s="337" t="s">
        <v>113</v>
      </c>
      <c r="F47" s="334">
        <f>+B47</f>
        <v>0</v>
      </c>
      <c r="G47" s="335"/>
    </row>
    <row r="48" spans="1:7" x14ac:dyDescent="0.25">
      <c r="A48" s="313" t="s">
        <v>56</v>
      </c>
      <c r="B48" s="47"/>
      <c r="C48" s="46" t="e">
        <f>+B48*100%/B51</f>
        <v>#DIV/0!</v>
      </c>
      <c r="D48" s="47" t="e">
        <f>+B48/E17</f>
        <v>#DIV/0!</v>
      </c>
      <c r="E48" s="304" t="s">
        <v>114</v>
      </c>
      <c r="F48" s="2"/>
      <c r="G48" s="301">
        <f>+B48</f>
        <v>0</v>
      </c>
    </row>
    <row r="49" spans="1:7" ht="15.75" thickBot="1" x14ac:dyDescent="0.3">
      <c r="A49" s="313" t="s">
        <v>57</v>
      </c>
      <c r="B49" s="47"/>
      <c r="C49" s="46" t="e">
        <f>+B49*100%/B51</f>
        <v>#DIV/0!</v>
      </c>
      <c r="D49" s="47" t="e">
        <f>+B49/E17</f>
        <v>#DIV/0!</v>
      </c>
      <c r="E49" s="338" t="s">
        <v>113</v>
      </c>
      <c r="F49" s="339">
        <f>+B49</f>
        <v>0</v>
      </c>
      <c r="G49" s="340"/>
    </row>
    <row r="50" spans="1:7" ht="15.75" thickBot="1" x14ac:dyDescent="0.3">
      <c r="A50" s="313" t="s">
        <v>122</v>
      </c>
      <c r="B50" s="47"/>
      <c r="C50" s="46" t="e">
        <f>+B50*100%/B51</f>
        <v>#DIV/0!</v>
      </c>
      <c r="D50" s="47" t="e">
        <f>+B50/E17</f>
        <v>#DIV/0!</v>
      </c>
      <c r="E50" s="338" t="s">
        <v>114</v>
      </c>
      <c r="F50" s="339"/>
      <c r="G50" s="370">
        <f>+B50</f>
        <v>0</v>
      </c>
    </row>
    <row r="51" spans="1:7" ht="15.75" thickBot="1" x14ac:dyDescent="0.3">
      <c r="B51" s="48">
        <f>SUM(B18:B50)</f>
        <v>0</v>
      </c>
      <c r="C51" s="4" t="e">
        <f t="shared" ref="C51:G51" si="2">SUM(C18:C50)</f>
        <v>#DIV/0!</v>
      </c>
      <c r="D51" s="48" t="e">
        <f t="shared" si="2"/>
        <v>#DIV/0!</v>
      </c>
      <c r="E51" s="48">
        <f t="shared" si="2"/>
        <v>0</v>
      </c>
      <c r="F51" s="48">
        <f t="shared" si="2"/>
        <v>0</v>
      </c>
      <c r="G51" s="48">
        <f t="shared" si="2"/>
        <v>0</v>
      </c>
    </row>
    <row r="52" spans="1:7" ht="15.75" thickBot="1" x14ac:dyDescent="0.3">
      <c r="B52" s="309" t="s">
        <v>116</v>
      </c>
      <c r="C52" s="310" t="s">
        <v>117</v>
      </c>
      <c r="D52" s="311" t="e">
        <f>+F51/(277000-G52)</f>
        <v>#DIV/0!</v>
      </c>
      <c r="F52" s="307" t="s">
        <v>115</v>
      </c>
      <c r="G52" s="308" t="e">
        <f>+G51/E17</f>
        <v>#DIV/0!</v>
      </c>
    </row>
  </sheetData>
  <mergeCells count="1">
    <mergeCell ref="B16:J16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B6E0-D6A6-407D-96D9-2A6B6B1A689E}">
  <sheetPr>
    <tabColor theme="5" tint="-0.249977111117893"/>
  </sheetPr>
  <dimension ref="A12:J52"/>
  <sheetViews>
    <sheetView topLeftCell="A4" workbookViewId="0">
      <selection activeCell="B18" sqref="B18:B50"/>
    </sheetView>
  </sheetViews>
  <sheetFormatPr baseColWidth="10" defaultRowHeight="15" x14ac:dyDescent="0.25"/>
  <cols>
    <col min="1" max="1" width="22" customWidth="1"/>
    <col min="2" max="2" width="17.140625" style="1" customWidth="1"/>
    <col min="3" max="3" width="11.7109375" customWidth="1"/>
    <col min="4" max="4" width="12.85546875" style="19" customWidth="1"/>
    <col min="5" max="5" width="12.85546875" customWidth="1"/>
    <col min="6" max="7" width="13.28515625" customWidth="1"/>
  </cols>
  <sheetData>
    <row r="12" spans="1:10" ht="15.75" thickBot="1" x14ac:dyDescent="0.3"/>
    <row r="13" spans="1:10" ht="15" customHeight="1" x14ac:dyDescent="0.25">
      <c r="A13" s="20" t="s">
        <v>42</v>
      </c>
      <c r="B13" s="22">
        <f>+'PRODUC ACUMULADA'!B14</f>
        <v>0</v>
      </c>
      <c r="C13" s="362" t="s">
        <v>48</v>
      </c>
      <c r="D13" s="359" t="s">
        <v>119</v>
      </c>
      <c r="E13" s="359" t="s">
        <v>120</v>
      </c>
      <c r="F13" s="367"/>
    </row>
    <row r="14" spans="1:10" ht="15.75" thickBot="1" x14ac:dyDescent="0.3">
      <c r="C14" s="360">
        <f>+B13</f>
        <v>0</v>
      </c>
      <c r="D14" s="361">
        <v>270000</v>
      </c>
      <c r="E14" s="368">
        <f>+C14*D14</f>
        <v>0</v>
      </c>
      <c r="F14" s="369"/>
    </row>
    <row r="16" spans="1:10" ht="21.75" thickBot="1" x14ac:dyDescent="0.4">
      <c r="B16" s="436">
        <v>2025</v>
      </c>
      <c r="C16" s="436"/>
      <c r="D16" s="436"/>
      <c r="E16" s="436"/>
      <c r="F16" s="436"/>
      <c r="G16" s="436"/>
      <c r="H16" s="436"/>
      <c r="I16" s="436"/>
      <c r="J16" s="436"/>
    </row>
    <row r="17" spans="1:7" ht="30.75" thickBot="1" x14ac:dyDescent="0.3">
      <c r="A17" s="5" t="s">
        <v>30</v>
      </c>
      <c r="B17" s="5" t="s">
        <v>31</v>
      </c>
      <c r="C17" s="5" t="s">
        <v>32</v>
      </c>
      <c r="D17" s="44" t="s">
        <v>33</v>
      </c>
      <c r="E17" s="321">
        <f>+C14</f>
        <v>0</v>
      </c>
      <c r="F17" s="322" t="s">
        <v>113</v>
      </c>
      <c r="G17" s="323" t="s">
        <v>114</v>
      </c>
    </row>
    <row r="18" spans="1:7" x14ac:dyDescent="0.25">
      <c r="A18" s="312" t="s">
        <v>41</v>
      </c>
      <c r="B18" s="49"/>
      <c r="C18" s="50" t="e">
        <f>+B18*100%/B51</f>
        <v>#DIV/0!</v>
      </c>
      <c r="D18" s="47" t="e">
        <f>+B18/E17</f>
        <v>#DIV/0!</v>
      </c>
      <c r="E18" s="328" t="s">
        <v>113</v>
      </c>
      <c r="F18" s="329">
        <f>+B18</f>
        <v>0</v>
      </c>
      <c r="G18" s="330"/>
    </row>
    <row r="19" spans="1:7" x14ac:dyDescent="0.25">
      <c r="A19" s="312" t="s">
        <v>13</v>
      </c>
      <c r="B19" s="45"/>
      <c r="C19" s="23" t="e">
        <f>+B19*100%/B51</f>
        <v>#DIV/0!</v>
      </c>
      <c r="D19" s="47" t="e">
        <f>+B19/E17</f>
        <v>#DIV/0!</v>
      </c>
      <c r="E19" s="300" t="s">
        <v>114</v>
      </c>
      <c r="F19" s="2"/>
      <c r="G19" s="301">
        <f t="shared" ref="G19:G25" si="0">+B19</f>
        <v>0</v>
      </c>
    </row>
    <row r="20" spans="1:7" x14ac:dyDescent="0.25">
      <c r="A20" s="313" t="s">
        <v>14</v>
      </c>
      <c r="B20" s="47"/>
      <c r="C20" s="46" t="e">
        <f>+B20*100%/B51</f>
        <v>#DIV/0!</v>
      </c>
      <c r="D20" s="47" t="e">
        <f>+B20/E17</f>
        <v>#DIV/0!</v>
      </c>
      <c r="E20" s="302" t="s">
        <v>114</v>
      </c>
      <c r="F20" s="2"/>
      <c r="G20" s="301">
        <f t="shared" si="0"/>
        <v>0</v>
      </c>
    </row>
    <row r="21" spans="1:7" x14ac:dyDescent="0.25">
      <c r="A21" s="313" t="s">
        <v>34</v>
      </c>
      <c r="B21" s="47"/>
      <c r="C21" s="46" t="e">
        <f>+B21*100%/B51</f>
        <v>#DIV/0!</v>
      </c>
      <c r="D21" s="47" t="e">
        <f>+B21/E17</f>
        <v>#DIV/0!</v>
      </c>
      <c r="E21" s="302" t="s">
        <v>114</v>
      </c>
      <c r="F21" s="2"/>
      <c r="G21" s="301">
        <f t="shared" si="0"/>
        <v>0</v>
      </c>
    </row>
    <row r="22" spans="1:7" x14ac:dyDescent="0.25">
      <c r="A22" s="313" t="s">
        <v>15</v>
      </c>
      <c r="B22" s="47"/>
      <c r="C22" s="46" t="e">
        <f>+B22*100%/B51</f>
        <v>#DIV/0!</v>
      </c>
      <c r="D22" s="47" t="e">
        <f>+B22/E17</f>
        <v>#DIV/0!</v>
      </c>
      <c r="E22" s="302" t="s">
        <v>114</v>
      </c>
      <c r="F22" s="2"/>
      <c r="G22" s="301">
        <f t="shared" si="0"/>
        <v>0</v>
      </c>
    </row>
    <row r="23" spans="1:7" x14ac:dyDescent="0.25">
      <c r="A23" s="313" t="s">
        <v>16</v>
      </c>
      <c r="B23" s="47"/>
      <c r="C23" s="46" t="e">
        <f>+B23*100%/B51</f>
        <v>#DIV/0!</v>
      </c>
      <c r="D23" s="47" t="e">
        <f>+B23/E17</f>
        <v>#DIV/0!</v>
      </c>
      <c r="E23" s="302" t="s">
        <v>114</v>
      </c>
      <c r="F23" s="2"/>
      <c r="G23" s="301">
        <f t="shared" si="0"/>
        <v>0</v>
      </c>
    </row>
    <row r="24" spans="1:7" x14ac:dyDescent="0.25">
      <c r="A24" s="313" t="s">
        <v>17</v>
      </c>
      <c r="B24" s="47"/>
      <c r="C24" s="46" t="e">
        <f>+B24*100%/B51</f>
        <v>#DIV/0!</v>
      </c>
      <c r="D24" s="47" t="e">
        <f>+B24/E17</f>
        <v>#DIV/0!</v>
      </c>
      <c r="E24" s="302" t="s">
        <v>114</v>
      </c>
      <c r="F24" s="2"/>
      <c r="G24" s="301">
        <f t="shared" si="0"/>
        <v>0</v>
      </c>
    </row>
    <row r="25" spans="1:7" x14ac:dyDescent="0.25">
      <c r="A25" s="313" t="s">
        <v>18</v>
      </c>
      <c r="B25" s="47"/>
      <c r="C25" s="46" t="e">
        <f>+B25*100%/B51</f>
        <v>#DIV/0!</v>
      </c>
      <c r="D25" s="47" t="e">
        <f>+B25/E17</f>
        <v>#DIV/0!</v>
      </c>
      <c r="E25" s="302" t="s">
        <v>114</v>
      </c>
      <c r="F25" s="2"/>
      <c r="G25" s="301">
        <f t="shared" si="0"/>
        <v>0</v>
      </c>
    </row>
    <row r="26" spans="1:7" x14ac:dyDescent="0.25">
      <c r="A26" s="313" t="s">
        <v>28</v>
      </c>
      <c r="B26" s="47"/>
      <c r="C26" s="46" t="e">
        <f>+B26*100%/B51</f>
        <v>#DIV/0!</v>
      </c>
      <c r="D26" s="47" t="e">
        <f>+B26/E17</f>
        <v>#DIV/0!</v>
      </c>
      <c r="E26" s="333" t="s">
        <v>113</v>
      </c>
      <c r="F26" s="334">
        <f>+B26</f>
        <v>0</v>
      </c>
      <c r="G26" s="335"/>
    </row>
    <row r="27" spans="1:7" x14ac:dyDescent="0.25">
      <c r="A27" s="313" t="s">
        <v>19</v>
      </c>
      <c r="B27" s="47"/>
      <c r="C27" s="46" t="e">
        <f>+B27*100%/B51</f>
        <v>#DIV/0!</v>
      </c>
      <c r="D27" s="47" t="e">
        <f>+B27/E17</f>
        <v>#DIV/0!</v>
      </c>
      <c r="E27" s="302" t="s">
        <v>114</v>
      </c>
      <c r="F27" s="2"/>
      <c r="G27" s="301">
        <f>+B27</f>
        <v>0</v>
      </c>
    </row>
    <row r="28" spans="1:7" x14ac:dyDescent="0.25">
      <c r="A28" s="365" t="s">
        <v>111</v>
      </c>
      <c r="B28" s="47"/>
      <c r="C28" s="46" t="e">
        <f>+B28*100%/B51</f>
        <v>#DIV/0!</v>
      </c>
      <c r="D28" s="47" t="e">
        <f>+B28/E17</f>
        <v>#DIV/0!</v>
      </c>
      <c r="E28" s="302" t="s">
        <v>114</v>
      </c>
      <c r="F28" s="2"/>
      <c r="G28" s="301">
        <f>+B28</f>
        <v>0</v>
      </c>
    </row>
    <row r="29" spans="1:7" x14ac:dyDescent="0.25">
      <c r="A29" s="313" t="s">
        <v>20</v>
      </c>
      <c r="B29" s="47"/>
      <c r="C29" s="46" t="e">
        <f>+B29*100%/B51</f>
        <v>#DIV/0!</v>
      </c>
      <c r="D29" s="47" t="e">
        <f>+B29/E17</f>
        <v>#DIV/0!</v>
      </c>
      <c r="E29" s="333" t="s">
        <v>113</v>
      </c>
      <c r="F29" s="334">
        <f>+B29</f>
        <v>0</v>
      </c>
      <c r="G29" s="335"/>
    </row>
    <row r="30" spans="1:7" x14ac:dyDescent="0.25">
      <c r="A30" s="313" t="s">
        <v>21</v>
      </c>
      <c r="B30" s="47"/>
      <c r="C30" s="46" t="e">
        <f>+B30*100%/B51</f>
        <v>#DIV/0!</v>
      </c>
      <c r="D30" s="47" t="e">
        <f>+B30/E17</f>
        <v>#DIV/0!</v>
      </c>
      <c r="E30" s="302" t="s">
        <v>114</v>
      </c>
      <c r="F30" s="2"/>
      <c r="G30" s="301">
        <f t="shared" ref="G30:G34" si="1">+B30</f>
        <v>0</v>
      </c>
    </row>
    <row r="31" spans="1:7" x14ac:dyDescent="0.25">
      <c r="A31" s="313" t="s">
        <v>22</v>
      </c>
      <c r="B31" s="47"/>
      <c r="C31" s="46" t="e">
        <f>+B31*100%/B51</f>
        <v>#DIV/0!</v>
      </c>
      <c r="D31" s="47" t="e">
        <f>+B31/E17</f>
        <v>#DIV/0!</v>
      </c>
      <c r="E31" s="302" t="s">
        <v>114</v>
      </c>
      <c r="F31" s="2"/>
      <c r="G31" s="301">
        <f t="shared" si="1"/>
        <v>0</v>
      </c>
    </row>
    <row r="32" spans="1:7" x14ac:dyDescent="0.25">
      <c r="A32" s="313" t="s">
        <v>112</v>
      </c>
      <c r="B32" s="47"/>
      <c r="C32" s="46" t="e">
        <f>+B32*100%/B51</f>
        <v>#DIV/0!</v>
      </c>
      <c r="D32" s="47" t="e">
        <f>+B32/E17</f>
        <v>#DIV/0!</v>
      </c>
      <c r="E32" s="333" t="s">
        <v>113</v>
      </c>
      <c r="F32" s="334">
        <f>+B32</f>
        <v>0</v>
      </c>
      <c r="G32" s="336">
        <v>0</v>
      </c>
    </row>
    <row r="33" spans="1:7" x14ac:dyDescent="0.25">
      <c r="A33" s="313" t="s">
        <v>23</v>
      </c>
      <c r="B33" s="47"/>
      <c r="C33" s="46" t="e">
        <f>+B33*100%/B51</f>
        <v>#DIV/0!</v>
      </c>
      <c r="D33" s="47" t="e">
        <f>+B33/E17</f>
        <v>#DIV/0!</v>
      </c>
      <c r="E33" s="302" t="s">
        <v>114</v>
      </c>
      <c r="F33" s="2"/>
      <c r="G33" s="301">
        <f t="shared" si="1"/>
        <v>0</v>
      </c>
    </row>
    <row r="34" spans="1:7" x14ac:dyDescent="0.25">
      <c r="A34" s="313" t="s">
        <v>24</v>
      </c>
      <c r="B34" s="47"/>
      <c r="C34" s="46" t="e">
        <f>+B34*100%/B51</f>
        <v>#DIV/0!</v>
      </c>
      <c r="D34" s="47" t="e">
        <f>+B34/E17</f>
        <v>#DIV/0!</v>
      </c>
      <c r="E34" s="304" t="s">
        <v>114</v>
      </c>
      <c r="F34" s="2"/>
      <c r="G34" s="305">
        <f t="shared" si="1"/>
        <v>0</v>
      </c>
    </row>
    <row r="35" spans="1:7" x14ac:dyDescent="0.25">
      <c r="A35" s="313" t="s">
        <v>25</v>
      </c>
      <c r="B35" s="47"/>
      <c r="C35" s="46" t="e">
        <f>+B35*100%/B51</f>
        <v>#DIV/0!</v>
      </c>
      <c r="D35" s="47" t="e">
        <f>+B35/E17</f>
        <v>#DIV/0!</v>
      </c>
      <c r="E35" s="333" t="s">
        <v>113</v>
      </c>
      <c r="F35" s="334">
        <f>+B35</f>
        <v>0</v>
      </c>
      <c r="G35" s="336">
        <v>0</v>
      </c>
    </row>
    <row r="36" spans="1:7" x14ac:dyDescent="0.25">
      <c r="A36" s="313" t="s">
        <v>36</v>
      </c>
      <c r="B36" s="47"/>
      <c r="C36" s="46" t="e">
        <f>+B36*100%/B51</f>
        <v>#DIV/0!</v>
      </c>
      <c r="D36" s="47" t="e">
        <f>+B36/E17</f>
        <v>#DIV/0!</v>
      </c>
      <c r="E36" s="333" t="s">
        <v>113</v>
      </c>
      <c r="F36" s="334">
        <f>+B36</f>
        <v>0</v>
      </c>
      <c r="G36" s="335"/>
    </row>
    <row r="37" spans="1:7" x14ac:dyDescent="0.25">
      <c r="A37" s="313" t="s">
        <v>26</v>
      </c>
      <c r="B37" s="47"/>
      <c r="C37" s="46" t="e">
        <f>+B37*100%/B51</f>
        <v>#DIV/0!</v>
      </c>
      <c r="D37" s="47" t="e">
        <f>+B37/E17</f>
        <v>#DIV/0!</v>
      </c>
      <c r="E37" s="333" t="s">
        <v>113</v>
      </c>
      <c r="F37" s="334">
        <f>+B37</f>
        <v>0</v>
      </c>
      <c r="G37" s="335"/>
    </row>
    <row r="38" spans="1:7" x14ac:dyDescent="0.25">
      <c r="A38" s="313" t="s">
        <v>27</v>
      </c>
      <c r="B38" s="47"/>
      <c r="C38" s="46" t="e">
        <f>+B38*100%/B51</f>
        <v>#DIV/0!</v>
      </c>
      <c r="D38" s="47" t="e">
        <f>+B38/E17</f>
        <v>#DIV/0!</v>
      </c>
      <c r="E38" s="333" t="s">
        <v>113</v>
      </c>
      <c r="F38" s="334">
        <f>+B38</f>
        <v>0</v>
      </c>
      <c r="G38" s="335"/>
    </row>
    <row r="39" spans="1:7" x14ac:dyDescent="0.25">
      <c r="A39" s="313" t="s">
        <v>118</v>
      </c>
      <c r="B39" s="47"/>
      <c r="C39" s="46" t="e">
        <f>+B39*100%/B51</f>
        <v>#DIV/0!</v>
      </c>
      <c r="D39" s="47" t="e">
        <f>+B39/E17</f>
        <v>#DIV/0!</v>
      </c>
      <c r="E39" s="333" t="s">
        <v>113</v>
      </c>
      <c r="F39" s="334">
        <f>+B39</f>
        <v>0</v>
      </c>
      <c r="G39" s="336">
        <v>0</v>
      </c>
    </row>
    <row r="40" spans="1:7" x14ac:dyDescent="0.25">
      <c r="A40" s="313" t="s">
        <v>37</v>
      </c>
      <c r="B40" s="47"/>
      <c r="C40" s="46" t="e">
        <f>+B40*100%/B51</f>
        <v>#DIV/0!</v>
      </c>
      <c r="D40" s="47" t="e">
        <f>+B40/E17</f>
        <v>#DIV/0!</v>
      </c>
      <c r="E40" s="302" t="s">
        <v>114</v>
      </c>
      <c r="F40" s="303"/>
      <c r="G40" s="301">
        <f>+B40</f>
        <v>0</v>
      </c>
    </row>
    <row r="41" spans="1:7" x14ac:dyDescent="0.25">
      <c r="A41" s="313" t="s">
        <v>38</v>
      </c>
      <c r="B41" s="47"/>
      <c r="C41" s="46" t="e">
        <f>+B41*100%/B51</f>
        <v>#DIV/0!</v>
      </c>
      <c r="D41" s="47" t="e">
        <f>+B41/E17</f>
        <v>#DIV/0!</v>
      </c>
      <c r="E41" s="302" t="s">
        <v>114</v>
      </c>
      <c r="F41" s="2"/>
      <c r="G41" s="301">
        <f>+B41</f>
        <v>0</v>
      </c>
    </row>
    <row r="42" spans="1:7" x14ac:dyDescent="0.25">
      <c r="A42" s="313" t="s">
        <v>39</v>
      </c>
      <c r="B42" s="47"/>
      <c r="C42" s="46" t="e">
        <f>+B42*100%/B51</f>
        <v>#DIV/0!</v>
      </c>
      <c r="D42" s="47" t="e">
        <f>+B42/E17</f>
        <v>#DIV/0!</v>
      </c>
      <c r="E42" s="333" t="s">
        <v>113</v>
      </c>
      <c r="F42" s="334">
        <f>+B42</f>
        <v>0</v>
      </c>
      <c r="G42" s="335"/>
    </row>
    <row r="43" spans="1:7" x14ac:dyDescent="0.25">
      <c r="A43" s="313" t="s">
        <v>35</v>
      </c>
      <c r="B43" s="47"/>
      <c r="C43" s="46" t="e">
        <f>+B43*100%/B51</f>
        <v>#DIV/0!</v>
      </c>
      <c r="D43" s="47" t="e">
        <f>+B43/E17</f>
        <v>#DIV/0!</v>
      </c>
      <c r="E43" s="337" t="s">
        <v>113</v>
      </c>
      <c r="F43" s="334">
        <f>+B43</f>
        <v>0</v>
      </c>
      <c r="G43" s="335"/>
    </row>
    <row r="44" spans="1:7" x14ac:dyDescent="0.25">
      <c r="A44" s="313" t="s">
        <v>58</v>
      </c>
      <c r="B44" s="47"/>
      <c r="C44" s="46" t="e">
        <f>+B44*100%/B51</f>
        <v>#DIV/0!</v>
      </c>
      <c r="D44" s="47" t="e">
        <f>+B44/E17</f>
        <v>#DIV/0!</v>
      </c>
      <c r="E44" s="337" t="s">
        <v>113</v>
      </c>
      <c r="F44" s="334">
        <f>+B44</f>
        <v>0</v>
      </c>
      <c r="G44" s="335"/>
    </row>
    <row r="45" spans="1:7" x14ac:dyDescent="0.25">
      <c r="A45" s="313" t="s">
        <v>59</v>
      </c>
      <c r="B45" s="47"/>
      <c r="C45" s="46" t="e">
        <f>+B45*100%/B51</f>
        <v>#DIV/0!</v>
      </c>
      <c r="D45" s="47" t="e">
        <f>+B45/E17</f>
        <v>#DIV/0!</v>
      </c>
      <c r="E45" s="337" t="s">
        <v>113</v>
      </c>
      <c r="F45" s="334">
        <f>+B45</f>
        <v>0</v>
      </c>
      <c r="G45" s="335"/>
    </row>
    <row r="46" spans="1:7" x14ac:dyDescent="0.25">
      <c r="A46" s="313" t="s">
        <v>40</v>
      </c>
      <c r="B46" s="47"/>
      <c r="C46" s="46" t="e">
        <f>+B46*100%/B51</f>
        <v>#DIV/0!</v>
      </c>
      <c r="D46" s="47" t="e">
        <f>+B46/E17</f>
        <v>#DIV/0!</v>
      </c>
      <c r="E46" s="304" t="s">
        <v>114</v>
      </c>
      <c r="F46" s="2"/>
      <c r="G46" s="301">
        <f>+B46</f>
        <v>0</v>
      </c>
    </row>
    <row r="47" spans="1:7" x14ac:dyDescent="0.25">
      <c r="A47" s="313" t="s">
        <v>55</v>
      </c>
      <c r="B47" s="47"/>
      <c r="C47" s="46" t="e">
        <f>+B47*100%/B51</f>
        <v>#DIV/0!</v>
      </c>
      <c r="D47" s="47" t="e">
        <f>+B47/E17</f>
        <v>#DIV/0!</v>
      </c>
      <c r="E47" s="337" t="s">
        <v>113</v>
      </c>
      <c r="F47" s="334">
        <f>+B47</f>
        <v>0</v>
      </c>
      <c r="G47" s="335"/>
    </row>
    <row r="48" spans="1:7" x14ac:dyDescent="0.25">
      <c r="A48" s="313" t="s">
        <v>56</v>
      </c>
      <c r="B48" s="47"/>
      <c r="C48" s="46" t="e">
        <f>+B48*100%/B51</f>
        <v>#DIV/0!</v>
      </c>
      <c r="D48" s="47" t="e">
        <f>+B48/E17</f>
        <v>#DIV/0!</v>
      </c>
      <c r="E48" s="304" t="s">
        <v>114</v>
      </c>
      <c r="F48" s="2"/>
      <c r="G48" s="301">
        <f>+B48</f>
        <v>0</v>
      </c>
    </row>
    <row r="49" spans="1:7" ht="15.75" thickBot="1" x14ac:dyDescent="0.3">
      <c r="A49" s="313" t="s">
        <v>57</v>
      </c>
      <c r="B49" s="47"/>
      <c r="C49" s="46" t="e">
        <f>+B49*100%/B51</f>
        <v>#DIV/0!</v>
      </c>
      <c r="D49" s="47" t="e">
        <f>+B49/E17</f>
        <v>#DIV/0!</v>
      </c>
      <c r="E49" s="338" t="s">
        <v>113</v>
      </c>
      <c r="F49" s="339">
        <f>+B49</f>
        <v>0</v>
      </c>
      <c r="G49" s="340"/>
    </row>
    <row r="50" spans="1:7" ht="15.75" thickBot="1" x14ac:dyDescent="0.3">
      <c r="A50" s="313" t="s">
        <v>122</v>
      </c>
      <c r="B50" s="47"/>
      <c r="C50" s="46" t="e">
        <f>+B50*100%/B51</f>
        <v>#DIV/0!</v>
      </c>
      <c r="D50" s="47" t="e">
        <f>+B50/E17</f>
        <v>#DIV/0!</v>
      </c>
      <c r="E50" s="338" t="s">
        <v>114</v>
      </c>
      <c r="F50" s="339"/>
      <c r="G50" s="370">
        <f>+B50</f>
        <v>0</v>
      </c>
    </row>
    <row r="51" spans="1:7" ht="15.75" thickBot="1" x14ac:dyDescent="0.3">
      <c r="B51" s="48">
        <f>SUM(B18:B50)</f>
        <v>0</v>
      </c>
      <c r="C51" s="4" t="e">
        <f t="shared" ref="C51:G51" si="2">SUM(C18:C50)</f>
        <v>#DIV/0!</v>
      </c>
      <c r="D51" s="48" t="e">
        <f t="shared" si="2"/>
        <v>#DIV/0!</v>
      </c>
      <c r="E51" s="48">
        <f t="shared" si="2"/>
        <v>0</v>
      </c>
      <c r="F51" s="48">
        <f t="shared" si="2"/>
        <v>0</v>
      </c>
      <c r="G51" s="48">
        <f t="shared" si="2"/>
        <v>0</v>
      </c>
    </row>
    <row r="52" spans="1:7" ht="15.75" thickBot="1" x14ac:dyDescent="0.3">
      <c r="B52" s="309" t="s">
        <v>116</v>
      </c>
      <c r="C52" s="310" t="s">
        <v>117</v>
      </c>
      <c r="D52" s="311" t="e">
        <f>+F51/(277000-G52)</f>
        <v>#DIV/0!</v>
      </c>
      <c r="F52" s="307" t="s">
        <v>115</v>
      </c>
      <c r="G52" s="308" t="e">
        <f>+G51/E17</f>
        <v>#DIV/0!</v>
      </c>
    </row>
  </sheetData>
  <mergeCells count="1">
    <mergeCell ref="B16:J16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-0.249977111117893"/>
  </sheetPr>
  <dimension ref="A13:G21"/>
  <sheetViews>
    <sheetView topLeftCell="A13" workbookViewId="0">
      <selection activeCell="J28" sqref="J28"/>
    </sheetView>
  </sheetViews>
  <sheetFormatPr baseColWidth="10" defaultRowHeight="15" x14ac:dyDescent="0.25"/>
  <cols>
    <col min="2" max="2" width="11.42578125" style="1"/>
  </cols>
  <sheetData>
    <row r="13" spans="1:7" x14ac:dyDescent="0.25">
      <c r="B13" s="435" t="s">
        <v>6</v>
      </c>
      <c r="C13" s="435"/>
      <c r="D13" s="435"/>
      <c r="E13" s="435"/>
      <c r="F13" s="435"/>
      <c r="G13" s="435"/>
    </row>
    <row r="16" spans="1:7" x14ac:dyDescent="0.25">
      <c r="A16" t="s">
        <v>0</v>
      </c>
      <c r="B16" s="1">
        <v>0</v>
      </c>
    </row>
    <row r="17" spans="1:2" x14ac:dyDescent="0.25">
      <c r="A17" t="s">
        <v>1</v>
      </c>
      <c r="B17" s="1">
        <v>0</v>
      </c>
    </row>
    <row r="18" spans="1:2" x14ac:dyDescent="0.25">
      <c r="A18" t="s">
        <v>2</v>
      </c>
      <c r="B18" s="1">
        <v>0</v>
      </c>
    </row>
    <row r="19" spans="1:2" x14ac:dyDescent="0.25">
      <c r="A19" t="s">
        <v>3</v>
      </c>
      <c r="B19" s="1">
        <v>0</v>
      </c>
    </row>
    <row r="20" spans="1:2" x14ac:dyDescent="0.25">
      <c r="A20" t="s">
        <v>4</v>
      </c>
      <c r="B20" s="1">
        <v>0</v>
      </c>
    </row>
    <row r="21" spans="1:2" x14ac:dyDescent="0.25">
      <c r="A21" t="s">
        <v>5</v>
      </c>
      <c r="B21" s="1">
        <v>0</v>
      </c>
    </row>
  </sheetData>
  <mergeCells count="1">
    <mergeCell ref="B13:G1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-0.249977111117893"/>
  </sheetPr>
  <dimension ref="A13:G21"/>
  <sheetViews>
    <sheetView topLeftCell="A10" workbookViewId="0">
      <selection activeCell="C35" sqref="C35"/>
    </sheetView>
  </sheetViews>
  <sheetFormatPr baseColWidth="10" defaultRowHeight="15" x14ac:dyDescent="0.25"/>
  <cols>
    <col min="2" max="2" width="11.42578125" style="1"/>
  </cols>
  <sheetData>
    <row r="13" spans="1:7" x14ac:dyDescent="0.25">
      <c r="B13" s="435" t="s">
        <v>6</v>
      </c>
      <c r="C13" s="435"/>
      <c r="D13" s="435"/>
      <c r="E13" s="435"/>
      <c r="F13" s="435"/>
      <c r="G13" s="435"/>
    </row>
    <row r="16" spans="1:7" x14ac:dyDescent="0.25">
      <c r="A16" t="s">
        <v>0</v>
      </c>
      <c r="B16" s="1">
        <v>0</v>
      </c>
    </row>
    <row r="17" spans="1:2" x14ac:dyDescent="0.25">
      <c r="A17" t="s">
        <v>1</v>
      </c>
      <c r="B17" s="1">
        <v>0</v>
      </c>
    </row>
    <row r="18" spans="1:2" x14ac:dyDescent="0.25">
      <c r="A18" t="s">
        <v>2</v>
      </c>
      <c r="B18" s="1">
        <v>0</v>
      </c>
    </row>
    <row r="19" spans="1:2" x14ac:dyDescent="0.25">
      <c r="A19" t="s">
        <v>3</v>
      </c>
      <c r="B19" s="1">
        <v>0</v>
      </c>
    </row>
    <row r="20" spans="1:2" x14ac:dyDescent="0.25">
      <c r="A20" t="s">
        <v>4</v>
      </c>
      <c r="B20" s="1">
        <v>0</v>
      </c>
    </row>
    <row r="21" spans="1:2" x14ac:dyDescent="0.25">
      <c r="A21" t="s">
        <v>5</v>
      </c>
      <c r="B21" s="1">
        <v>0</v>
      </c>
    </row>
  </sheetData>
  <mergeCells count="1">
    <mergeCell ref="B13:G1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5" tint="-0.249977111117893"/>
  </sheetPr>
  <dimension ref="A13:G21"/>
  <sheetViews>
    <sheetView topLeftCell="A4" workbookViewId="0">
      <selection activeCell="B17" sqref="B17"/>
    </sheetView>
  </sheetViews>
  <sheetFormatPr baseColWidth="10" defaultRowHeight="15" x14ac:dyDescent="0.25"/>
  <cols>
    <col min="2" max="2" width="11.42578125" style="1"/>
  </cols>
  <sheetData>
    <row r="13" spans="1:7" x14ac:dyDescent="0.25">
      <c r="B13" s="435" t="s">
        <v>6</v>
      </c>
      <c r="C13" s="435"/>
      <c r="D13" s="435"/>
      <c r="E13" s="435"/>
      <c r="F13" s="435"/>
      <c r="G13" s="435"/>
    </row>
    <row r="16" spans="1:7" x14ac:dyDescent="0.25">
      <c r="A16" t="s">
        <v>0</v>
      </c>
      <c r="B16" s="1">
        <v>0</v>
      </c>
    </row>
    <row r="17" spans="1:2" x14ac:dyDescent="0.25">
      <c r="A17" t="s">
        <v>1</v>
      </c>
      <c r="B17" s="1">
        <v>0</v>
      </c>
    </row>
    <row r="18" spans="1:2" x14ac:dyDescent="0.25">
      <c r="A18" t="s">
        <v>2</v>
      </c>
      <c r="B18" s="1">
        <v>0</v>
      </c>
    </row>
    <row r="19" spans="1:2" x14ac:dyDescent="0.25">
      <c r="A19" t="s">
        <v>3</v>
      </c>
      <c r="B19" s="1">
        <v>0</v>
      </c>
    </row>
    <row r="20" spans="1:2" x14ac:dyDescent="0.25">
      <c r="A20" t="s">
        <v>4</v>
      </c>
      <c r="B20" s="1">
        <v>0</v>
      </c>
    </row>
    <row r="21" spans="1:2" x14ac:dyDescent="0.25">
      <c r="A21" t="s">
        <v>5</v>
      </c>
      <c r="B21" s="1">
        <v>0</v>
      </c>
    </row>
  </sheetData>
  <mergeCells count="1">
    <mergeCell ref="B13:G1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 tint="-0.249977111117893"/>
  </sheetPr>
  <dimension ref="A13:G21"/>
  <sheetViews>
    <sheetView topLeftCell="A4" workbookViewId="0">
      <selection activeCell="M26" sqref="M26"/>
    </sheetView>
  </sheetViews>
  <sheetFormatPr baseColWidth="10" defaultRowHeight="15" x14ac:dyDescent="0.25"/>
  <cols>
    <col min="2" max="2" width="11.42578125" style="1"/>
  </cols>
  <sheetData>
    <row r="13" spans="1:7" x14ac:dyDescent="0.25">
      <c r="B13" s="435" t="s">
        <v>6</v>
      </c>
      <c r="C13" s="435"/>
      <c r="D13" s="435"/>
      <c r="E13" s="435"/>
      <c r="F13" s="435"/>
      <c r="G13" s="435"/>
    </row>
    <row r="16" spans="1:7" x14ac:dyDescent="0.25">
      <c r="A16" t="s">
        <v>0</v>
      </c>
      <c r="B16" s="1">
        <v>0</v>
      </c>
    </row>
    <row r="17" spans="1:2" x14ac:dyDescent="0.25">
      <c r="A17" t="s">
        <v>1</v>
      </c>
      <c r="B17" s="1">
        <v>0</v>
      </c>
    </row>
    <row r="18" spans="1:2" x14ac:dyDescent="0.25">
      <c r="A18" t="s">
        <v>2</v>
      </c>
      <c r="B18" s="1">
        <v>0</v>
      </c>
    </row>
    <row r="19" spans="1:2" x14ac:dyDescent="0.25">
      <c r="A19" t="s">
        <v>3</v>
      </c>
      <c r="B19" s="1">
        <v>0</v>
      </c>
    </row>
    <row r="20" spans="1:2" x14ac:dyDescent="0.25">
      <c r="A20" t="s">
        <v>4</v>
      </c>
      <c r="B20" s="1">
        <v>0</v>
      </c>
    </row>
    <row r="21" spans="1:2" x14ac:dyDescent="0.25">
      <c r="A21" t="s">
        <v>5</v>
      </c>
      <c r="B21" s="1">
        <v>0</v>
      </c>
    </row>
  </sheetData>
  <mergeCells count="1">
    <mergeCell ref="B13:G1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970C-8F1A-484D-BEB2-63B5E381B769}">
  <sheetPr>
    <tabColor theme="5" tint="-0.249977111117893"/>
  </sheetPr>
  <dimension ref="A12:J52"/>
  <sheetViews>
    <sheetView topLeftCell="A19" workbookViewId="0">
      <selection activeCell="B18" sqref="B18:B50"/>
    </sheetView>
  </sheetViews>
  <sheetFormatPr baseColWidth="10" defaultRowHeight="15" x14ac:dyDescent="0.25"/>
  <cols>
    <col min="1" max="1" width="22" customWidth="1"/>
    <col min="2" max="2" width="17.140625" style="1" customWidth="1"/>
    <col min="3" max="3" width="11.7109375" customWidth="1"/>
    <col min="4" max="4" width="12.85546875" style="19" customWidth="1"/>
    <col min="5" max="5" width="12.85546875" customWidth="1"/>
    <col min="6" max="7" width="13.28515625" customWidth="1"/>
  </cols>
  <sheetData>
    <row r="12" spans="1:10" ht="15.75" thickBot="1" x14ac:dyDescent="0.3"/>
    <row r="13" spans="1:10" ht="15" customHeight="1" x14ac:dyDescent="0.25">
      <c r="A13" s="20" t="s">
        <v>42</v>
      </c>
      <c r="B13" s="22">
        <f>+'PRODUC ACUMULADA'!B15</f>
        <v>0</v>
      </c>
      <c r="C13" s="362" t="s">
        <v>48</v>
      </c>
      <c r="D13" s="359" t="s">
        <v>119</v>
      </c>
      <c r="E13" s="359" t="s">
        <v>120</v>
      </c>
      <c r="F13" s="367"/>
    </row>
    <row r="14" spans="1:10" ht="15.75" thickBot="1" x14ac:dyDescent="0.3">
      <c r="C14" s="360">
        <f>+B13</f>
        <v>0</v>
      </c>
      <c r="D14" s="361">
        <v>270000</v>
      </c>
      <c r="E14" s="368">
        <f>+C14*D14</f>
        <v>0</v>
      </c>
      <c r="F14" s="369"/>
    </row>
    <row r="16" spans="1:10" ht="21.75" thickBot="1" x14ac:dyDescent="0.4">
      <c r="B16" s="436">
        <v>2025</v>
      </c>
      <c r="C16" s="436"/>
      <c r="D16" s="436"/>
      <c r="E16" s="436"/>
      <c r="F16" s="436"/>
      <c r="G16" s="436"/>
      <c r="H16" s="436"/>
      <c r="I16" s="436"/>
      <c r="J16" s="436"/>
    </row>
    <row r="17" spans="1:7" ht="30.75" thickBot="1" x14ac:dyDescent="0.3">
      <c r="A17" s="5" t="s">
        <v>30</v>
      </c>
      <c r="B17" s="5" t="s">
        <v>31</v>
      </c>
      <c r="C17" s="5" t="s">
        <v>32</v>
      </c>
      <c r="D17" s="44" t="s">
        <v>33</v>
      </c>
      <c r="E17" s="321">
        <f>+C14</f>
        <v>0</v>
      </c>
      <c r="F17" s="322" t="s">
        <v>113</v>
      </c>
      <c r="G17" s="323" t="s">
        <v>114</v>
      </c>
    </row>
    <row r="18" spans="1:7" x14ac:dyDescent="0.25">
      <c r="A18" s="312" t="s">
        <v>41</v>
      </c>
      <c r="B18" s="49"/>
      <c r="C18" s="50" t="e">
        <f>+B18*100%/B51</f>
        <v>#DIV/0!</v>
      </c>
      <c r="D18" s="47" t="e">
        <f>+B18/E17</f>
        <v>#DIV/0!</v>
      </c>
      <c r="E18" s="328" t="s">
        <v>113</v>
      </c>
      <c r="F18" s="329">
        <f>+B18</f>
        <v>0</v>
      </c>
      <c r="G18" s="330"/>
    </row>
    <row r="19" spans="1:7" x14ac:dyDescent="0.25">
      <c r="A19" s="312" t="s">
        <v>13</v>
      </c>
      <c r="B19" s="45"/>
      <c r="C19" s="23" t="e">
        <f>+B19*100%/B51</f>
        <v>#DIV/0!</v>
      </c>
      <c r="D19" s="47" t="e">
        <f>+B19/E17</f>
        <v>#DIV/0!</v>
      </c>
      <c r="E19" s="300" t="s">
        <v>114</v>
      </c>
      <c r="F19" s="2"/>
      <c r="G19" s="301">
        <f t="shared" ref="G19:G25" si="0">+B19</f>
        <v>0</v>
      </c>
    </row>
    <row r="20" spans="1:7" x14ac:dyDescent="0.25">
      <c r="A20" s="313" t="s">
        <v>14</v>
      </c>
      <c r="B20" s="47"/>
      <c r="C20" s="46" t="e">
        <f>+B20*100%/B51</f>
        <v>#DIV/0!</v>
      </c>
      <c r="D20" s="47" t="e">
        <f>+B20/E17</f>
        <v>#DIV/0!</v>
      </c>
      <c r="E20" s="302" t="s">
        <v>114</v>
      </c>
      <c r="F20" s="2"/>
      <c r="G20" s="301">
        <f t="shared" si="0"/>
        <v>0</v>
      </c>
    </row>
    <row r="21" spans="1:7" x14ac:dyDescent="0.25">
      <c r="A21" s="313" t="s">
        <v>34</v>
      </c>
      <c r="B21" s="47"/>
      <c r="C21" s="46" t="e">
        <f>+B21*100%/B51</f>
        <v>#DIV/0!</v>
      </c>
      <c r="D21" s="47" t="e">
        <f>+B21/E17</f>
        <v>#DIV/0!</v>
      </c>
      <c r="E21" s="302" t="s">
        <v>114</v>
      </c>
      <c r="F21" s="2"/>
      <c r="G21" s="301">
        <f t="shared" si="0"/>
        <v>0</v>
      </c>
    </row>
    <row r="22" spans="1:7" x14ac:dyDescent="0.25">
      <c r="A22" s="313" t="s">
        <v>15</v>
      </c>
      <c r="B22" s="47"/>
      <c r="C22" s="46" t="e">
        <f>+B22*100%/B51</f>
        <v>#DIV/0!</v>
      </c>
      <c r="D22" s="47" t="e">
        <f>+B22/E17</f>
        <v>#DIV/0!</v>
      </c>
      <c r="E22" s="302" t="s">
        <v>114</v>
      </c>
      <c r="F22" s="2"/>
      <c r="G22" s="301">
        <f t="shared" si="0"/>
        <v>0</v>
      </c>
    </row>
    <row r="23" spans="1:7" x14ac:dyDescent="0.25">
      <c r="A23" s="313" t="s">
        <v>16</v>
      </c>
      <c r="B23" s="47"/>
      <c r="C23" s="46" t="e">
        <f>+B23*100%/B51</f>
        <v>#DIV/0!</v>
      </c>
      <c r="D23" s="47" t="e">
        <f>+B23/E17</f>
        <v>#DIV/0!</v>
      </c>
      <c r="E23" s="302" t="s">
        <v>114</v>
      </c>
      <c r="F23" s="2"/>
      <c r="G23" s="301">
        <f t="shared" si="0"/>
        <v>0</v>
      </c>
    </row>
    <row r="24" spans="1:7" x14ac:dyDescent="0.25">
      <c r="A24" s="313" t="s">
        <v>17</v>
      </c>
      <c r="B24" s="47"/>
      <c r="C24" s="46" t="e">
        <f>+B24*100%/B51</f>
        <v>#DIV/0!</v>
      </c>
      <c r="D24" s="47" t="e">
        <f>+B24/E17</f>
        <v>#DIV/0!</v>
      </c>
      <c r="E24" s="302" t="s">
        <v>114</v>
      </c>
      <c r="F24" s="2"/>
      <c r="G24" s="301">
        <f t="shared" si="0"/>
        <v>0</v>
      </c>
    </row>
    <row r="25" spans="1:7" x14ac:dyDescent="0.25">
      <c r="A25" s="313" t="s">
        <v>18</v>
      </c>
      <c r="B25" s="47"/>
      <c r="C25" s="46" t="e">
        <f>+B25*100%/B51</f>
        <v>#DIV/0!</v>
      </c>
      <c r="D25" s="47" t="e">
        <f>+B25/E17</f>
        <v>#DIV/0!</v>
      </c>
      <c r="E25" s="302" t="s">
        <v>114</v>
      </c>
      <c r="F25" s="2"/>
      <c r="G25" s="301">
        <f t="shared" si="0"/>
        <v>0</v>
      </c>
    </row>
    <row r="26" spans="1:7" x14ac:dyDescent="0.25">
      <c r="A26" s="313" t="s">
        <v>28</v>
      </c>
      <c r="B26" s="47"/>
      <c r="C26" s="46" t="e">
        <f>+B26*100%/B51</f>
        <v>#DIV/0!</v>
      </c>
      <c r="D26" s="47" t="e">
        <f>+B26/E17</f>
        <v>#DIV/0!</v>
      </c>
      <c r="E26" s="333" t="s">
        <v>113</v>
      </c>
      <c r="F26" s="334">
        <f>+B26</f>
        <v>0</v>
      </c>
      <c r="G26" s="335"/>
    </row>
    <row r="27" spans="1:7" x14ac:dyDescent="0.25">
      <c r="A27" s="313" t="s">
        <v>19</v>
      </c>
      <c r="B27" s="47"/>
      <c r="C27" s="46" t="e">
        <f>+B27*100%/B51</f>
        <v>#DIV/0!</v>
      </c>
      <c r="D27" s="47" t="e">
        <f>+B27/E17</f>
        <v>#DIV/0!</v>
      </c>
      <c r="E27" s="302" t="s">
        <v>114</v>
      </c>
      <c r="F27" s="2"/>
      <c r="G27" s="301">
        <f>+B27</f>
        <v>0</v>
      </c>
    </row>
    <row r="28" spans="1:7" x14ac:dyDescent="0.25">
      <c r="A28" s="365" t="s">
        <v>111</v>
      </c>
      <c r="B28" s="47"/>
      <c r="C28" s="46" t="e">
        <f>+B28*100%/B51</f>
        <v>#DIV/0!</v>
      </c>
      <c r="D28" s="47" t="e">
        <f>+B28/E17</f>
        <v>#DIV/0!</v>
      </c>
      <c r="E28" s="302" t="s">
        <v>114</v>
      </c>
      <c r="F28" s="2"/>
      <c r="G28" s="301">
        <f>+B28</f>
        <v>0</v>
      </c>
    </row>
    <row r="29" spans="1:7" x14ac:dyDescent="0.25">
      <c r="A29" s="313" t="s">
        <v>20</v>
      </c>
      <c r="B29" s="47"/>
      <c r="C29" s="46" t="e">
        <f>+B29*100%/B51</f>
        <v>#DIV/0!</v>
      </c>
      <c r="D29" s="47" t="e">
        <f>+B29/E17</f>
        <v>#DIV/0!</v>
      </c>
      <c r="E29" s="333" t="s">
        <v>113</v>
      </c>
      <c r="F29" s="334">
        <f>+B29</f>
        <v>0</v>
      </c>
      <c r="G29" s="335"/>
    </row>
    <row r="30" spans="1:7" x14ac:dyDescent="0.25">
      <c r="A30" s="313" t="s">
        <v>21</v>
      </c>
      <c r="B30" s="47"/>
      <c r="C30" s="46" t="e">
        <f>+B30*100%/B51</f>
        <v>#DIV/0!</v>
      </c>
      <c r="D30" s="47" t="e">
        <f>+B30/E17</f>
        <v>#DIV/0!</v>
      </c>
      <c r="E30" s="302" t="s">
        <v>114</v>
      </c>
      <c r="F30" s="2"/>
      <c r="G30" s="301">
        <f t="shared" ref="G30:G34" si="1">+B30</f>
        <v>0</v>
      </c>
    </row>
    <row r="31" spans="1:7" x14ac:dyDescent="0.25">
      <c r="A31" s="313" t="s">
        <v>22</v>
      </c>
      <c r="B31" s="47"/>
      <c r="C31" s="46" t="e">
        <f>+B31*100%/B51</f>
        <v>#DIV/0!</v>
      </c>
      <c r="D31" s="47" t="e">
        <f>+B31/E17</f>
        <v>#DIV/0!</v>
      </c>
      <c r="E31" s="302" t="s">
        <v>114</v>
      </c>
      <c r="F31" s="2"/>
      <c r="G31" s="301">
        <f t="shared" si="1"/>
        <v>0</v>
      </c>
    </row>
    <row r="32" spans="1:7" x14ac:dyDescent="0.25">
      <c r="A32" s="313" t="s">
        <v>112</v>
      </c>
      <c r="B32" s="47"/>
      <c r="C32" s="46" t="e">
        <f>+B32*100%/B51</f>
        <v>#DIV/0!</v>
      </c>
      <c r="D32" s="47" t="e">
        <f>+B32/E17</f>
        <v>#DIV/0!</v>
      </c>
      <c r="E32" s="333" t="s">
        <v>113</v>
      </c>
      <c r="F32" s="334">
        <f>+B32</f>
        <v>0</v>
      </c>
      <c r="G32" s="336">
        <v>0</v>
      </c>
    </row>
    <row r="33" spans="1:7" x14ac:dyDescent="0.25">
      <c r="A33" s="313" t="s">
        <v>23</v>
      </c>
      <c r="B33" s="47"/>
      <c r="C33" s="46" t="e">
        <f>+B33*100%/B51</f>
        <v>#DIV/0!</v>
      </c>
      <c r="D33" s="47" t="e">
        <f>+B33/E17</f>
        <v>#DIV/0!</v>
      </c>
      <c r="E33" s="302" t="s">
        <v>114</v>
      </c>
      <c r="F33" s="2"/>
      <c r="G33" s="301">
        <f t="shared" si="1"/>
        <v>0</v>
      </c>
    </row>
    <row r="34" spans="1:7" x14ac:dyDescent="0.25">
      <c r="A34" s="313" t="s">
        <v>24</v>
      </c>
      <c r="B34" s="47"/>
      <c r="C34" s="46" t="e">
        <f>+B34*100%/B51</f>
        <v>#DIV/0!</v>
      </c>
      <c r="D34" s="47" t="e">
        <f>+B34/E17</f>
        <v>#DIV/0!</v>
      </c>
      <c r="E34" s="304" t="s">
        <v>114</v>
      </c>
      <c r="F34" s="2"/>
      <c r="G34" s="305">
        <f t="shared" si="1"/>
        <v>0</v>
      </c>
    </row>
    <row r="35" spans="1:7" x14ac:dyDescent="0.25">
      <c r="A35" s="313" t="s">
        <v>25</v>
      </c>
      <c r="B35" s="47"/>
      <c r="C35" s="46" t="e">
        <f>+B35*100%/B51</f>
        <v>#DIV/0!</v>
      </c>
      <c r="D35" s="47" t="e">
        <f>+B35/E17</f>
        <v>#DIV/0!</v>
      </c>
      <c r="E35" s="333" t="s">
        <v>113</v>
      </c>
      <c r="F35" s="334">
        <f>+B35</f>
        <v>0</v>
      </c>
      <c r="G35" s="336">
        <v>0</v>
      </c>
    </row>
    <row r="36" spans="1:7" x14ac:dyDescent="0.25">
      <c r="A36" s="313" t="s">
        <v>36</v>
      </c>
      <c r="B36" s="47"/>
      <c r="C36" s="46" t="e">
        <f>+B36*100%/B51</f>
        <v>#DIV/0!</v>
      </c>
      <c r="D36" s="47" t="e">
        <f>+B36/E17</f>
        <v>#DIV/0!</v>
      </c>
      <c r="E36" s="333" t="s">
        <v>113</v>
      </c>
      <c r="F36" s="334">
        <f>+B36</f>
        <v>0</v>
      </c>
      <c r="G36" s="335"/>
    </row>
    <row r="37" spans="1:7" x14ac:dyDescent="0.25">
      <c r="A37" s="313" t="s">
        <v>26</v>
      </c>
      <c r="B37" s="47"/>
      <c r="C37" s="46" t="e">
        <f>+B37*100%/B51</f>
        <v>#DIV/0!</v>
      </c>
      <c r="D37" s="47" t="e">
        <f>+B37/E17</f>
        <v>#DIV/0!</v>
      </c>
      <c r="E37" s="333" t="s">
        <v>113</v>
      </c>
      <c r="F37" s="334">
        <f>+B37</f>
        <v>0</v>
      </c>
      <c r="G37" s="335"/>
    </row>
    <row r="38" spans="1:7" x14ac:dyDescent="0.25">
      <c r="A38" s="313" t="s">
        <v>27</v>
      </c>
      <c r="B38" s="47"/>
      <c r="C38" s="46" t="e">
        <f>+B38*100%/B51</f>
        <v>#DIV/0!</v>
      </c>
      <c r="D38" s="47" t="e">
        <f>+B38/E17</f>
        <v>#DIV/0!</v>
      </c>
      <c r="E38" s="333" t="s">
        <v>113</v>
      </c>
      <c r="F38" s="334">
        <f>+B38</f>
        <v>0</v>
      </c>
      <c r="G38" s="335"/>
    </row>
    <row r="39" spans="1:7" x14ac:dyDescent="0.25">
      <c r="A39" s="313" t="s">
        <v>118</v>
      </c>
      <c r="B39" s="47"/>
      <c r="C39" s="46" t="e">
        <f>+B39*100%/B51</f>
        <v>#DIV/0!</v>
      </c>
      <c r="D39" s="47" t="e">
        <f>+B39/E17</f>
        <v>#DIV/0!</v>
      </c>
      <c r="E39" s="333" t="s">
        <v>113</v>
      </c>
      <c r="F39" s="334">
        <f>+B39</f>
        <v>0</v>
      </c>
      <c r="G39" s="336">
        <v>0</v>
      </c>
    </row>
    <row r="40" spans="1:7" x14ac:dyDescent="0.25">
      <c r="A40" s="313" t="s">
        <v>37</v>
      </c>
      <c r="B40" s="47"/>
      <c r="C40" s="46" t="e">
        <f>+B40*100%/B51</f>
        <v>#DIV/0!</v>
      </c>
      <c r="D40" s="47" t="e">
        <f>+B40/E17</f>
        <v>#DIV/0!</v>
      </c>
      <c r="E40" s="302" t="s">
        <v>114</v>
      </c>
      <c r="F40" s="303"/>
      <c r="G40" s="301">
        <f>+B40</f>
        <v>0</v>
      </c>
    </row>
    <row r="41" spans="1:7" x14ac:dyDescent="0.25">
      <c r="A41" s="313" t="s">
        <v>38</v>
      </c>
      <c r="B41" s="47"/>
      <c r="C41" s="46" t="e">
        <f>+B41*100%/B51</f>
        <v>#DIV/0!</v>
      </c>
      <c r="D41" s="47" t="e">
        <f>+B41/E17</f>
        <v>#DIV/0!</v>
      </c>
      <c r="E41" s="302" t="s">
        <v>114</v>
      </c>
      <c r="F41" s="2"/>
      <c r="G41" s="301">
        <f>+B41</f>
        <v>0</v>
      </c>
    </row>
    <row r="42" spans="1:7" x14ac:dyDescent="0.25">
      <c r="A42" s="313" t="s">
        <v>39</v>
      </c>
      <c r="B42" s="47"/>
      <c r="C42" s="46" t="e">
        <f>+B42*100%/B51</f>
        <v>#DIV/0!</v>
      </c>
      <c r="D42" s="47" t="e">
        <f>+B42/E17</f>
        <v>#DIV/0!</v>
      </c>
      <c r="E42" s="333" t="s">
        <v>113</v>
      </c>
      <c r="F42" s="334">
        <f>+B42</f>
        <v>0</v>
      </c>
      <c r="G42" s="335"/>
    </row>
    <row r="43" spans="1:7" x14ac:dyDescent="0.25">
      <c r="A43" s="313" t="s">
        <v>35</v>
      </c>
      <c r="B43" s="47"/>
      <c r="C43" s="46" t="e">
        <f>+B43*100%/B51</f>
        <v>#DIV/0!</v>
      </c>
      <c r="D43" s="47" t="e">
        <f>+B43/E17</f>
        <v>#DIV/0!</v>
      </c>
      <c r="E43" s="337" t="s">
        <v>113</v>
      </c>
      <c r="F43" s="334">
        <f>+B43</f>
        <v>0</v>
      </c>
      <c r="G43" s="335"/>
    </row>
    <row r="44" spans="1:7" x14ac:dyDescent="0.25">
      <c r="A44" s="313" t="s">
        <v>58</v>
      </c>
      <c r="B44" s="47"/>
      <c r="C44" s="46" t="e">
        <f>+B44*100%/B51</f>
        <v>#DIV/0!</v>
      </c>
      <c r="D44" s="47" t="e">
        <f>+B44/E17</f>
        <v>#DIV/0!</v>
      </c>
      <c r="E44" s="337" t="s">
        <v>113</v>
      </c>
      <c r="F44" s="334">
        <f>+B44</f>
        <v>0</v>
      </c>
      <c r="G44" s="335"/>
    </row>
    <row r="45" spans="1:7" x14ac:dyDescent="0.25">
      <c r="A45" s="313" t="s">
        <v>59</v>
      </c>
      <c r="B45" s="47"/>
      <c r="C45" s="46" t="e">
        <f>+B45*100%/B51</f>
        <v>#DIV/0!</v>
      </c>
      <c r="D45" s="47" t="e">
        <f>+B45/E17</f>
        <v>#DIV/0!</v>
      </c>
      <c r="E45" s="337" t="s">
        <v>113</v>
      </c>
      <c r="F45" s="334">
        <f>+B45</f>
        <v>0</v>
      </c>
      <c r="G45" s="335"/>
    </row>
    <row r="46" spans="1:7" x14ac:dyDescent="0.25">
      <c r="A46" s="313" t="s">
        <v>40</v>
      </c>
      <c r="B46" s="47"/>
      <c r="C46" s="46" t="e">
        <f>+B46*100%/B51</f>
        <v>#DIV/0!</v>
      </c>
      <c r="D46" s="47" t="e">
        <f>+B46/E17</f>
        <v>#DIV/0!</v>
      </c>
      <c r="E46" s="304" t="s">
        <v>114</v>
      </c>
      <c r="F46" s="2"/>
      <c r="G46" s="301">
        <f>+B46</f>
        <v>0</v>
      </c>
    </row>
    <row r="47" spans="1:7" x14ac:dyDescent="0.25">
      <c r="A47" s="313" t="s">
        <v>55</v>
      </c>
      <c r="B47" s="47"/>
      <c r="C47" s="46" t="e">
        <f>+B47*100%/B51</f>
        <v>#DIV/0!</v>
      </c>
      <c r="D47" s="47" t="e">
        <f>+B47/E17</f>
        <v>#DIV/0!</v>
      </c>
      <c r="E47" s="337" t="s">
        <v>113</v>
      </c>
      <c r="F47" s="334">
        <f>+B47</f>
        <v>0</v>
      </c>
      <c r="G47" s="335"/>
    </row>
    <row r="48" spans="1:7" x14ac:dyDescent="0.25">
      <c r="A48" s="313" t="s">
        <v>56</v>
      </c>
      <c r="B48" s="47"/>
      <c r="C48" s="46" t="e">
        <f>+B48*100%/B51</f>
        <v>#DIV/0!</v>
      </c>
      <c r="D48" s="47" t="e">
        <f>+B48/E17</f>
        <v>#DIV/0!</v>
      </c>
      <c r="E48" s="304" t="s">
        <v>114</v>
      </c>
      <c r="F48" s="2"/>
      <c r="G48" s="301">
        <f>+B48</f>
        <v>0</v>
      </c>
    </row>
    <row r="49" spans="1:7" ht="15.75" thickBot="1" x14ac:dyDescent="0.3">
      <c r="A49" s="313" t="s">
        <v>57</v>
      </c>
      <c r="B49" s="47"/>
      <c r="C49" s="46" t="e">
        <f>+B49*100%/B51</f>
        <v>#DIV/0!</v>
      </c>
      <c r="D49" s="47" t="e">
        <f>+B49/E17</f>
        <v>#DIV/0!</v>
      </c>
      <c r="E49" s="338" t="s">
        <v>113</v>
      </c>
      <c r="F49" s="339">
        <f>+B49</f>
        <v>0</v>
      </c>
      <c r="G49" s="340"/>
    </row>
    <row r="50" spans="1:7" ht="15.75" thickBot="1" x14ac:dyDescent="0.3">
      <c r="A50" s="313" t="s">
        <v>122</v>
      </c>
      <c r="B50" s="47"/>
      <c r="C50" s="46" t="e">
        <f>+B50*100%/B51</f>
        <v>#DIV/0!</v>
      </c>
      <c r="D50" s="47" t="e">
        <f>+B50/E17</f>
        <v>#DIV/0!</v>
      </c>
      <c r="E50" s="338" t="s">
        <v>114</v>
      </c>
      <c r="F50" s="339"/>
      <c r="G50" s="370">
        <f>+B50</f>
        <v>0</v>
      </c>
    </row>
    <row r="51" spans="1:7" ht="15.75" thickBot="1" x14ac:dyDescent="0.3">
      <c r="B51" s="48">
        <f>SUM(B18:B50)</f>
        <v>0</v>
      </c>
      <c r="C51" s="4" t="e">
        <f t="shared" ref="C51:G51" si="2">SUM(C18:C50)</f>
        <v>#DIV/0!</v>
      </c>
      <c r="D51" s="48" t="e">
        <f>SUM(D18:D50)</f>
        <v>#DIV/0!</v>
      </c>
      <c r="E51" s="48">
        <f t="shared" si="2"/>
        <v>0</v>
      </c>
      <c r="F51" s="48">
        <f t="shared" si="2"/>
        <v>0</v>
      </c>
      <c r="G51" s="48">
        <f t="shared" si="2"/>
        <v>0</v>
      </c>
    </row>
    <row r="52" spans="1:7" ht="15.75" thickBot="1" x14ac:dyDescent="0.3">
      <c r="B52" s="309" t="s">
        <v>116</v>
      </c>
      <c r="C52" s="310" t="s">
        <v>117</v>
      </c>
      <c r="D52" s="311" t="e">
        <f>+F51/(277000-G52)</f>
        <v>#DIV/0!</v>
      </c>
      <c r="F52" s="307" t="s">
        <v>115</v>
      </c>
      <c r="G52" s="308" t="e">
        <f>+G51/E17</f>
        <v>#DIV/0!</v>
      </c>
    </row>
  </sheetData>
  <mergeCells count="1">
    <mergeCell ref="B16:J16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A9C02-4B70-4860-AA8D-6F2702D186E0}">
  <sheetPr>
    <tabColor theme="5" tint="-0.249977111117893"/>
  </sheetPr>
  <dimension ref="A12:J52"/>
  <sheetViews>
    <sheetView topLeftCell="A25" workbookViewId="0">
      <selection activeCell="B13" sqref="B13"/>
    </sheetView>
  </sheetViews>
  <sheetFormatPr baseColWidth="10" defaultRowHeight="15" x14ac:dyDescent="0.25"/>
  <cols>
    <col min="1" max="1" width="22" customWidth="1"/>
    <col min="2" max="2" width="17.140625" style="1" customWidth="1"/>
    <col min="3" max="3" width="11.7109375" customWidth="1"/>
    <col min="4" max="4" width="12.85546875" style="19" customWidth="1"/>
    <col min="5" max="5" width="12.85546875" customWidth="1"/>
    <col min="6" max="7" width="13.28515625" customWidth="1"/>
    <col min="8" max="8" width="12.7109375" customWidth="1"/>
  </cols>
  <sheetData>
    <row r="12" spans="1:10" ht="15.75" thickBot="1" x14ac:dyDescent="0.3"/>
    <row r="13" spans="1:10" ht="15" customHeight="1" x14ac:dyDescent="0.25">
      <c r="A13" s="20" t="s">
        <v>42</v>
      </c>
      <c r="B13" s="22"/>
      <c r="C13" s="362" t="s">
        <v>48</v>
      </c>
      <c r="D13" s="359" t="s">
        <v>119</v>
      </c>
      <c r="E13" s="359" t="s">
        <v>120</v>
      </c>
      <c r="F13" s="367"/>
    </row>
    <row r="14" spans="1:10" ht="15.75" thickBot="1" x14ac:dyDescent="0.3">
      <c r="C14" s="360"/>
      <c r="D14" s="361">
        <v>280000</v>
      </c>
      <c r="E14" s="368">
        <f>+C14*D14</f>
        <v>0</v>
      </c>
      <c r="F14" s="369"/>
    </row>
    <row r="16" spans="1:10" ht="21.75" thickBot="1" x14ac:dyDescent="0.4">
      <c r="B16" s="436">
        <v>2025</v>
      </c>
      <c r="C16" s="436"/>
      <c r="D16" s="436"/>
      <c r="E16" s="436"/>
      <c r="F16" s="436"/>
      <c r="G16" s="436"/>
      <c r="H16" s="436"/>
      <c r="I16" s="436"/>
      <c r="J16" s="436"/>
    </row>
    <row r="17" spans="1:7" ht="30.75" thickBot="1" x14ac:dyDescent="0.3">
      <c r="A17" s="5" t="s">
        <v>30</v>
      </c>
      <c r="B17" s="5" t="s">
        <v>31</v>
      </c>
      <c r="C17" s="5" t="s">
        <v>32</v>
      </c>
      <c r="D17" s="44" t="s">
        <v>33</v>
      </c>
      <c r="E17" s="321">
        <f>+C14</f>
        <v>0</v>
      </c>
      <c r="F17" s="322" t="s">
        <v>113</v>
      </c>
      <c r="G17" s="323" t="s">
        <v>114</v>
      </c>
    </row>
    <row r="18" spans="1:7" x14ac:dyDescent="0.25">
      <c r="A18" s="312" t="s">
        <v>41</v>
      </c>
      <c r="B18" s="49"/>
      <c r="C18" s="50" t="e">
        <f>+B18*100%/B51</f>
        <v>#DIV/0!</v>
      </c>
      <c r="D18" s="47" t="e">
        <f>+B18/E17</f>
        <v>#DIV/0!</v>
      </c>
      <c r="E18" s="328" t="s">
        <v>113</v>
      </c>
      <c r="F18" s="329">
        <f>+B18</f>
        <v>0</v>
      </c>
      <c r="G18" s="330"/>
    </row>
    <row r="19" spans="1:7" x14ac:dyDescent="0.25">
      <c r="A19" s="312" t="s">
        <v>13</v>
      </c>
      <c r="B19" s="45"/>
      <c r="C19" s="23" t="e">
        <f>+B19*100%/B51</f>
        <v>#DIV/0!</v>
      </c>
      <c r="D19" s="47" t="e">
        <f>+B19/E17</f>
        <v>#DIV/0!</v>
      </c>
      <c r="E19" s="300" t="s">
        <v>114</v>
      </c>
      <c r="F19" s="2"/>
      <c r="G19" s="301">
        <f t="shared" ref="G19:G25" si="0">+B19</f>
        <v>0</v>
      </c>
    </row>
    <row r="20" spans="1:7" x14ac:dyDescent="0.25">
      <c r="A20" s="313" t="s">
        <v>14</v>
      </c>
      <c r="B20" s="47"/>
      <c r="C20" s="46" t="e">
        <f>+B20*100%/B51</f>
        <v>#DIV/0!</v>
      </c>
      <c r="D20" s="47" t="e">
        <f>+B20/E17</f>
        <v>#DIV/0!</v>
      </c>
      <c r="E20" s="302" t="s">
        <v>114</v>
      </c>
      <c r="F20" s="2"/>
      <c r="G20" s="301">
        <f t="shared" si="0"/>
        <v>0</v>
      </c>
    </row>
    <row r="21" spans="1:7" x14ac:dyDescent="0.25">
      <c r="A21" s="313" t="s">
        <v>34</v>
      </c>
      <c r="B21" s="47"/>
      <c r="C21" s="46" t="e">
        <f>+B21*100%/B51</f>
        <v>#DIV/0!</v>
      </c>
      <c r="D21" s="47" t="e">
        <f>+B21/E17</f>
        <v>#DIV/0!</v>
      </c>
      <c r="E21" s="302" t="s">
        <v>114</v>
      </c>
      <c r="F21" s="2"/>
      <c r="G21" s="301">
        <f t="shared" si="0"/>
        <v>0</v>
      </c>
    </row>
    <row r="22" spans="1:7" x14ac:dyDescent="0.25">
      <c r="A22" s="313" t="s">
        <v>15</v>
      </c>
      <c r="B22" s="47"/>
      <c r="C22" s="46" t="e">
        <f>+B22*100%/B51</f>
        <v>#DIV/0!</v>
      </c>
      <c r="D22" s="47" t="e">
        <f>+B22/E17</f>
        <v>#DIV/0!</v>
      </c>
      <c r="E22" s="302" t="s">
        <v>114</v>
      </c>
      <c r="F22" s="2"/>
      <c r="G22" s="301">
        <f t="shared" si="0"/>
        <v>0</v>
      </c>
    </row>
    <row r="23" spans="1:7" x14ac:dyDescent="0.25">
      <c r="A23" s="313" t="s">
        <v>16</v>
      </c>
      <c r="B23" s="47"/>
      <c r="C23" s="46" t="e">
        <f>+B23*100%/B51</f>
        <v>#DIV/0!</v>
      </c>
      <c r="D23" s="47" t="e">
        <f>+B23/E17</f>
        <v>#DIV/0!</v>
      </c>
      <c r="E23" s="302" t="s">
        <v>114</v>
      </c>
      <c r="F23" s="2"/>
      <c r="G23" s="301">
        <f t="shared" si="0"/>
        <v>0</v>
      </c>
    </row>
    <row r="24" spans="1:7" x14ac:dyDescent="0.25">
      <c r="A24" s="313" t="s">
        <v>17</v>
      </c>
      <c r="B24" s="47"/>
      <c r="C24" s="46" t="e">
        <f>+B24*100%/B51</f>
        <v>#DIV/0!</v>
      </c>
      <c r="D24" s="47" t="e">
        <f>+B24/E17</f>
        <v>#DIV/0!</v>
      </c>
      <c r="E24" s="302" t="s">
        <v>114</v>
      </c>
      <c r="F24" s="2"/>
      <c r="G24" s="301">
        <f t="shared" si="0"/>
        <v>0</v>
      </c>
    </row>
    <row r="25" spans="1:7" x14ac:dyDescent="0.25">
      <c r="A25" s="313" t="s">
        <v>18</v>
      </c>
      <c r="B25" s="47"/>
      <c r="C25" s="46" t="e">
        <f>+B25*100%/B51</f>
        <v>#DIV/0!</v>
      </c>
      <c r="D25" s="47" t="e">
        <f>+B25/E17</f>
        <v>#DIV/0!</v>
      </c>
      <c r="E25" s="302" t="s">
        <v>114</v>
      </c>
      <c r="F25" s="2"/>
      <c r="G25" s="301">
        <f t="shared" si="0"/>
        <v>0</v>
      </c>
    </row>
    <row r="26" spans="1:7" x14ac:dyDescent="0.25">
      <c r="A26" s="313" t="s">
        <v>28</v>
      </c>
      <c r="B26" s="47"/>
      <c r="C26" s="46" t="e">
        <f>+B26*100%/B51</f>
        <v>#DIV/0!</v>
      </c>
      <c r="D26" s="47" t="e">
        <f>+B26/E17</f>
        <v>#DIV/0!</v>
      </c>
      <c r="E26" s="333" t="s">
        <v>113</v>
      </c>
      <c r="F26" s="334">
        <f>+B26</f>
        <v>0</v>
      </c>
      <c r="G26" s="335"/>
    </row>
    <row r="27" spans="1:7" x14ac:dyDescent="0.25">
      <c r="A27" s="313" t="s">
        <v>19</v>
      </c>
      <c r="B27" s="47"/>
      <c r="C27" s="46" t="e">
        <f>+B27*100%/B51</f>
        <v>#DIV/0!</v>
      </c>
      <c r="D27" s="47" t="e">
        <f>+B27/E17</f>
        <v>#DIV/0!</v>
      </c>
      <c r="E27" s="302" t="s">
        <v>114</v>
      </c>
      <c r="F27" s="2"/>
      <c r="G27" s="301">
        <f>+B27</f>
        <v>0</v>
      </c>
    </row>
    <row r="28" spans="1:7" x14ac:dyDescent="0.25">
      <c r="A28" s="365" t="s">
        <v>111</v>
      </c>
      <c r="B28" s="47"/>
      <c r="C28" s="46" t="e">
        <f>+B28*100%/B51</f>
        <v>#DIV/0!</v>
      </c>
      <c r="D28" s="47" t="e">
        <f>+B28/E17</f>
        <v>#DIV/0!</v>
      </c>
      <c r="E28" s="302" t="s">
        <v>114</v>
      </c>
      <c r="F28" s="2"/>
      <c r="G28" s="301">
        <f>+B28</f>
        <v>0</v>
      </c>
    </row>
    <row r="29" spans="1:7" x14ac:dyDescent="0.25">
      <c r="A29" s="313" t="s">
        <v>20</v>
      </c>
      <c r="B29" s="47"/>
      <c r="C29" s="46" t="e">
        <f>+B29*100%/B51</f>
        <v>#DIV/0!</v>
      </c>
      <c r="D29" s="47" t="e">
        <f>+B29/E17</f>
        <v>#DIV/0!</v>
      </c>
      <c r="E29" s="333" t="s">
        <v>113</v>
      </c>
      <c r="F29" s="334">
        <f>+B29</f>
        <v>0</v>
      </c>
      <c r="G29" s="335"/>
    </row>
    <row r="30" spans="1:7" x14ac:dyDescent="0.25">
      <c r="A30" s="313" t="s">
        <v>21</v>
      </c>
      <c r="B30" s="47"/>
      <c r="C30" s="46" t="e">
        <f>+B30*100%/B51</f>
        <v>#DIV/0!</v>
      </c>
      <c r="D30" s="47" t="e">
        <f>+B30/E17</f>
        <v>#DIV/0!</v>
      </c>
      <c r="E30" s="302" t="s">
        <v>114</v>
      </c>
      <c r="F30" s="2"/>
      <c r="G30" s="301">
        <f t="shared" ref="G30:G34" si="1">+B30</f>
        <v>0</v>
      </c>
    </row>
    <row r="31" spans="1:7" x14ac:dyDescent="0.25">
      <c r="A31" s="313" t="s">
        <v>22</v>
      </c>
      <c r="B31" s="47"/>
      <c r="C31" s="46" t="e">
        <f>+B31*100%/B51</f>
        <v>#DIV/0!</v>
      </c>
      <c r="D31" s="47" t="e">
        <f>+B31/E17</f>
        <v>#DIV/0!</v>
      </c>
      <c r="E31" s="302" t="s">
        <v>114</v>
      </c>
      <c r="F31" s="2"/>
      <c r="G31" s="301">
        <f t="shared" si="1"/>
        <v>0</v>
      </c>
    </row>
    <row r="32" spans="1:7" x14ac:dyDescent="0.25">
      <c r="A32" s="313" t="s">
        <v>112</v>
      </c>
      <c r="B32" s="47"/>
      <c r="C32" s="46" t="e">
        <f>+B32*100%/B51</f>
        <v>#DIV/0!</v>
      </c>
      <c r="D32" s="47" t="e">
        <f>+B32/E17</f>
        <v>#DIV/0!</v>
      </c>
      <c r="E32" s="333" t="s">
        <v>113</v>
      </c>
      <c r="F32" s="334">
        <f>+B32</f>
        <v>0</v>
      </c>
      <c r="G32" s="336">
        <v>0</v>
      </c>
    </row>
    <row r="33" spans="1:7" x14ac:dyDescent="0.25">
      <c r="A33" s="313" t="s">
        <v>23</v>
      </c>
      <c r="B33" s="47"/>
      <c r="C33" s="46" t="e">
        <f>+B33*100%/B51</f>
        <v>#DIV/0!</v>
      </c>
      <c r="D33" s="47" t="e">
        <f>+B33/E17</f>
        <v>#DIV/0!</v>
      </c>
      <c r="E33" s="302" t="s">
        <v>114</v>
      </c>
      <c r="F33" s="2"/>
      <c r="G33" s="301">
        <f t="shared" si="1"/>
        <v>0</v>
      </c>
    </row>
    <row r="34" spans="1:7" x14ac:dyDescent="0.25">
      <c r="A34" s="313" t="s">
        <v>24</v>
      </c>
      <c r="B34" s="47"/>
      <c r="C34" s="46" t="e">
        <f>+B34*100%/B51</f>
        <v>#DIV/0!</v>
      </c>
      <c r="D34" s="47" t="e">
        <f>+B34/E17</f>
        <v>#DIV/0!</v>
      </c>
      <c r="E34" s="304" t="s">
        <v>114</v>
      </c>
      <c r="F34" s="2"/>
      <c r="G34" s="305">
        <f t="shared" si="1"/>
        <v>0</v>
      </c>
    </row>
    <row r="35" spans="1:7" x14ac:dyDescent="0.25">
      <c r="A35" s="313" t="s">
        <v>25</v>
      </c>
      <c r="B35" s="47"/>
      <c r="C35" s="46" t="e">
        <f>+B35*100%/B51</f>
        <v>#DIV/0!</v>
      </c>
      <c r="D35" s="47" t="e">
        <f>+B35/E17</f>
        <v>#DIV/0!</v>
      </c>
      <c r="E35" s="333" t="s">
        <v>113</v>
      </c>
      <c r="F35" s="334">
        <f>+B35</f>
        <v>0</v>
      </c>
      <c r="G35" s="336">
        <v>0</v>
      </c>
    </row>
    <row r="36" spans="1:7" x14ac:dyDescent="0.25">
      <c r="A36" s="313" t="s">
        <v>36</v>
      </c>
      <c r="B36" s="47"/>
      <c r="C36" s="46" t="e">
        <f>+B36*100%/B51</f>
        <v>#DIV/0!</v>
      </c>
      <c r="D36" s="47" t="e">
        <f>+B36/E17</f>
        <v>#DIV/0!</v>
      </c>
      <c r="E36" s="333" t="s">
        <v>113</v>
      </c>
      <c r="F36" s="334">
        <f>+B36</f>
        <v>0</v>
      </c>
      <c r="G36" s="335"/>
    </row>
    <row r="37" spans="1:7" x14ac:dyDescent="0.25">
      <c r="A37" s="313" t="s">
        <v>26</v>
      </c>
      <c r="B37" s="47"/>
      <c r="C37" s="46" t="e">
        <f>+B37*100%/B51</f>
        <v>#DIV/0!</v>
      </c>
      <c r="D37" s="47" t="e">
        <f>+B37/E17</f>
        <v>#DIV/0!</v>
      </c>
      <c r="E37" s="333" t="s">
        <v>113</v>
      </c>
      <c r="F37" s="334">
        <f>+B37</f>
        <v>0</v>
      </c>
      <c r="G37" s="335"/>
    </row>
    <row r="38" spans="1:7" x14ac:dyDescent="0.25">
      <c r="A38" s="313" t="s">
        <v>27</v>
      </c>
      <c r="B38" s="47"/>
      <c r="C38" s="46" t="e">
        <f>+B38*100%/B51</f>
        <v>#DIV/0!</v>
      </c>
      <c r="D38" s="47" t="e">
        <f>+B38/E17</f>
        <v>#DIV/0!</v>
      </c>
      <c r="E38" s="333" t="s">
        <v>113</v>
      </c>
      <c r="F38" s="334">
        <f>+B38</f>
        <v>0</v>
      </c>
      <c r="G38" s="335"/>
    </row>
    <row r="39" spans="1:7" x14ac:dyDescent="0.25">
      <c r="A39" s="313" t="s">
        <v>118</v>
      </c>
      <c r="B39" s="47"/>
      <c r="C39" s="46" t="e">
        <f>+B39*100%/B51</f>
        <v>#DIV/0!</v>
      </c>
      <c r="D39" s="47" t="e">
        <f>+B39/E17</f>
        <v>#DIV/0!</v>
      </c>
      <c r="E39" s="333" t="s">
        <v>113</v>
      </c>
      <c r="F39" s="334">
        <f>+B39</f>
        <v>0</v>
      </c>
      <c r="G39" s="336">
        <v>0</v>
      </c>
    </row>
    <row r="40" spans="1:7" x14ac:dyDescent="0.25">
      <c r="A40" s="313" t="s">
        <v>37</v>
      </c>
      <c r="B40" s="47"/>
      <c r="C40" s="46" t="e">
        <f>+B40*100%/B51</f>
        <v>#DIV/0!</v>
      </c>
      <c r="D40" s="47" t="e">
        <f>+B40/E17</f>
        <v>#DIV/0!</v>
      </c>
      <c r="E40" s="302" t="s">
        <v>114</v>
      </c>
      <c r="F40" s="303"/>
      <c r="G40" s="301">
        <f>+B40</f>
        <v>0</v>
      </c>
    </row>
    <row r="41" spans="1:7" x14ac:dyDescent="0.25">
      <c r="A41" s="313" t="s">
        <v>38</v>
      </c>
      <c r="B41" s="47"/>
      <c r="C41" s="46" t="e">
        <f>+B41*100%/B51</f>
        <v>#DIV/0!</v>
      </c>
      <c r="D41" s="47" t="e">
        <f>+B41/E17</f>
        <v>#DIV/0!</v>
      </c>
      <c r="E41" s="302" t="s">
        <v>114</v>
      </c>
      <c r="F41" s="2"/>
      <c r="G41" s="301">
        <f>+B41</f>
        <v>0</v>
      </c>
    </row>
    <row r="42" spans="1:7" x14ac:dyDescent="0.25">
      <c r="A42" s="313" t="s">
        <v>39</v>
      </c>
      <c r="B42" s="47"/>
      <c r="C42" s="46" t="e">
        <f>+B42*100%/B51</f>
        <v>#DIV/0!</v>
      </c>
      <c r="D42" s="47" t="e">
        <f>+B42/E17</f>
        <v>#DIV/0!</v>
      </c>
      <c r="E42" s="333" t="s">
        <v>113</v>
      </c>
      <c r="F42" s="334">
        <f>+B42</f>
        <v>0</v>
      </c>
      <c r="G42" s="335"/>
    </row>
    <row r="43" spans="1:7" x14ac:dyDescent="0.25">
      <c r="A43" s="313" t="s">
        <v>35</v>
      </c>
      <c r="B43" s="47"/>
      <c r="C43" s="46" t="e">
        <f>+B43*100%/B51</f>
        <v>#DIV/0!</v>
      </c>
      <c r="D43" s="47" t="e">
        <f>+B43/E17</f>
        <v>#DIV/0!</v>
      </c>
      <c r="E43" s="337" t="s">
        <v>113</v>
      </c>
      <c r="F43" s="334">
        <f>+B43</f>
        <v>0</v>
      </c>
      <c r="G43" s="335"/>
    </row>
    <row r="44" spans="1:7" x14ac:dyDescent="0.25">
      <c r="A44" s="313" t="s">
        <v>58</v>
      </c>
      <c r="B44" s="47"/>
      <c r="C44" s="46" t="e">
        <f>+B44*100%/B51</f>
        <v>#DIV/0!</v>
      </c>
      <c r="D44" s="47" t="e">
        <f>+B44/E17</f>
        <v>#DIV/0!</v>
      </c>
      <c r="E44" s="337" t="s">
        <v>113</v>
      </c>
      <c r="F44" s="334">
        <f>+B44</f>
        <v>0</v>
      </c>
      <c r="G44" s="335"/>
    </row>
    <row r="45" spans="1:7" x14ac:dyDescent="0.25">
      <c r="A45" s="313" t="s">
        <v>59</v>
      </c>
      <c r="B45" s="47"/>
      <c r="C45" s="46" t="e">
        <f>+B45*100%/B51</f>
        <v>#DIV/0!</v>
      </c>
      <c r="D45" s="47" t="e">
        <f>+B45/E17</f>
        <v>#DIV/0!</v>
      </c>
      <c r="E45" s="337" t="s">
        <v>113</v>
      </c>
      <c r="F45" s="334">
        <f>+B45</f>
        <v>0</v>
      </c>
      <c r="G45" s="335"/>
    </row>
    <row r="46" spans="1:7" x14ac:dyDescent="0.25">
      <c r="A46" s="313" t="s">
        <v>40</v>
      </c>
      <c r="B46" s="47"/>
      <c r="C46" s="46" t="e">
        <f>+B46*100%/B51</f>
        <v>#DIV/0!</v>
      </c>
      <c r="D46" s="47" t="e">
        <f>+B46/E17</f>
        <v>#DIV/0!</v>
      </c>
      <c r="E46" s="304" t="s">
        <v>114</v>
      </c>
      <c r="F46" s="2"/>
      <c r="G46" s="301">
        <f>+B46</f>
        <v>0</v>
      </c>
    </row>
    <row r="47" spans="1:7" x14ac:dyDescent="0.25">
      <c r="A47" s="313" t="s">
        <v>55</v>
      </c>
      <c r="B47" s="47"/>
      <c r="C47" s="46" t="e">
        <f>+B47*100%/B51</f>
        <v>#DIV/0!</v>
      </c>
      <c r="D47" s="47" t="e">
        <f>+B47/E17</f>
        <v>#DIV/0!</v>
      </c>
      <c r="E47" s="337" t="s">
        <v>113</v>
      </c>
      <c r="F47" s="334">
        <f>+B47</f>
        <v>0</v>
      </c>
      <c r="G47" s="335"/>
    </row>
    <row r="48" spans="1:7" x14ac:dyDescent="0.25">
      <c r="A48" s="313" t="s">
        <v>56</v>
      </c>
      <c r="B48" s="47"/>
      <c r="C48" s="46" t="e">
        <f>+B48*100%/B51</f>
        <v>#DIV/0!</v>
      </c>
      <c r="D48" s="47" t="e">
        <f>+B48/E17</f>
        <v>#DIV/0!</v>
      </c>
      <c r="E48" s="304" t="s">
        <v>114</v>
      </c>
      <c r="F48" s="2"/>
      <c r="G48" s="301">
        <f>+B48</f>
        <v>0</v>
      </c>
    </row>
    <row r="49" spans="1:7" ht="15.75" thickBot="1" x14ac:dyDescent="0.3">
      <c r="A49" s="313" t="s">
        <v>57</v>
      </c>
      <c r="B49" s="47"/>
      <c r="C49" s="46" t="e">
        <f>+B49*100%/B51</f>
        <v>#DIV/0!</v>
      </c>
      <c r="D49" s="47" t="e">
        <f>+B49/E17</f>
        <v>#DIV/0!</v>
      </c>
      <c r="E49" s="338" t="s">
        <v>113</v>
      </c>
      <c r="F49" s="339">
        <f>+B49</f>
        <v>0</v>
      </c>
      <c r="G49" s="340"/>
    </row>
    <row r="50" spans="1:7" ht="15.75" thickBot="1" x14ac:dyDescent="0.3">
      <c r="A50" s="313" t="s">
        <v>122</v>
      </c>
      <c r="B50" s="47"/>
      <c r="C50" s="46" t="e">
        <f>+B50*100%/B51</f>
        <v>#DIV/0!</v>
      </c>
      <c r="D50" s="47" t="e">
        <f>+B50/E17</f>
        <v>#DIV/0!</v>
      </c>
      <c r="E50" s="338" t="s">
        <v>114</v>
      </c>
      <c r="F50" s="339"/>
      <c r="G50" s="370">
        <f>+B50</f>
        <v>0</v>
      </c>
    </row>
    <row r="51" spans="1:7" ht="15.75" thickBot="1" x14ac:dyDescent="0.3">
      <c r="B51" s="48">
        <f>SUM(B18:B50)</f>
        <v>0</v>
      </c>
      <c r="C51" s="4" t="e">
        <f t="shared" ref="C51" si="2">SUM(C18:C50)</f>
        <v>#DIV/0!</v>
      </c>
      <c r="D51" s="48" t="e">
        <f>SUM(D18:D50)</f>
        <v>#DIV/0!</v>
      </c>
      <c r="E51" s="48">
        <f t="shared" ref="E51" si="3">SUM(E18:E50)</f>
        <v>0</v>
      </c>
      <c r="F51" s="48">
        <f>SUM(F18:F50)</f>
        <v>0</v>
      </c>
      <c r="G51" s="48">
        <f>SUM(G18:G50)</f>
        <v>0</v>
      </c>
    </row>
    <row r="52" spans="1:7" ht="15.75" thickBot="1" x14ac:dyDescent="0.3">
      <c r="B52" s="309" t="s">
        <v>116</v>
      </c>
      <c r="C52" s="310" t="s">
        <v>117</v>
      </c>
      <c r="D52" s="311" t="e">
        <f>+F51/(280000-G52)</f>
        <v>#DIV/0!</v>
      </c>
      <c r="F52" s="307" t="s">
        <v>115</v>
      </c>
      <c r="G52" s="308" t="e">
        <f>+G51/E17</f>
        <v>#DIV/0!</v>
      </c>
    </row>
  </sheetData>
  <mergeCells count="1">
    <mergeCell ref="B16:J16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B8FC5-0684-4FDE-AA84-684543748144}">
  <sheetPr>
    <tabColor rgb="FF92D050"/>
  </sheetPr>
  <dimension ref="A2:B17"/>
  <sheetViews>
    <sheetView workbookViewId="0">
      <selection activeCell="G38" sqref="G38"/>
    </sheetView>
  </sheetViews>
  <sheetFormatPr baseColWidth="10" defaultRowHeight="12.75" x14ac:dyDescent="0.2"/>
  <cols>
    <col min="1" max="1" width="14.7109375" style="219" customWidth="1"/>
    <col min="2" max="2" width="14.28515625" style="219" customWidth="1"/>
    <col min="3" max="16384" width="11.42578125" style="219"/>
  </cols>
  <sheetData>
    <row r="2" spans="1:2" x14ac:dyDescent="0.2">
      <c r="A2" s="219" t="s">
        <v>67</v>
      </c>
    </row>
    <row r="3" spans="1:2" ht="13.5" thickBot="1" x14ac:dyDescent="0.25"/>
    <row r="4" spans="1:2" ht="13.5" thickBot="1" x14ac:dyDescent="0.25">
      <c r="A4" s="220" t="s">
        <v>68</v>
      </c>
      <c r="B4" s="220" t="s">
        <v>69</v>
      </c>
    </row>
    <row r="5" spans="1:2" x14ac:dyDescent="0.2">
      <c r="A5" s="221" t="s">
        <v>0</v>
      </c>
      <c r="B5" s="222">
        <f>+'[6]PRODUC ACUMULADA'!$B$5</f>
        <v>1698.66</v>
      </c>
    </row>
    <row r="6" spans="1:2" x14ac:dyDescent="0.2">
      <c r="A6" s="223" t="s">
        <v>1</v>
      </c>
      <c r="B6" s="222">
        <f>+[7]PRODUCCION!$B$15</f>
        <v>1830.15</v>
      </c>
    </row>
    <row r="7" spans="1:2" x14ac:dyDescent="0.2">
      <c r="A7" s="223" t="s">
        <v>2</v>
      </c>
      <c r="B7" s="222">
        <v>1898.77</v>
      </c>
    </row>
    <row r="8" spans="1:2" x14ac:dyDescent="0.2">
      <c r="A8" s="223" t="s">
        <v>3</v>
      </c>
      <c r="B8" s="222">
        <v>1800.91</v>
      </c>
    </row>
    <row r="9" spans="1:2" x14ac:dyDescent="0.2">
      <c r="A9" s="223" t="s">
        <v>4</v>
      </c>
      <c r="B9" s="222">
        <f>+'[8]PRODUC ACUMULADA'!$B$9</f>
        <v>1964.1099999999997</v>
      </c>
    </row>
    <row r="10" spans="1:2" x14ac:dyDescent="0.2">
      <c r="A10" s="223" t="s">
        <v>5</v>
      </c>
      <c r="B10" s="222">
        <f>+'[8]PRODUC ACUMULADA'!$B$10</f>
        <v>926.96999999999991</v>
      </c>
    </row>
    <row r="11" spans="1:2" x14ac:dyDescent="0.2">
      <c r="A11" s="223" t="s">
        <v>7</v>
      </c>
      <c r="B11" s="222">
        <v>0</v>
      </c>
    </row>
    <row r="12" spans="1:2" x14ac:dyDescent="0.2">
      <c r="A12" s="223" t="s">
        <v>8</v>
      </c>
      <c r="B12" s="222">
        <v>0</v>
      </c>
    </row>
    <row r="13" spans="1:2" x14ac:dyDescent="0.2">
      <c r="A13" s="223" t="s">
        <v>9</v>
      </c>
      <c r="B13" s="222">
        <v>0</v>
      </c>
    </row>
    <row r="14" spans="1:2" x14ac:dyDescent="0.2">
      <c r="A14" s="223" t="s">
        <v>10</v>
      </c>
      <c r="B14" s="222">
        <v>0</v>
      </c>
    </row>
    <row r="15" spans="1:2" x14ac:dyDescent="0.2">
      <c r="A15" s="223" t="s">
        <v>11</v>
      </c>
      <c r="B15" s="222">
        <v>0</v>
      </c>
    </row>
    <row r="16" spans="1:2" ht="13.5" thickBot="1" x14ac:dyDescent="0.25">
      <c r="A16" s="224" t="s">
        <v>12</v>
      </c>
      <c r="B16" s="222">
        <v>0</v>
      </c>
    </row>
    <row r="17" spans="1:2" ht="15.75" thickBot="1" x14ac:dyDescent="0.3">
      <c r="A17" s="225" t="s">
        <v>31</v>
      </c>
      <c r="B17" s="226">
        <f>SUM(B5:B16)</f>
        <v>10119.569999999998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5" tint="-0.249977111117893"/>
  </sheetPr>
  <dimension ref="A13:G28"/>
  <sheetViews>
    <sheetView topLeftCell="A3" workbookViewId="0">
      <selection activeCell="I19" sqref="I19"/>
    </sheetView>
  </sheetViews>
  <sheetFormatPr baseColWidth="10" defaultRowHeight="15" x14ac:dyDescent="0.25"/>
  <cols>
    <col min="2" max="2" width="11.42578125" style="1"/>
    <col min="3" max="3" width="13.5703125" customWidth="1"/>
    <col min="4" max="4" width="15.140625" bestFit="1" customWidth="1"/>
    <col min="5" max="5" width="12.5703125" bestFit="1" customWidth="1"/>
  </cols>
  <sheetData>
    <row r="13" spans="1:7" x14ac:dyDescent="0.25">
      <c r="B13" s="435" t="s">
        <v>6</v>
      </c>
      <c r="C13" s="435"/>
      <c r="D13" s="435"/>
      <c r="E13" s="435"/>
      <c r="F13" s="435"/>
      <c r="G13" s="435"/>
    </row>
    <row r="15" spans="1:7" x14ac:dyDescent="0.25">
      <c r="B15" s="1">
        <v>2020</v>
      </c>
      <c r="C15">
        <v>2021</v>
      </c>
      <c r="D15">
        <v>2022</v>
      </c>
      <c r="E15">
        <v>2023</v>
      </c>
      <c r="F15">
        <v>2024</v>
      </c>
    </row>
    <row r="16" spans="1:7" x14ac:dyDescent="0.25">
      <c r="A16" t="s">
        <v>0</v>
      </c>
      <c r="B16" s="9">
        <v>0</v>
      </c>
      <c r="C16" s="9">
        <f>7400000+4280000+2340000+20000000+10000000</f>
        <v>44020000</v>
      </c>
      <c r="D16" s="13">
        <f>15351000+17960000</f>
        <v>33311000</v>
      </c>
      <c r="E16" s="13"/>
      <c r="F16" s="13"/>
    </row>
    <row r="17" spans="1:6" x14ac:dyDescent="0.25">
      <c r="A17" t="s">
        <v>1</v>
      </c>
      <c r="B17" s="9"/>
      <c r="C17" s="9">
        <v>12994800</v>
      </c>
      <c r="D17" s="13">
        <v>17050320</v>
      </c>
      <c r="E17" s="13">
        <f>5800000+31654000+8996535+5972000+8967304+5905275</f>
        <v>67295114</v>
      </c>
      <c r="F17" s="13"/>
    </row>
    <row r="18" spans="1:6" x14ac:dyDescent="0.25">
      <c r="A18" t="s">
        <v>2</v>
      </c>
      <c r="B18" s="9"/>
      <c r="C18" s="9">
        <f>2000000+7000000+2925000</f>
        <v>11925000</v>
      </c>
      <c r="D18" s="13">
        <f>7996800+10162600</f>
        <v>18159400</v>
      </c>
      <c r="E18" s="13"/>
      <c r="F18" s="13">
        <v>2380000</v>
      </c>
    </row>
    <row r="19" spans="1:6" x14ac:dyDescent="0.25">
      <c r="A19" t="s">
        <v>3</v>
      </c>
      <c r="B19" s="9"/>
      <c r="C19" s="9"/>
      <c r="D19" s="13">
        <v>24412400</v>
      </c>
      <c r="E19" s="13"/>
      <c r="F19" s="13">
        <v>27000000</v>
      </c>
    </row>
    <row r="20" spans="1:6" x14ac:dyDescent="0.25">
      <c r="A20" t="s">
        <v>4</v>
      </c>
      <c r="B20" s="9"/>
      <c r="C20" s="9">
        <v>30830000</v>
      </c>
      <c r="D20" s="13">
        <f>46350284+1200000</f>
        <v>47550284</v>
      </c>
      <c r="E20" s="13">
        <f>168408800+16263500+15970000+181231649</f>
        <v>381873949</v>
      </c>
      <c r="F20" s="13"/>
    </row>
    <row r="21" spans="1:6" x14ac:dyDescent="0.25">
      <c r="A21" t="s">
        <v>5</v>
      </c>
      <c r="B21" s="9"/>
      <c r="C21" s="9">
        <v>800000</v>
      </c>
      <c r="D21" s="13">
        <f>2320500+27100000</f>
        <v>29420500</v>
      </c>
      <c r="E21" s="13">
        <f>41650000+4582452</f>
        <v>46232452</v>
      </c>
      <c r="F21" s="13"/>
    </row>
    <row r="22" spans="1:6" x14ac:dyDescent="0.25">
      <c r="A22" t="s">
        <v>7</v>
      </c>
      <c r="B22" s="9"/>
      <c r="C22" s="9">
        <v>3625000</v>
      </c>
      <c r="D22" s="13">
        <f>14430000+13852790</f>
        <v>28282790</v>
      </c>
      <c r="E22" s="13"/>
      <c r="F22" s="13"/>
    </row>
    <row r="23" spans="1:6" x14ac:dyDescent="0.25">
      <c r="A23" t="s">
        <v>8</v>
      </c>
      <c r="B23" s="9">
        <v>15655500</v>
      </c>
      <c r="C23" s="13">
        <v>45000000</v>
      </c>
      <c r="D23" s="13">
        <f>24492600+19040000+16567999</f>
        <v>60100599</v>
      </c>
      <c r="E23" s="13">
        <v>3600000</v>
      </c>
      <c r="F23" s="13"/>
    </row>
    <row r="24" spans="1:6" x14ac:dyDescent="0.25">
      <c r="A24" t="s">
        <v>9</v>
      </c>
      <c r="B24" s="9">
        <v>3900000</v>
      </c>
      <c r="C24" s="13">
        <f>6000000+6096000+100000000</f>
        <v>112096000</v>
      </c>
      <c r="D24" s="13">
        <f>11350000+30000000</f>
        <v>41350000</v>
      </c>
      <c r="E24" s="13"/>
      <c r="F24" s="13"/>
    </row>
    <row r="25" spans="1:6" x14ac:dyDescent="0.25">
      <c r="A25" t="s">
        <v>10</v>
      </c>
      <c r="B25" s="9"/>
      <c r="C25" s="13">
        <f>12900000+15795250</f>
        <v>28695250</v>
      </c>
      <c r="D25" s="13">
        <f>40112377+9725454+15600900+24182883</f>
        <v>89621614</v>
      </c>
      <c r="E25" s="13">
        <v>0</v>
      </c>
      <c r="F25" s="13"/>
    </row>
    <row r="26" spans="1:6" x14ac:dyDescent="0.25">
      <c r="A26" t="s">
        <v>11</v>
      </c>
      <c r="B26" s="9">
        <v>9282000</v>
      </c>
      <c r="C26" s="9">
        <f>9965000+7200000+123000000</f>
        <v>140165000</v>
      </c>
      <c r="D26" s="13"/>
      <c r="E26" s="13"/>
      <c r="F26" s="13"/>
    </row>
    <row r="27" spans="1:6" ht="15.75" thickBot="1" x14ac:dyDescent="0.3">
      <c r="A27" t="s">
        <v>12</v>
      </c>
      <c r="B27" s="14">
        <f>6200000+33000000</f>
        <v>39200000</v>
      </c>
      <c r="C27" s="14"/>
      <c r="D27" s="15"/>
      <c r="E27" s="15"/>
      <c r="F27" s="15"/>
    </row>
    <row r="28" spans="1:6" ht="15.75" thickBot="1" x14ac:dyDescent="0.3">
      <c r="A28" s="16" t="s">
        <v>29</v>
      </c>
      <c r="B28" s="17">
        <f>SUM(B16:B27)</f>
        <v>68037500</v>
      </c>
      <c r="C28" s="17">
        <f>SUM(C16:C27)</f>
        <v>430151050</v>
      </c>
      <c r="D28" s="17">
        <f>SUM(D16:D27)</f>
        <v>389258907</v>
      </c>
      <c r="E28" s="17">
        <f>SUM(E16:E27)</f>
        <v>499001515</v>
      </c>
      <c r="F28" s="17">
        <f>SUM(F16:F27)</f>
        <v>29380000</v>
      </c>
    </row>
  </sheetData>
  <mergeCells count="1">
    <mergeCell ref="B13:G13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5" tint="-0.249977111117893"/>
  </sheetPr>
  <dimension ref="A13:G28"/>
  <sheetViews>
    <sheetView topLeftCell="A7" workbookViewId="0">
      <selection activeCell="K26" sqref="K26"/>
    </sheetView>
  </sheetViews>
  <sheetFormatPr baseColWidth="10" defaultRowHeight="15" x14ac:dyDescent="0.25"/>
  <cols>
    <col min="2" max="2" width="12.5703125" style="1" bestFit="1" customWidth="1"/>
    <col min="3" max="3" width="19.28515625" customWidth="1"/>
    <col min="4" max="5" width="15.5703125" customWidth="1"/>
    <col min="6" max="6" width="16" customWidth="1"/>
  </cols>
  <sheetData>
    <row r="13" spans="1:7" x14ac:dyDescent="0.25">
      <c r="B13" s="435" t="s">
        <v>6</v>
      </c>
      <c r="C13" s="435"/>
      <c r="D13" s="435"/>
      <c r="E13" s="435"/>
      <c r="F13" s="435"/>
      <c r="G13" s="435"/>
    </row>
    <row r="15" spans="1:7" ht="15.75" thickBot="1" x14ac:dyDescent="0.3">
      <c r="B15" s="6">
        <v>2020</v>
      </c>
      <c r="C15" s="2">
        <v>2021</v>
      </c>
      <c r="D15" s="2">
        <v>2022</v>
      </c>
      <c r="E15" s="2">
        <v>2023</v>
      </c>
      <c r="F15" s="2">
        <v>2024</v>
      </c>
    </row>
    <row r="16" spans="1:7" x14ac:dyDescent="0.25">
      <c r="A16" s="7" t="s">
        <v>0</v>
      </c>
      <c r="B16" s="9">
        <v>0</v>
      </c>
      <c r="C16" s="9">
        <f>9242551+3500000+2001398</f>
        <v>14743949</v>
      </c>
      <c r="D16" s="9">
        <v>2571656</v>
      </c>
      <c r="E16" s="9"/>
      <c r="F16" s="9"/>
    </row>
    <row r="17" spans="1:6" x14ac:dyDescent="0.25">
      <c r="A17" s="12" t="s">
        <v>1</v>
      </c>
      <c r="B17" s="9">
        <v>0</v>
      </c>
      <c r="C17" s="9">
        <v>10385641</v>
      </c>
      <c r="D17" s="9">
        <f>16734361+14115652</f>
        <v>30850013</v>
      </c>
      <c r="E17" s="9"/>
      <c r="F17" s="9">
        <v>11498522</v>
      </c>
    </row>
    <row r="18" spans="1:6" x14ac:dyDescent="0.25">
      <c r="A18" s="12" t="s">
        <v>2</v>
      </c>
      <c r="B18" s="9">
        <v>0</v>
      </c>
      <c r="C18" s="9">
        <v>7775367</v>
      </c>
      <c r="D18" s="9">
        <v>7318759</v>
      </c>
      <c r="E18" s="9">
        <f>3641400+2309641+22493702+5760667</f>
        <v>34205410</v>
      </c>
      <c r="F18" s="9">
        <v>4700000</v>
      </c>
    </row>
    <row r="19" spans="1:6" x14ac:dyDescent="0.25">
      <c r="A19" s="12" t="s">
        <v>3</v>
      </c>
      <c r="B19" s="9">
        <v>0</v>
      </c>
      <c r="C19" s="9">
        <v>0</v>
      </c>
      <c r="D19" s="9">
        <f>10800000+950000+27711399+16253165</f>
        <v>55714564</v>
      </c>
      <c r="E19" s="9">
        <f>30603833+396270+1160000+5760667</f>
        <v>37920770</v>
      </c>
      <c r="F19" s="9">
        <f>6058830</f>
        <v>6058830</v>
      </c>
    </row>
    <row r="20" spans="1:6" x14ac:dyDescent="0.25">
      <c r="A20" s="12" t="s">
        <v>4</v>
      </c>
      <c r="B20" s="9">
        <v>0</v>
      </c>
      <c r="C20" s="9">
        <v>0</v>
      </c>
      <c r="D20" s="9">
        <v>39153111</v>
      </c>
      <c r="E20" s="9">
        <f>23796926+55760667</f>
        <v>79557593</v>
      </c>
      <c r="F20" s="9">
        <f>75276000+1410000</f>
        <v>76686000</v>
      </c>
    </row>
    <row r="21" spans="1:6" x14ac:dyDescent="0.25">
      <c r="A21" s="12" t="s">
        <v>5</v>
      </c>
      <c r="B21" s="9">
        <v>9858974</v>
      </c>
      <c r="C21" s="9">
        <f>39734694+6589128</f>
        <v>46323822</v>
      </c>
      <c r="D21" s="9">
        <f>2294100+16800000</f>
        <v>19094100</v>
      </c>
      <c r="E21" s="9">
        <f>18900029+17211975+17533333+5760667</f>
        <v>59406004</v>
      </c>
      <c r="F21" s="9">
        <v>620000</v>
      </c>
    </row>
    <row r="22" spans="1:6" x14ac:dyDescent="0.25">
      <c r="A22" s="12" t="s">
        <v>7</v>
      </c>
      <c r="B22" s="9">
        <v>34036670</v>
      </c>
      <c r="C22" s="9">
        <v>3607224</v>
      </c>
      <c r="D22" s="9">
        <v>13746650</v>
      </c>
      <c r="E22" s="9">
        <f>14200000+3150000+802882+5760667</f>
        <v>23913549</v>
      </c>
      <c r="F22" s="9">
        <v>1159176</v>
      </c>
    </row>
    <row r="23" spans="1:6" x14ac:dyDescent="0.25">
      <c r="A23" s="12" t="s">
        <v>8</v>
      </c>
      <c r="B23" s="9">
        <f>37694339+8000000</f>
        <v>45694339</v>
      </c>
      <c r="C23" s="9">
        <v>490557</v>
      </c>
      <c r="D23" s="9">
        <f>1503140</f>
        <v>1503140</v>
      </c>
      <c r="E23" s="9">
        <f>15623825+38275576+5760667</f>
        <v>59660068</v>
      </c>
      <c r="F23" s="9"/>
    </row>
    <row r="24" spans="1:6" x14ac:dyDescent="0.25">
      <c r="A24" s="12" t="s">
        <v>9</v>
      </c>
      <c r="B24" s="9">
        <f>102761469+5700000</f>
        <v>108461469</v>
      </c>
      <c r="C24" s="9">
        <v>5712930</v>
      </c>
      <c r="D24" s="9">
        <v>2308000</v>
      </c>
      <c r="E24" s="9">
        <f>8063970+5760667</f>
        <v>13824637</v>
      </c>
      <c r="F24" s="9"/>
    </row>
    <row r="25" spans="1:6" x14ac:dyDescent="0.25">
      <c r="A25" s="12" t="s">
        <v>10</v>
      </c>
      <c r="B25" s="9">
        <f>7410596+9000000</f>
        <v>16410596</v>
      </c>
      <c r="C25" s="9">
        <f>9054611+1460000+5805334+926902</f>
        <v>17246847</v>
      </c>
      <c r="D25" s="9">
        <f>9866700</f>
        <v>9866700</v>
      </c>
      <c r="E25" s="13">
        <f>3603499+5760667</f>
        <v>9364166</v>
      </c>
      <c r="F25" s="13"/>
    </row>
    <row r="26" spans="1:6" x14ac:dyDescent="0.25">
      <c r="A26" s="12" t="s">
        <v>11</v>
      </c>
      <c r="B26" s="9">
        <f>6449644+2880000+4000000</f>
        <v>13329644</v>
      </c>
      <c r="C26" s="10">
        <v>688000</v>
      </c>
      <c r="D26" s="10"/>
      <c r="E26" s="10">
        <f>5760667+14311540</f>
        <v>20072207</v>
      </c>
      <c r="F26" s="10"/>
    </row>
    <row r="27" spans="1:6" x14ac:dyDescent="0.25">
      <c r="A27" s="12" t="s">
        <v>12</v>
      </c>
      <c r="B27" s="9">
        <f>980000+2772787+130000+590429+270000+4100000+9000000+65500000</f>
        <v>83343216</v>
      </c>
      <c r="C27" s="10">
        <f>952183+111025628</f>
        <v>111977811</v>
      </c>
      <c r="D27" s="10"/>
      <c r="E27" s="10">
        <f>1702180+10115000</f>
        <v>11817180</v>
      </c>
      <c r="F27" s="10"/>
    </row>
    <row r="28" spans="1:6" ht="15.75" thickBot="1" x14ac:dyDescent="0.3">
      <c r="A28" s="11" t="s">
        <v>29</v>
      </c>
      <c r="B28" s="8">
        <f>SUM(B16:B27)</f>
        <v>311134908</v>
      </c>
      <c r="C28" s="8">
        <f>SUM(C16:C27)</f>
        <v>218952148</v>
      </c>
      <c r="D28" s="8">
        <f>SUM(D16:D27)</f>
        <v>182126693</v>
      </c>
      <c r="E28" s="8">
        <f>SUM(E16:E27)</f>
        <v>349741584</v>
      </c>
      <c r="F28" s="8">
        <f>SUM(F16:F27)</f>
        <v>100722528</v>
      </c>
    </row>
  </sheetData>
  <mergeCells count="1">
    <mergeCell ref="B13:G13"/>
  </mergeCells>
  <pageMargins left="0.7" right="0.7" top="0.75" bottom="0.75" header="0.3" footer="0.3"/>
  <pageSetup orientation="portrait" horizontalDpi="4294967293" verticalDpi="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53FA-3E81-40EC-89F5-12AA8E6987B5}">
  <sheetPr>
    <tabColor rgb="FF7030A0"/>
  </sheetPr>
  <dimension ref="B1:Q31"/>
  <sheetViews>
    <sheetView topLeftCell="A11" workbookViewId="0">
      <selection activeCell="F27" sqref="F27"/>
    </sheetView>
  </sheetViews>
  <sheetFormatPr baseColWidth="10" defaultColWidth="11.140625" defaultRowHeight="15" x14ac:dyDescent="0.25"/>
  <cols>
    <col min="1" max="1" width="11.140625" style="227"/>
    <col min="2" max="2" width="11.140625" style="249" customWidth="1"/>
    <col min="3" max="3" width="34.28515625" style="294" customWidth="1"/>
    <col min="4" max="4" width="11.85546875" style="227" customWidth="1"/>
    <col min="5" max="5" width="12.85546875" style="252" customWidth="1"/>
    <col min="6" max="6" width="16" style="253" customWidth="1"/>
    <col min="7" max="7" width="14.140625" style="255" customWidth="1"/>
    <col min="8" max="8" width="16.140625" style="255" customWidth="1"/>
    <col min="9" max="9" width="16.140625" style="253" customWidth="1"/>
    <col min="10" max="10" width="16.28515625" style="252" customWidth="1"/>
    <col min="11" max="11" width="13.85546875" style="252" customWidth="1"/>
    <col min="12" max="12" width="15.85546875" style="252" customWidth="1"/>
    <col min="13" max="13" width="15.7109375" style="227" customWidth="1"/>
    <col min="14" max="14" width="18" style="231" customWidth="1"/>
    <col min="15" max="15" width="19.42578125" style="227" customWidth="1"/>
    <col min="16" max="16" width="14.140625" style="227" bestFit="1" customWidth="1"/>
    <col min="17" max="17" width="16" style="229" customWidth="1"/>
    <col min="18" max="16384" width="11.140625" style="227"/>
  </cols>
  <sheetData>
    <row r="1" spans="2:17" ht="54.75" hidden="1" customHeight="1" x14ac:dyDescent="0.25"/>
    <row r="2" spans="2:17" hidden="1" x14ac:dyDescent="0.25"/>
    <row r="3" spans="2:17" hidden="1" x14ac:dyDescent="0.25">
      <c r="B3" s="438" t="s">
        <v>107</v>
      </c>
      <c r="C3" s="438"/>
      <c r="D3" s="438"/>
      <c r="E3" s="438"/>
      <c r="F3" s="438"/>
      <c r="G3" s="438"/>
      <c r="H3" s="438"/>
      <c r="I3" s="425"/>
    </row>
    <row r="4" spans="2:17" hidden="1" x14ac:dyDescent="0.25"/>
    <row r="5" spans="2:17" hidden="1" x14ac:dyDescent="0.25">
      <c r="B5" s="230"/>
      <c r="C5" s="295"/>
      <c r="D5" s="230"/>
      <c r="E5" s="230"/>
      <c r="F5" s="230"/>
      <c r="G5" s="253"/>
      <c r="H5" s="230"/>
      <c r="I5" s="290"/>
      <c r="J5" s="230"/>
      <c r="K5" s="230"/>
      <c r="L5" s="230"/>
      <c r="M5" s="290"/>
      <c r="N5" s="290"/>
    </row>
    <row r="6" spans="2:17" hidden="1" x14ac:dyDescent="0.25">
      <c r="B6" s="230"/>
      <c r="C6" s="295"/>
      <c r="D6" s="230"/>
      <c r="E6" s="230"/>
      <c r="F6" s="230"/>
      <c r="G6" s="254"/>
      <c r="H6" s="230"/>
      <c r="I6" s="290"/>
      <c r="J6" s="230"/>
      <c r="K6" s="230"/>
      <c r="L6" s="230"/>
      <c r="M6" s="290"/>
      <c r="N6" s="290"/>
    </row>
    <row r="7" spans="2:17" hidden="1" x14ac:dyDescent="0.25">
      <c r="B7" s="230"/>
      <c r="C7" s="295"/>
      <c r="D7" s="230"/>
      <c r="E7" s="230"/>
      <c r="F7" s="230"/>
      <c r="G7" s="256"/>
      <c r="H7" s="236"/>
      <c r="I7" s="290"/>
      <c r="J7" s="236"/>
      <c r="K7" s="236"/>
      <c r="L7" s="236"/>
      <c r="M7" s="290"/>
      <c r="N7" s="290"/>
    </row>
    <row r="8" spans="2:17" hidden="1" x14ac:dyDescent="0.25">
      <c r="B8" s="230"/>
      <c r="C8" s="295"/>
      <c r="D8" s="230"/>
      <c r="E8" s="230"/>
      <c r="F8" s="230"/>
      <c r="G8" s="254"/>
      <c r="H8" s="230"/>
      <c r="I8" s="290"/>
      <c r="J8" s="230"/>
      <c r="K8" s="230"/>
      <c r="L8" s="230"/>
      <c r="M8" s="290"/>
      <c r="N8" s="227"/>
    </row>
    <row r="9" spans="2:17" hidden="1" x14ac:dyDescent="0.25">
      <c r="B9" s="230"/>
      <c r="C9" s="295"/>
      <c r="D9" s="230"/>
      <c r="E9" s="230"/>
      <c r="F9" s="230"/>
      <c r="G9" s="254"/>
      <c r="H9" s="230"/>
      <c r="I9" s="290"/>
      <c r="J9" s="230"/>
      <c r="K9" s="230"/>
      <c r="L9" s="230"/>
      <c r="M9" s="290"/>
      <c r="N9" s="227"/>
    </row>
    <row r="10" spans="2:17" hidden="1" x14ac:dyDescent="0.25">
      <c r="B10" s="230"/>
      <c r="C10" s="295"/>
      <c r="D10" s="230"/>
      <c r="E10" s="230"/>
      <c r="F10" s="230"/>
      <c r="G10" s="230"/>
      <c r="H10" s="230"/>
      <c r="I10" s="290"/>
      <c r="J10" s="230"/>
      <c r="K10" s="230"/>
      <c r="L10" s="230"/>
      <c r="M10" s="290"/>
      <c r="N10" s="290"/>
    </row>
    <row r="11" spans="2:17" ht="36" customHeight="1" x14ac:dyDescent="0.25">
      <c r="B11" s="237" t="s">
        <v>71</v>
      </c>
      <c r="C11" s="296" t="s">
        <v>72</v>
      </c>
      <c r="D11" s="238" t="s">
        <v>73</v>
      </c>
      <c r="E11" s="257" t="s">
        <v>74</v>
      </c>
      <c r="F11" s="257" t="s">
        <v>75</v>
      </c>
      <c r="G11" s="257" t="s">
        <v>85</v>
      </c>
      <c r="H11" s="257" t="s">
        <v>81</v>
      </c>
      <c r="I11" s="297" t="s">
        <v>76</v>
      </c>
      <c r="J11" s="292" t="s">
        <v>41</v>
      </c>
      <c r="K11" s="257" t="s">
        <v>121</v>
      </c>
      <c r="L11" s="257" t="s">
        <v>86</v>
      </c>
      <c r="M11" s="242" t="s">
        <v>82</v>
      </c>
      <c r="N11" s="242" t="s">
        <v>83</v>
      </c>
      <c r="O11" s="227" t="s">
        <v>150</v>
      </c>
      <c r="P11" s="227" t="s">
        <v>151</v>
      </c>
    </row>
    <row r="12" spans="2:17" ht="42" customHeight="1" x14ac:dyDescent="0.25">
      <c r="B12" s="243" t="s">
        <v>141</v>
      </c>
      <c r="C12" s="298" t="s">
        <v>142</v>
      </c>
      <c r="D12" s="245">
        <v>46.04</v>
      </c>
      <c r="E12" s="248">
        <v>310000</v>
      </c>
      <c r="F12" s="258">
        <f t="shared" ref="F12:F28" si="0">+D12*E12</f>
        <v>14272400</v>
      </c>
      <c r="G12" s="258"/>
      <c r="H12" s="258">
        <f t="shared" ref="H12:H28" si="1">+F12-G12</f>
        <v>14272400</v>
      </c>
      <c r="I12" s="258">
        <f t="shared" ref="I12:I28" si="2">+H12*2.5/100</f>
        <v>356810</v>
      </c>
      <c r="J12" s="248"/>
      <c r="K12" s="366">
        <v>46044</v>
      </c>
      <c r="L12" s="248">
        <f t="shared" ref="L12:L28" si="3">+H12-I12-J12</f>
        <v>13915590</v>
      </c>
      <c r="M12" s="244">
        <v>46105</v>
      </c>
      <c r="N12" s="389">
        <v>13210808</v>
      </c>
    </row>
    <row r="13" spans="2:17" s="399" customFormat="1" ht="33" customHeight="1" x14ac:dyDescent="0.25">
      <c r="B13" s="390" t="s">
        <v>152</v>
      </c>
      <c r="C13" s="391" t="s">
        <v>153</v>
      </c>
      <c r="D13" s="392">
        <v>249.61</v>
      </c>
      <c r="E13" s="393">
        <v>308197</v>
      </c>
      <c r="F13" s="394">
        <f t="shared" si="0"/>
        <v>76929053.170000002</v>
      </c>
      <c r="G13" s="394"/>
      <c r="H13" s="394">
        <f t="shared" si="1"/>
        <v>76929053.170000002</v>
      </c>
      <c r="I13" s="394">
        <f t="shared" si="2"/>
        <v>1923226.3292500002</v>
      </c>
      <c r="J13" s="393"/>
      <c r="K13" s="395">
        <v>46050</v>
      </c>
      <c r="L13" s="393">
        <f t="shared" si="3"/>
        <v>75005826.840750009</v>
      </c>
      <c r="M13" s="396">
        <v>46112</v>
      </c>
      <c r="N13" s="397">
        <v>27000000</v>
      </c>
      <c r="O13" s="398">
        <v>43616667</v>
      </c>
      <c r="P13" s="399" t="s">
        <v>154</v>
      </c>
      <c r="Q13" s="400"/>
    </row>
    <row r="14" spans="2:17" ht="30" customHeight="1" x14ac:dyDescent="0.25">
      <c r="B14" s="243" t="s">
        <v>143</v>
      </c>
      <c r="C14" s="298" t="s">
        <v>144</v>
      </c>
      <c r="D14" s="245">
        <v>72.239999999999995</v>
      </c>
      <c r="E14" s="248">
        <v>310000</v>
      </c>
      <c r="F14" s="258">
        <f t="shared" si="0"/>
        <v>22394400</v>
      </c>
      <c r="G14" s="258"/>
      <c r="H14" s="258">
        <f t="shared" si="1"/>
        <v>22394400</v>
      </c>
      <c r="I14" s="258">
        <f t="shared" si="2"/>
        <v>559860</v>
      </c>
      <c r="J14" s="248"/>
      <c r="K14" s="366">
        <v>46058</v>
      </c>
      <c r="L14" s="248">
        <f t="shared" si="3"/>
        <v>21834540</v>
      </c>
      <c r="M14" s="401">
        <v>46119</v>
      </c>
      <c r="N14" s="402">
        <v>20728687</v>
      </c>
      <c r="Q14" s="247"/>
    </row>
    <row r="15" spans="2:17" ht="32.25" customHeight="1" x14ac:dyDescent="0.25">
      <c r="B15" s="243" t="s">
        <v>147</v>
      </c>
      <c r="C15" s="298" t="s">
        <v>148</v>
      </c>
      <c r="D15" s="245">
        <v>72.260000000000005</v>
      </c>
      <c r="E15" s="248">
        <v>310000</v>
      </c>
      <c r="F15" s="258">
        <f t="shared" si="0"/>
        <v>22400600</v>
      </c>
      <c r="G15" s="258"/>
      <c r="H15" s="258">
        <f t="shared" si="1"/>
        <v>22400600</v>
      </c>
      <c r="I15" s="258">
        <f t="shared" si="2"/>
        <v>560015</v>
      </c>
      <c r="J15" s="248"/>
      <c r="K15" s="366">
        <v>46058</v>
      </c>
      <c r="L15" s="248">
        <f t="shared" si="3"/>
        <v>21840585</v>
      </c>
      <c r="M15" s="401"/>
      <c r="N15" s="401"/>
      <c r="Q15" s="247"/>
    </row>
    <row r="16" spans="2:17" ht="20.100000000000001" customHeight="1" x14ac:dyDescent="0.25">
      <c r="B16" s="243" t="s">
        <v>164</v>
      </c>
      <c r="C16" s="298" t="s">
        <v>149</v>
      </c>
      <c r="D16" s="245">
        <v>207.27</v>
      </c>
      <c r="E16" s="248">
        <v>308379</v>
      </c>
      <c r="F16" s="258">
        <f t="shared" si="0"/>
        <v>63917715.330000006</v>
      </c>
      <c r="G16" s="258"/>
      <c r="H16" s="258">
        <f t="shared" si="1"/>
        <v>63917715.330000006</v>
      </c>
      <c r="I16" s="258">
        <f t="shared" si="2"/>
        <v>1597942.8832500002</v>
      </c>
      <c r="J16" s="248"/>
      <c r="K16" s="366">
        <v>46058</v>
      </c>
      <c r="L16" s="248">
        <f t="shared" si="3"/>
        <v>62319772.446750008</v>
      </c>
      <c r="M16" s="401"/>
      <c r="N16" s="401"/>
      <c r="Q16" s="247"/>
    </row>
    <row r="17" spans="2:17" s="399" customFormat="1" ht="20.100000000000001" customHeight="1" x14ac:dyDescent="0.25">
      <c r="B17" s="390" t="s">
        <v>155</v>
      </c>
      <c r="C17" s="403" t="s">
        <v>156</v>
      </c>
      <c r="D17" s="392">
        <v>118.15</v>
      </c>
      <c r="E17" s="393">
        <v>309390</v>
      </c>
      <c r="F17" s="394">
        <f t="shared" si="0"/>
        <v>36554428.5</v>
      </c>
      <c r="G17" s="394"/>
      <c r="H17" s="394">
        <f t="shared" si="1"/>
        <v>36554428.5</v>
      </c>
      <c r="I17" s="394">
        <f t="shared" si="2"/>
        <v>913860.71250000002</v>
      </c>
      <c r="J17" s="393"/>
      <c r="K17" s="395">
        <v>46091</v>
      </c>
      <c r="L17" s="393">
        <f t="shared" si="3"/>
        <v>35640567.787500001</v>
      </c>
      <c r="M17" s="396"/>
      <c r="N17" s="404"/>
      <c r="O17" s="405">
        <v>11000000</v>
      </c>
      <c r="P17" s="439" t="s">
        <v>157</v>
      </c>
    </row>
    <row r="18" spans="2:17" s="399" customFormat="1" ht="20.100000000000001" customHeight="1" x14ac:dyDescent="0.25">
      <c r="B18" s="390" t="s">
        <v>158</v>
      </c>
      <c r="C18" s="403" t="s">
        <v>159</v>
      </c>
      <c r="D18" s="392">
        <v>140.77000000000001</v>
      </c>
      <c r="E18" s="393">
        <v>306918</v>
      </c>
      <c r="F18" s="394">
        <f t="shared" si="0"/>
        <v>43204846.860000007</v>
      </c>
      <c r="G18" s="394"/>
      <c r="H18" s="394">
        <f t="shared" si="1"/>
        <v>43204846.860000007</v>
      </c>
      <c r="I18" s="394">
        <f t="shared" si="2"/>
        <v>1080121.1715000002</v>
      </c>
      <c r="J18" s="393"/>
      <c r="K18" s="395">
        <v>46100</v>
      </c>
      <c r="L18" s="393">
        <f t="shared" si="3"/>
        <v>42124725.688500009</v>
      </c>
      <c r="M18" s="396"/>
      <c r="N18" s="404"/>
      <c r="O18" s="406" t="s">
        <v>160</v>
      </c>
      <c r="P18" s="439"/>
    </row>
    <row r="19" spans="2:17" s="399" customFormat="1" ht="20.100000000000001" customHeight="1" x14ac:dyDescent="0.25">
      <c r="B19" s="390" t="s">
        <v>161</v>
      </c>
      <c r="C19" s="403" t="s">
        <v>162</v>
      </c>
      <c r="D19" s="392">
        <v>127.05</v>
      </c>
      <c r="E19" s="393">
        <v>301539</v>
      </c>
      <c r="F19" s="394">
        <f t="shared" si="0"/>
        <v>38310529.949999996</v>
      </c>
      <c r="G19" s="394"/>
      <c r="H19" s="394">
        <f t="shared" si="1"/>
        <v>38310529.949999996</v>
      </c>
      <c r="I19" s="394">
        <f t="shared" si="2"/>
        <v>957763.2487499998</v>
      </c>
      <c r="J19" s="393"/>
      <c r="K19" s="395">
        <v>46106</v>
      </c>
      <c r="L19" s="393">
        <f t="shared" si="3"/>
        <v>37352766.701249994</v>
      </c>
      <c r="M19" s="396"/>
      <c r="N19" s="407"/>
      <c r="O19" s="406" t="s">
        <v>160</v>
      </c>
      <c r="P19" s="439"/>
      <c r="Q19" s="400"/>
    </row>
    <row r="20" spans="2:17" ht="20.100000000000001" customHeight="1" x14ac:dyDescent="0.25">
      <c r="B20" s="243" t="s">
        <v>165</v>
      </c>
      <c r="C20" s="298" t="s">
        <v>166</v>
      </c>
      <c r="D20" s="245">
        <v>98.31</v>
      </c>
      <c r="E20" s="299">
        <v>308516.69</v>
      </c>
      <c r="F20" s="258">
        <f t="shared" si="0"/>
        <v>30330275.793900002</v>
      </c>
      <c r="G20" s="258"/>
      <c r="H20" s="258">
        <f t="shared" si="1"/>
        <v>30330275.793900002</v>
      </c>
      <c r="I20" s="258">
        <f t="shared" si="2"/>
        <v>758256.89484750002</v>
      </c>
      <c r="J20" s="299"/>
      <c r="K20" s="388"/>
      <c r="L20" s="299">
        <f t="shared" si="3"/>
        <v>29572018.899052501</v>
      </c>
      <c r="M20" s="244"/>
      <c r="N20" s="246"/>
      <c r="Q20" s="247"/>
    </row>
    <row r="21" spans="2:17" ht="20.100000000000001" customHeight="1" x14ac:dyDescent="0.25">
      <c r="B21" s="243" t="s">
        <v>167</v>
      </c>
      <c r="C21" s="298" t="s">
        <v>168</v>
      </c>
      <c r="D21" s="245">
        <v>125.41</v>
      </c>
      <c r="E21" s="299">
        <v>310000</v>
      </c>
      <c r="F21" s="258">
        <f t="shared" si="0"/>
        <v>38877100</v>
      </c>
      <c r="G21" s="258"/>
      <c r="H21" s="258">
        <f t="shared" si="1"/>
        <v>38877100</v>
      </c>
      <c r="I21" s="258">
        <f t="shared" si="2"/>
        <v>971927.5</v>
      </c>
      <c r="J21" s="299"/>
      <c r="K21" s="388"/>
      <c r="L21" s="299">
        <f t="shared" si="3"/>
        <v>37905172.5</v>
      </c>
      <c r="M21" s="244"/>
      <c r="N21" s="246"/>
      <c r="O21" s="408"/>
      <c r="Q21" s="247"/>
    </row>
    <row r="22" spans="2:17" ht="20.100000000000001" customHeight="1" x14ac:dyDescent="0.25">
      <c r="B22" s="243" t="s">
        <v>172</v>
      </c>
      <c r="C22" s="298" t="s">
        <v>173</v>
      </c>
      <c r="D22" s="245">
        <v>79.7</v>
      </c>
      <c r="E22" s="299">
        <v>309057</v>
      </c>
      <c r="F22" s="258">
        <f t="shared" si="0"/>
        <v>24631842.900000002</v>
      </c>
      <c r="G22" s="258"/>
      <c r="H22" s="258">
        <f t="shared" si="1"/>
        <v>24631842.900000002</v>
      </c>
      <c r="I22" s="258">
        <f t="shared" si="2"/>
        <v>615796.07250000013</v>
      </c>
      <c r="J22" s="299"/>
      <c r="K22" s="388"/>
      <c r="L22" s="299">
        <f t="shared" si="3"/>
        <v>24016046.827500001</v>
      </c>
      <c r="M22" s="244"/>
      <c r="N22" s="246"/>
      <c r="Q22" s="247"/>
    </row>
    <row r="23" spans="2:17" ht="31.5" customHeight="1" x14ac:dyDescent="0.25">
      <c r="B23" s="243" t="s">
        <v>174</v>
      </c>
      <c r="C23" s="298" t="s">
        <v>175</v>
      </c>
      <c r="D23" s="245">
        <v>62.09</v>
      </c>
      <c r="E23" s="299">
        <v>309985</v>
      </c>
      <c r="F23" s="258">
        <f t="shared" si="0"/>
        <v>19246968.650000002</v>
      </c>
      <c r="G23" s="258"/>
      <c r="H23" s="258">
        <f t="shared" si="1"/>
        <v>19246968.650000002</v>
      </c>
      <c r="I23" s="258">
        <f t="shared" si="2"/>
        <v>481174.21625000006</v>
      </c>
      <c r="J23" s="299"/>
      <c r="K23" s="388"/>
      <c r="L23" s="299">
        <f t="shared" si="3"/>
        <v>18765794.433750004</v>
      </c>
      <c r="M23" s="244"/>
      <c r="N23" s="246"/>
      <c r="O23" s="232"/>
      <c r="P23" s="232"/>
      <c r="Q23" s="247"/>
    </row>
    <row r="24" spans="2:17" ht="20.100000000000001" customHeight="1" x14ac:dyDescent="0.25">
      <c r="B24" s="243" t="s">
        <v>176</v>
      </c>
      <c r="C24" s="371" t="s">
        <v>177</v>
      </c>
      <c r="D24" s="245">
        <v>149.63999999999999</v>
      </c>
      <c r="E24" s="299">
        <v>308870</v>
      </c>
      <c r="F24" s="258">
        <f t="shared" si="0"/>
        <v>46219306.799999997</v>
      </c>
      <c r="G24" s="258"/>
      <c r="H24" s="258">
        <f t="shared" si="1"/>
        <v>46219306.799999997</v>
      </c>
      <c r="I24" s="258">
        <f t="shared" si="2"/>
        <v>1155482.67</v>
      </c>
      <c r="J24" s="299"/>
      <c r="K24" s="388"/>
      <c r="L24" s="299">
        <f t="shared" si="3"/>
        <v>45063824.129999995</v>
      </c>
      <c r="M24" s="244"/>
      <c r="N24" s="246"/>
      <c r="O24" s="372"/>
      <c r="Q24" s="247"/>
    </row>
    <row r="25" spans="2:17" ht="20.100000000000001" customHeight="1" x14ac:dyDescent="0.25">
      <c r="B25" s="243" t="s">
        <v>178</v>
      </c>
      <c r="C25" s="371" t="s">
        <v>179</v>
      </c>
      <c r="D25" s="245">
        <v>149.63999999999999</v>
      </c>
      <c r="E25" s="299">
        <v>308592</v>
      </c>
      <c r="F25" s="258">
        <f t="shared" si="0"/>
        <v>46177706.879999995</v>
      </c>
      <c r="G25" s="258"/>
      <c r="H25" s="258">
        <f t="shared" si="1"/>
        <v>46177706.879999995</v>
      </c>
      <c r="I25" s="258">
        <f t="shared" si="2"/>
        <v>1154442.6719999998</v>
      </c>
      <c r="J25" s="299"/>
      <c r="K25" s="388"/>
      <c r="L25" s="299">
        <f t="shared" si="3"/>
        <v>45023264.207999997</v>
      </c>
      <c r="M25" s="244"/>
      <c r="N25" s="246"/>
      <c r="O25" s="372"/>
      <c r="Q25" s="247"/>
    </row>
    <row r="26" spans="2:17" ht="20.100000000000001" customHeight="1" x14ac:dyDescent="0.25">
      <c r="B26" s="243"/>
      <c r="C26" s="371"/>
      <c r="D26" s="245"/>
      <c r="E26" s="299"/>
      <c r="F26" s="258">
        <f t="shared" si="0"/>
        <v>0</v>
      </c>
      <c r="G26" s="258"/>
      <c r="H26" s="258">
        <f t="shared" si="1"/>
        <v>0</v>
      </c>
      <c r="I26" s="258">
        <f t="shared" si="2"/>
        <v>0</v>
      </c>
      <c r="J26" s="299"/>
      <c r="K26" s="388"/>
      <c r="L26" s="299">
        <f t="shared" si="3"/>
        <v>0</v>
      </c>
      <c r="M26" s="244"/>
      <c r="N26" s="246"/>
      <c r="O26" s="440"/>
      <c r="P26" s="441"/>
      <c r="Q26" s="247"/>
    </row>
    <row r="27" spans="2:17" ht="20.100000000000001" customHeight="1" x14ac:dyDescent="0.25">
      <c r="B27" s="243"/>
      <c r="C27" s="371"/>
      <c r="D27" s="245"/>
      <c r="E27" s="299"/>
      <c r="F27" s="258">
        <f t="shared" si="0"/>
        <v>0</v>
      </c>
      <c r="G27" s="258"/>
      <c r="H27" s="258">
        <f t="shared" si="1"/>
        <v>0</v>
      </c>
      <c r="I27" s="258">
        <f t="shared" si="2"/>
        <v>0</v>
      </c>
      <c r="J27" s="299"/>
      <c r="K27" s="388"/>
      <c r="L27" s="299">
        <f t="shared" si="3"/>
        <v>0</v>
      </c>
      <c r="M27" s="244"/>
      <c r="N27" s="246"/>
      <c r="O27" s="232"/>
      <c r="Q27" s="247"/>
    </row>
    <row r="28" spans="2:17" ht="20.100000000000001" customHeight="1" x14ac:dyDescent="0.25">
      <c r="B28" s="243"/>
      <c r="C28" s="371"/>
      <c r="D28" s="245"/>
      <c r="E28" s="299"/>
      <c r="F28" s="258">
        <f t="shared" si="0"/>
        <v>0</v>
      </c>
      <c r="G28" s="258"/>
      <c r="H28" s="258">
        <f t="shared" si="1"/>
        <v>0</v>
      </c>
      <c r="I28" s="258">
        <f t="shared" si="2"/>
        <v>0</v>
      </c>
      <c r="J28" s="299"/>
      <c r="K28" s="388"/>
      <c r="L28" s="299">
        <f t="shared" si="3"/>
        <v>0</v>
      </c>
      <c r="M28" s="244"/>
      <c r="N28" s="246"/>
      <c r="O28" s="232"/>
      <c r="Q28" s="247"/>
    </row>
    <row r="29" spans="2:17" ht="39.75" customHeight="1" x14ac:dyDescent="0.25">
      <c r="B29" s="437" t="s">
        <v>47</v>
      </c>
      <c r="C29" s="437"/>
      <c r="D29" s="248">
        <f t="shared" ref="D29:J29" si="4">SUM(D12:D28)</f>
        <v>1698.1799999999998</v>
      </c>
      <c r="E29" s="248">
        <f t="shared" si="4"/>
        <v>4319443.6899999995</v>
      </c>
      <c r="F29" s="248">
        <f t="shared" si="4"/>
        <v>523467174.83389997</v>
      </c>
      <c r="G29" s="248">
        <f t="shared" si="4"/>
        <v>0</v>
      </c>
      <c r="H29" s="248">
        <f t="shared" si="4"/>
        <v>523467174.83389997</v>
      </c>
      <c r="I29" s="248">
        <f t="shared" si="4"/>
        <v>13086679.370847501</v>
      </c>
      <c r="J29" s="248">
        <f t="shared" si="4"/>
        <v>0</v>
      </c>
      <c r="K29" s="248"/>
      <c r="L29" s="248">
        <f>SUM(L12:L28)</f>
        <v>510380495.46305257</v>
      </c>
      <c r="M29" s="299"/>
      <c r="N29" s="364">
        <f>+N28+N27+N26+N25+N24+N23+N22+N21+N20+N19</f>
        <v>0</v>
      </c>
    </row>
    <row r="30" spans="2:17" x14ac:dyDescent="0.25">
      <c r="G30" s="253"/>
      <c r="H30" s="253"/>
    </row>
    <row r="31" spans="2:17" x14ac:dyDescent="0.25">
      <c r="G31" s="253"/>
      <c r="H31" s="253"/>
      <c r="M31" s="232"/>
    </row>
  </sheetData>
  <mergeCells count="4">
    <mergeCell ref="B29:C29"/>
    <mergeCell ref="B3:H3"/>
    <mergeCell ref="P17:P19"/>
    <mergeCell ref="O26:P26"/>
  </mergeCells>
  <pageMargins left="0.7" right="0.7" top="0.75" bottom="0.75" header="0.3" footer="0.3"/>
  <pageSetup scale="60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12DE-C502-47E5-8CAA-7B89BD420723}">
  <sheetPr>
    <tabColor theme="9" tint="-0.249977111117893"/>
  </sheetPr>
  <dimension ref="B3:P46"/>
  <sheetViews>
    <sheetView topLeftCell="A22" workbookViewId="0">
      <selection activeCell="P40" sqref="P40"/>
    </sheetView>
  </sheetViews>
  <sheetFormatPr baseColWidth="10" defaultColWidth="11.140625" defaultRowHeight="15" x14ac:dyDescent="0.25"/>
  <cols>
    <col min="1" max="1" width="11.140625" style="227"/>
    <col min="2" max="2" width="7.85546875" style="249" customWidth="1"/>
    <col min="3" max="3" width="29.5703125" style="227" customWidth="1"/>
    <col min="4" max="4" width="11.85546875" style="227" bestFit="1" customWidth="1"/>
    <col min="5" max="5" width="12.85546875" style="227" customWidth="1"/>
    <col min="6" max="6" width="16" style="231" customWidth="1"/>
    <col min="7" max="7" width="14.140625" style="228" customWidth="1"/>
    <col min="8" max="10" width="14.140625" style="228" hidden="1" customWidth="1"/>
    <col min="11" max="11" width="1.140625" style="228" hidden="1" customWidth="1"/>
    <col min="12" max="12" width="16.140625" style="228" customWidth="1"/>
    <col min="13" max="13" width="13.85546875" style="227" hidden="1" customWidth="1"/>
    <col min="14" max="14" width="15.7109375" style="227" customWidth="1"/>
    <col min="15" max="15" width="15.7109375" style="228" bestFit="1" customWidth="1"/>
    <col min="16" max="16" width="26.140625" style="227" customWidth="1"/>
    <col min="17" max="17" width="12.5703125" style="227" bestFit="1" customWidth="1"/>
    <col min="18" max="16384" width="11.140625" style="227"/>
  </cols>
  <sheetData>
    <row r="3" spans="2:16" x14ac:dyDescent="0.25">
      <c r="B3" s="438" t="s">
        <v>137</v>
      </c>
      <c r="C3" s="438"/>
      <c r="D3" s="438"/>
      <c r="E3" s="438"/>
      <c r="F3" s="438"/>
      <c r="G3" s="438"/>
      <c r="H3" s="438"/>
      <c r="I3" s="438"/>
      <c r="J3" s="438"/>
      <c r="K3" s="438"/>
      <c r="L3" s="438"/>
    </row>
    <row r="5" spans="2:16" x14ac:dyDescent="0.25">
      <c r="B5" s="230"/>
      <c r="C5" s="230"/>
      <c r="D5" s="230"/>
      <c r="E5" s="230"/>
      <c r="F5" s="230"/>
      <c r="G5" s="231"/>
      <c r="H5" s="227"/>
      <c r="I5" s="232"/>
      <c r="J5" s="231"/>
      <c r="K5" s="230"/>
      <c r="L5" s="230"/>
      <c r="M5" s="230"/>
      <c r="N5" s="230"/>
      <c r="O5" s="230"/>
    </row>
    <row r="6" spans="2:16" x14ac:dyDescent="0.25">
      <c r="B6" s="230"/>
      <c r="C6" s="230"/>
      <c r="D6" s="230"/>
      <c r="E6" s="230"/>
      <c r="F6" s="230"/>
      <c r="G6" s="233" t="s">
        <v>70</v>
      </c>
      <c r="H6" s="233"/>
      <c r="I6" s="233"/>
      <c r="K6" s="230"/>
      <c r="L6" s="230"/>
      <c r="M6" s="230"/>
      <c r="N6" s="230"/>
      <c r="O6" s="230"/>
    </row>
    <row r="7" spans="2:16" x14ac:dyDescent="0.25">
      <c r="B7" s="230"/>
      <c r="C7" s="230"/>
      <c r="D7" s="230"/>
      <c r="E7" s="230"/>
      <c r="F7" s="230"/>
      <c r="G7" s="234" t="s">
        <v>138</v>
      </c>
      <c r="H7" s="234"/>
      <c r="I7" s="234"/>
      <c r="J7" s="235" t="e">
        <f>+#REF!-#REF!</f>
        <v>#REF!</v>
      </c>
      <c r="K7" s="236"/>
      <c r="L7" s="236"/>
      <c r="M7" s="236"/>
      <c r="N7" s="236"/>
      <c r="O7" s="236">
        <v>-209593412</v>
      </c>
      <c r="P7" s="232"/>
    </row>
    <row r="8" spans="2:16" x14ac:dyDescent="0.25">
      <c r="B8" s="230"/>
      <c r="C8" s="230"/>
      <c r="D8" s="230"/>
      <c r="E8" s="230"/>
      <c r="F8" s="230"/>
      <c r="G8" s="233"/>
      <c r="H8" s="233"/>
      <c r="I8" s="233"/>
      <c r="K8" s="230"/>
      <c r="L8" s="230"/>
      <c r="M8" s="230"/>
      <c r="N8" s="230"/>
      <c r="O8" s="227"/>
    </row>
    <row r="9" spans="2:16" x14ac:dyDescent="0.25">
      <c r="B9" s="230"/>
      <c r="C9" s="230"/>
      <c r="D9" s="230"/>
      <c r="E9" s="230"/>
      <c r="F9" s="230"/>
      <c r="G9" s="233"/>
      <c r="H9" s="233"/>
      <c r="I9" s="233"/>
      <c r="K9" s="230"/>
      <c r="L9" s="230"/>
      <c r="M9" s="230"/>
      <c r="N9" s="230"/>
      <c r="O9" s="227"/>
    </row>
    <row r="10" spans="2:16" x14ac:dyDescent="0.25"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</row>
    <row r="11" spans="2:16" ht="24" customHeight="1" x14ac:dyDescent="0.25">
      <c r="B11" s="237" t="s">
        <v>71</v>
      </c>
      <c r="C11" s="238" t="s">
        <v>72</v>
      </c>
      <c r="D11" s="238" t="s">
        <v>73</v>
      </c>
      <c r="E11" s="239" t="s">
        <v>74</v>
      </c>
      <c r="F11" s="240" t="s">
        <v>75</v>
      </c>
      <c r="G11" s="240" t="s">
        <v>76</v>
      </c>
      <c r="H11" s="240" t="s">
        <v>77</v>
      </c>
      <c r="I11" s="240" t="s">
        <v>78</v>
      </c>
      <c r="J11" s="240" t="s">
        <v>79</v>
      </c>
      <c r="K11" s="240" t="s">
        <v>80</v>
      </c>
      <c r="L11" s="240" t="s">
        <v>81</v>
      </c>
      <c r="M11" s="241"/>
      <c r="N11" s="242" t="s">
        <v>82</v>
      </c>
      <c r="O11" s="240" t="s">
        <v>83</v>
      </c>
    </row>
    <row r="12" spans="2:16" ht="24" customHeight="1" x14ac:dyDescent="0.25">
      <c r="B12" s="237"/>
      <c r="C12" s="244" t="s">
        <v>139</v>
      </c>
      <c r="D12" s="245"/>
      <c r="E12" s="246">
        <v>262500</v>
      </c>
      <c r="F12" s="246">
        <f t="shared" ref="F12" si="0">+D12*E12</f>
        <v>0</v>
      </c>
      <c r="G12" s="246">
        <f t="shared" ref="G12" si="1">+F12*2.5/100</f>
        <v>0</v>
      </c>
      <c r="H12" s="246"/>
      <c r="I12" s="246"/>
      <c r="J12" s="246"/>
      <c r="K12" s="246"/>
      <c r="L12" s="246">
        <f t="shared" ref="L12" si="2">+F12-G12</f>
        <v>0</v>
      </c>
      <c r="M12" s="241"/>
      <c r="N12" s="242"/>
      <c r="O12" s="240"/>
    </row>
    <row r="13" spans="2:16" x14ac:dyDescent="0.25">
      <c r="B13" s="243"/>
      <c r="C13" s="244"/>
      <c r="D13" s="245"/>
      <c r="E13" s="246"/>
      <c r="F13" s="246">
        <f>+D13*E13</f>
        <v>0</v>
      </c>
      <c r="G13" s="246">
        <f>+F13*2.5/100</f>
        <v>0</v>
      </c>
      <c r="H13" s="246" t="e">
        <f>+#REF!*0.15</f>
        <v>#REF!</v>
      </c>
      <c r="I13" s="246"/>
      <c r="J13" s="246"/>
      <c r="K13" s="246"/>
      <c r="L13" s="246">
        <f>+O7</f>
        <v>-209593412</v>
      </c>
      <c r="M13" s="241"/>
      <c r="N13" s="244"/>
      <c r="O13" s="246"/>
    </row>
    <row r="14" spans="2:16" ht="19.5" customHeight="1" x14ac:dyDescent="0.25">
      <c r="B14" s="243"/>
      <c r="C14" s="244"/>
      <c r="D14" s="245"/>
      <c r="E14" s="246"/>
      <c r="F14" s="246">
        <f>+D14*E14</f>
        <v>0</v>
      </c>
      <c r="G14" s="246">
        <f>+F14*2.5/100</f>
        <v>0</v>
      </c>
      <c r="H14" s="246"/>
      <c r="I14" s="246"/>
      <c r="J14" s="246"/>
      <c r="K14" s="246"/>
      <c r="L14" s="246">
        <f>+F14-G14</f>
        <v>0</v>
      </c>
      <c r="M14" s="241"/>
      <c r="N14" s="244">
        <v>46028</v>
      </c>
      <c r="O14" s="246">
        <v>150000000</v>
      </c>
      <c r="P14" s="227" t="s">
        <v>106</v>
      </c>
    </row>
    <row r="15" spans="2:16" ht="19.5" customHeight="1" x14ac:dyDescent="0.25">
      <c r="B15" s="243"/>
      <c r="C15" s="244"/>
      <c r="D15" s="245"/>
      <c r="E15" s="246"/>
      <c r="F15" s="246"/>
      <c r="G15" s="246"/>
      <c r="H15" s="246"/>
      <c r="I15" s="246"/>
      <c r="J15" s="246"/>
      <c r="K15" s="246"/>
      <c r="L15" s="246"/>
      <c r="M15" s="241"/>
      <c r="N15" s="244">
        <v>46030</v>
      </c>
      <c r="O15" s="246">
        <v>50000000</v>
      </c>
      <c r="P15" s="227" t="s">
        <v>106</v>
      </c>
    </row>
    <row r="16" spans="2:16" ht="19.5" customHeight="1" x14ac:dyDescent="0.25">
      <c r="B16" s="243"/>
      <c r="C16" s="244"/>
      <c r="D16" s="245"/>
      <c r="E16" s="246"/>
      <c r="F16" s="246"/>
      <c r="G16" s="246"/>
      <c r="H16" s="246"/>
      <c r="I16" s="246"/>
      <c r="J16" s="246"/>
      <c r="K16" s="246"/>
      <c r="L16" s="246"/>
      <c r="M16" s="241"/>
      <c r="N16" s="244">
        <v>46031</v>
      </c>
      <c r="O16" s="246">
        <v>50000000</v>
      </c>
      <c r="P16" s="227" t="s">
        <v>106</v>
      </c>
    </row>
    <row r="17" spans="2:16" ht="19.5" customHeight="1" x14ac:dyDescent="0.25">
      <c r="B17" s="243"/>
      <c r="C17" s="244"/>
      <c r="D17" s="245"/>
      <c r="E17" s="246"/>
      <c r="F17" s="246"/>
      <c r="G17" s="246"/>
      <c r="H17" s="246"/>
      <c r="I17" s="246"/>
      <c r="J17" s="246"/>
      <c r="K17" s="246"/>
      <c r="L17" s="246"/>
      <c r="M17" s="241"/>
      <c r="N17" s="244">
        <v>46038</v>
      </c>
      <c r="O17" s="246">
        <v>76426000</v>
      </c>
      <c r="P17" s="227" t="s">
        <v>128</v>
      </c>
    </row>
    <row r="18" spans="2:16" ht="19.5" customHeight="1" x14ac:dyDescent="0.25">
      <c r="B18" s="243"/>
      <c r="C18" s="244"/>
      <c r="D18" s="245"/>
      <c r="E18" s="246"/>
      <c r="F18" s="246"/>
      <c r="G18" s="246"/>
      <c r="H18" s="246"/>
      <c r="I18" s="246"/>
      <c r="J18" s="246"/>
      <c r="K18" s="246"/>
      <c r="L18" s="246"/>
      <c r="M18" s="241"/>
      <c r="N18" s="244">
        <v>46045</v>
      </c>
      <c r="O18" s="246">
        <v>200000000</v>
      </c>
      <c r="P18" s="227" t="s">
        <v>106</v>
      </c>
    </row>
    <row r="19" spans="2:16" ht="19.5" customHeight="1" x14ac:dyDescent="0.25">
      <c r="B19" s="243"/>
      <c r="C19" s="244" t="s">
        <v>140</v>
      </c>
      <c r="D19" s="245">
        <f>+'[8]PRECIO PROMEDIO ANDRES'!D35</f>
        <v>1355.27</v>
      </c>
      <c r="E19" s="246">
        <v>260000</v>
      </c>
      <c r="F19" s="246">
        <f>+D19*E19</f>
        <v>352370200</v>
      </c>
      <c r="G19" s="246">
        <f>+F19*2.5/100</f>
        <v>8809255</v>
      </c>
      <c r="H19" s="246"/>
      <c r="I19" s="246"/>
      <c r="J19" s="246"/>
      <c r="K19" s="246"/>
      <c r="L19" s="246">
        <f t="shared" ref="L19" si="3">+F19-G19</f>
        <v>343560945</v>
      </c>
      <c r="M19" s="241"/>
      <c r="N19" s="244"/>
      <c r="O19" s="246"/>
      <c r="P19" s="232"/>
    </row>
    <row r="20" spans="2:16" ht="19.5" customHeight="1" x14ac:dyDescent="0.25">
      <c r="B20" s="243"/>
      <c r="C20" s="244"/>
      <c r="D20" s="245"/>
      <c r="E20" s="246"/>
      <c r="F20" s="246"/>
      <c r="G20" s="246"/>
      <c r="H20" s="246"/>
      <c r="I20" s="246"/>
      <c r="J20" s="246"/>
      <c r="K20" s="246"/>
      <c r="L20" s="246"/>
      <c r="M20" s="241"/>
      <c r="N20" s="244">
        <v>46059</v>
      </c>
      <c r="O20" s="246">
        <v>150000000</v>
      </c>
      <c r="P20" s="227" t="s">
        <v>106</v>
      </c>
    </row>
    <row r="21" spans="2:16" ht="19.5" customHeight="1" x14ac:dyDescent="0.25">
      <c r="B21" s="243"/>
      <c r="C21" s="244"/>
      <c r="D21" s="245"/>
      <c r="E21" s="246"/>
      <c r="F21" s="246"/>
      <c r="G21" s="246"/>
      <c r="H21" s="246"/>
      <c r="I21" s="246"/>
      <c r="J21" s="246"/>
      <c r="K21" s="246"/>
      <c r="L21" s="246"/>
      <c r="M21" s="241"/>
      <c r="N21" s="244">
        <v>45701</v>
      </c>
      <c r="O21" s="246">
        <v>45000000</v>
      </c>
      <c r="P21" s="227" t="s">
        <v>106</v>
      </c>
    </row>
    <row r="22" spans="2:16" ht="19.5" customHeight="1" x14ac:dyDescent="0.25">
      <c r="B22" s="243"/>
      <c r="C22" s="244"/>
      <c r="D22" s="245"/>
      <c r="E22" s="248"/>
      <c r="F22" s="246"/>
      <c r="G22" s="246"/>
      <c r="H22" s="246"/>
      <c r="I22" s="246"/>
      <c r="J22" s="246"/>
      <c r="K22" s="246"/>
      <c r="L22" s="246"/>
      <c r="M22" s="241"/>
      <c r="N22" s="244">
        <v>46070</v>
      </c>
      <c r="O22" s="246">
        <v>15000000</v>
      </c>
      <c r="P22" s="227" t="s">
        <v>106</v>
      </c>
    </row>
    <row r="23" spans="2:16" ht="19.5" customHeight="1" x14ac:dyDescent="0.25">
      <c r="B23" s="243"/>
      <c r="C23" s="244"/>
      <c r="D23" s="245"/>
      <c r="E23" s="246"/>
      <c r="F23" s="246"/>
      <c r="G23" s="246"/>
      <c r="H23" s="246"/>
      <c r="I23" s="246"/>
      <c r="J23" s="246"/>
      <c r="K23" s="246"/>
      <c r="L23" s="246"/>
      <c r="M23" s="241"/>
      <c r="N23" s="244">
        <v>46074</v>
      </c>
      <c r="O23" s="246">
        <v>120000000</v>
      </c>
      <c r="P23" s="227" t="s">
        <v>106</v>
      </c>
    </row>
    <row r="24" spans="2:16" ht="19.5" customHeight="1" x14ac:dyDescent="0.25">
      <c r="B24" s="243"/>
      <c r="C24" s="244" t="s">
        <v>145</v>
      </c>
      <c r="D24" s="245">
        <v>1569.1</v>
      </c>
      <c r="E24" s="246">
        <f>+'[8]PRECIO PROMEDIO ANDRES'!K33</f>
        <v>260000.00000000003</v>
      </c>
      <c r="F24" s="246">
        <f>+D24*E24</f>
        <v>407966000</v>
      </c>
      <c r="G24" s="246">
        <f>+F24*2.5/100</f>
        <v>10199150</v>
      </c>
      <c r="H24" s="246"/>
      <c r="I24" s="246"/>
      <c r="J24" s="246"/>
      <c r="K24" s="246"/>
      <c r="L24" s="246">
        <f t="shared" ref="L24" si="4">+F24-G24</f>
        <v>397766850</v>
      </c>
      <c r="M24" s="241"/>
      <c r="N24" s="244"/>
      <c r="O24" s="246"/>
    </row>
    <row r="25" spans="2:16" ht="19.5" customHeight="1" x14ac:dyDescent="0.25">
      <c r="B25" s="243"/>
      <c r="C25" s="244"/>
      <c r="D25" s="245"/>
      <c r="E25" s="246"/>
      <c r="F25" s="246"/>
      <c r="G25" s="246"/>
      <c r="H25" s="246"/>
      <c r="I25" s="246"/>
      <c r="J25" s="246"/>
      <c r="K25" s="246"/>
      <c r="L25" s="246"/>
      <c r="M25" s="241"/>
      <c r="N25" s="244">
        <v>46088</v>
      </c>
      <c r="O25" s="246">
        <v>220000000</v>
      </c>
      <c r="P25" s="227" t="s">
        <v>106</v>
      </c>
    </row>
    <row r="26" spans="2:16" ht="19.5" customHeight="1" x14ac:dyDescent="0.25">
      <c r="B26" s="243"/>
      <c r="C26" s="244"/>
      <c r="D26" s="245"/>
      <c r="E26" s="246"/>
      <c r="F26" s="246"/>
      <c r="G26" s="246"/>
      <c r="H26" s="246"/>
      <c r="I26" s="246"/>
      <c r="J26" s="246"/>
      <c r="K26" s="246"/>
      <c r="L26" s="246"/>
      <c r="M26" s="241"/>
      <c r="N26" s="244">
        <v>46101</v>
      </c>
      <c r="O26" s="246">
        <v>130000000</v>
      </c>
      <c r="P26" s="227" t="s">
        <v>106</v>
      </c>
    </row>
    <row r="27" spans="2:16" ht="19.5" customHeight="1" x14ac:dyDescent="0.25">
      <c r="B27" s="243"/>
      <c r="C27" s="244" t="s">
        <v>146</v>
      </c>
      <c r="D27" s="245">
        <v>1560.15</v>
      </c>
      <c r="E27" s="246">
        <f>+'[8]PRECIO PROMEDIO ANDRES'!Q36</f>
        <v>259999.99999999997</v>
      </c>
      <c r="F27" s="246">
        <f>+D27*E27</f>
        <v>405639000</v>
      </c>
      <c r="G27" s="246">
        <f>+F27*2.5/100</f>
        <v>10140975</v>
      </c>
      <c r="H27" s="246"/>
      <c r="I27" s="246"/>
      <c r="J27" s="246"/>
      <c r="K27" s="246"/>
      <c r="L27" s="246">
        <f t="shared" ref="L27" si="5">+F27-G27</f>
        <v>395498025</v>
      </c>
      <c r="M27" s="241"/>
      <c r="N27" s="244"/>
      <c r="O27" s="246"/>
    </row>
    <row r="28" spans="2:16" ht="19.5" customHeight="1" x14ac:dyDescent="0.25">
      <c r="B28" s="243"/>
      <c r="C28" s="244"/>
      <c r="D28" s="245"/>
      <c r="E28" s="246"/>
      <c r="F28" s="246"/>
      <c r="G28" s="246"/>
      <c r="H28" s="246"/>
      <c r="I28" s="246"/>
      <c r="J28" s="246"/>
      <c r="K28" s="246"/>
      <c r="L28" s="246"/>
      <c r="M28" s="241"/>
      <c r="N28" s="244">
        <v>46119</v>
      </c>
      <c r="O28" s="246">
        <v>100000000</v>
      </c>
      <c r="P28" s="227" t="s">
        <v>106</v>
      </c>
    </row>
    <row r="29" spans="2:16" ht="19.5" customHeight="1" x14ac:dyDescent="0.25">
      <c r="B29" s="243"/>
      <c r="C29" s="244"/>
      <c r="D29" s="245"/>
      <c r="E29" s="246"/>
      <c r="F29" s="246"/>
      <c r="G29" s="246"/>
      <c r="H29" s="246"/>
      <c r="I29" s="246"/>
      <c r="J29" s="246"/>
      <c r="K29" s="246"/>
      <c r="L29" s="246"/>
      <c r="M29" s="241"/>
      <c r="N29" s="244">
        <v>46121</v>
      </c>
      <c r="O29" s="246">
        <v>100000000</v>
      </c>
      <c r="P29" s="227" t="s">
        <v>106</v>
      </c>
    </row>
    <row r="30" spans="2:16" ht="19.5" customHeight="1" x14ac:dyDescent="0.25">
      <c r="B30" s="243"/>
      <c r="C30" s="244"/>
      <c r="D30" s="245"/>
      <c r="E30" s="246"/>
      <c r="F30" s="246"/>
      <c r="G30" s="246"/>
      <c r="H30" s="246"/>
      <c r="I30" s="246"/>
      <c r="J30" s="246"/>
      <c r="K30" s="246"/>
      <c r="L30" s="246"/>
      <c r="M30" s="241"/>
      <c r="N30" s="244">
        <v>46127</v>
      </c>
      <c r="O30" s="246">
        <v>5692293</v>
      </c>
      <c r="P30" s="227" t="s">
        <v>128</v>
      </c>
    </row>
    <row r="31" spans="2:16" ht="19.5" customHeight="1" x14ac:dyDescent="0.25">
      <c r="B31" s="243"/>
      <c r="C31" s="244"/>
      <c r="D31" s="245"/>
      <c r="E31" s="246"/>
      <c r="F31" s="246"/>
      <c r="G31" s="246"/>
      <c r="H31" s="246"/>
      <c r="I31" s="246"/>
      <c r="J31" s="246"/>
      <c r="K31" s="246"/>
      <c r="L31" s="246"/>
      <c r="M31" s="241"/>
      <c r="N31" s="244">
        <v>46127</v>
      </c>
      <c r="O31" s="246">
        <v>62956900</v>
      </c>
      <c r="P31" s="227" t="s">
        <v>128</v>
      </c>
    </row>
    <row r="32" spans="2:16" ht="19.5" customHeight="1" x14ac:dyDescent="0.25">
      <c r="B32" s="243"/>
      <c r="C32" s="244"/>
      <c r="D32" s="245"/>
      <c r="E32" s="246"/>
      <c r="F32" s="246"/>
      <c r="G32" s="246"/>
      <c r="H32" s="246"/>
      <c r="I32" s="246"/>
      <c r="J32" s="246"/>
      <c r="K32" s="246"/>
      <c r="L32" s="246"/>
      <c r="M32" s="241"/>
      <c r="N32" s="244">
        <v>46133</v>
      </c>
      <c r="O32" s="246">
        <v>140000000</v>
      </c>
      <c r="P32" s="227" t="s">
        <v>106</v>
      </c>
    </row>
    <row r="33" spans="2:16" ht="19.5" customHeight="1" x14ac:dyDescent="0.25">
      <c r="B33" s="243"/>
      <c r="C33" s="244" t="s">
        <v>163</v>
      </c>
      <c r="D33" s="245">
        <f>+'[8]PRECIO PROMEDIO ANDRES'!V33</f>
        <v>1577.1299999999999</v>
      </c>
      <c r="E33" s="246">
        <f>+'[8]PRECIO PROMEDIO ANDRES'!W33</f>
        <v>270255</v>
      </c>
      <c r="F33" s="246">
        <f>+D33*E33</f>
        <v>426227268.14999998</v>
      </c>
      <c r="G33" s="246">
        <f>+F33*2.5/100</f>
        <v>10655681.703749999</v>
      </c>
      <c r="H33" s="246"/>
      <c r="I33" s="246"/>
      <c r="J33" s="246"/>
      <c r="K33" s="246"/>
      <c r="L33" s="246">
        <f t="shared" ref="L33" si="6">+F33-G33</f>
        <v>415571586.44624996</v>
      </c>
      <c r="M33" s="241"/>
      <c r="N33" s="244"/>
      <c r="O33" s="246"/>
    </row>
    <row r="34" spans="2:16" ht="19.5" customHeight="1" x14ac:dyDescent="0.25">
      <c r="B34" s="243"/>
      <c r="C34" s="244"/>
      <c r="D34" s="245"/>
      <c r="E34" s="246"/>
      <c r="F34" s="246"/>
      <c r="G34" s="246"/>
      <c r="H34" s="246"/>
      <c r="I34" s="246"/>
      <c r="J34" s="246"/>
      <c r="K34" s="246"/>
      <c r="L34" s="246"/>
      <c r="M34" s="241"/>
      <c r="N34" s="244">
        <v>45782</v>
      </c>
      <c r="O34" s="246">
        <v>250000000</v>
      </c>
      <c r="P34" s="227" t="s">
        <v>106</v>
      </c>
    </row>
    <row r="35" spans="2:16" ht="19.5" customHeight="1" x14ac:dyDescent="0.25">
      <c r="B35" s="243"/>
      <c r="C35" s="363"/>
      <c r="D35" s="245"/>
      <c r="E35" s="246"/>
      <c r="F35" s="246"/>
      <c r="G35" s="246"/>
      <c r="H35" s="246"/>
      <c r="I35" s="246"/>
      <c r="J35" s="246"/>
      <c r="K35" s="246"/>
      <c r="L35" s="246"/>
      <c r="M35" s="241"/>
      <c r="N35" s="244">
        <v>46157</v>
      </c>
      <c r="O35" s="246">
        <v>10798000</v>
      </c>
      <c r="P35" s="227" t="s">
        <v>128</v>
      </c>
    </row>
    <row r="36" spans="2:16" ht="19.5" customHeight="1" x14ac:dyDescent="0.25">
      <c r="B36" s="243"/>
      <c r="C36" s="244"/>
      <c r="D36" s="245"/>
      <c r="E36" s="246"/>
      <c r="F36" s="246"/>
      <c r="G36" s="246"/>
      <c r="H36" s="246"/>
      <c r="I36" s="246"/>
      <c r="J36" s="246"/>
      <c r="K36" s="246"/>
      <c r="L36" s="246"/>
      <c r="M36" s="241"/>
      <c r="N36" s="244">
        <v>46165</v>
      </c>
      <c r="O36" s="246">
        <v>106000000</v>
      </c>
      <c r="P36" s="227" t="s">
        <v>106</v>
      </c>
    </row>
    <row r="37" spans="2:16" ht="19.5" customHeight="1" x14ac:dyDescent="0.25">
      <c r="B37" s="243"/>
      <c r="C37" s="244"/>
      <c r="D37" s="245"/>
      <c r="E37" s="246"/>
      <c r="F37" s="246"/>
      <c r="G37" s="246"/>
      <c r="H37" s="246"/>
      <c r="I37" s="246"/>
      <c r="J37" s="246"/>
      <c r="K37" s="246"/>
      <c r="L37" s="246"/>
      <c r="M37" s="241"/>
      <c r="N37" s="244">
        <v>46165</v>
      </c>
      <c r="O37" s="246">
        <v>65000000</v>
      </c>
      <c r="P37" s="227" t="s">
        <v>169</v>
      </c>
    </row>
    <row r="38" spans="2:16" ht="19.5" customHeight="1" x14ac:dyDescent="0.25">
      <c r="B38" s="243"/>
      <c r="C38" s="244" t="s">
        <v>170</v>
      </c>
      <c r="D38" s="245">
        <f>+'[8]PRECIO PROMEDIO ANDRES'!AB34</f>
        <v>1569.3</v>
      </c>
      <c r="E38" s="246">
        <f>+'[8]PRECIO PROMEDIO ANDRES'!AC34</f>
        <v>270255.00000000006</v>
      </c>
      <c r="F38" s="246">
        <f>+D38*E38</f>
        <v>424111171.50000006</v>
      </c>
      <c r="G38" s="246">
        <f>+F38*2.5/100</f>
        <v>10602779.287500001</v>
      </c>
      <c r="H38" s="246"/>
      <c r="I38" s="246"/>
      <c r="J38" s="246"/>
      <c r="K38" s="246"/>
      <c r="L38" s="246">
        <f t="shared" ref="L38" si="7">+F38-G38</f>
        <v>413508392.21250004</v>
      </c>
      <c r="M38" s="241"/>
      <c r="N38" s="244"/>
      <c r="O38" s="246"/>
    </row>
    <row r="39" spans="2:16" ht="19.5" customHeight="1" x14ac:dyDescent="0.25">
      <c r="B39" s="243"/>
      <c r="C39" s="244"/>
      <c r="D39" s="245"/>
      <c r="E39" s="246"/>
      <c r="F39" s="246"/>
      <c r="G39" s="246"/>
      <c r="H39" s="246"/>
      <c r="I39" s="246"/>
      <c r="J39" s="246"/>
      <c r="K39" s="246"/>
      <c r="L39" s="246"/>
      <c r="M39" s="241"/>
      <c r="N39" s="244">
        <v>46178</v>
      </c>
      <c r="O39" s="246">
        <v>200000000</v>
      </c>
      <c r="P39" s="227" t="s">
        <v>106</v>
      </c>
    </row>
    <row r="40" spans="2:16" ht="19.5" customHeight="1" x14ac:dyDescent="0.25">
      <c r="B40" s="243"/>
      <c r="C40" s="244"/>
      <c r="D40" s="245"/>
      <c r="E40" s="246"/>
      <c r="F40" s="246"/>
      <c r="G40" s="246"/>
      <c r="H40" s="246"/>
      <c r="I40" s="246"/>
      <c r="J40" s="246"/>
      <c r="K40" s="246"/>
      <c r="L40" s="246"/>
      <c r="M40" s="241"/>
      <c r="N40" s="244">
        <v>46193</v>
      </c>
      <c r="O40" s="246">
        <v>170000000</v>
      </c>
      <c r="P40" s="227" t="s">
        <v>106</v>
      </c>
    </row>
    <row r="41" spans="2:16" ht="19.5" customHeight="1" x14ac:dyDescent="0.25">
      <c r="B41" s="243"/>
      <c r="C41" s="244" t="s">
        <v>171</v>
      </c>
      <c r="D41" s="245">
        <f>+'[8]PRECIO PROMEDIO ANDRES'!AH36</f>
        <v>926.96999999999991</v>
      </c>
      <c r="E41" s="246">
        <f>+'[8]PRECIO PROMEDIO ANDRES'!AC36</f>
        <v>270255.00000000006</v>
      </c>
      <c r="F41" s="246">
        <f>+D41*E41</f>
        <v>250518277.35000002</v>
      </c>
      <c r="G41" s="246">
        <f>+F41*2.5/100</f>
        <v>6262956.9337499999</v>
      </c>
      <c r="H41" s="246"/>
      <c r="I41" s="246"/>
      <c r="J41" s="246"/>
      <c r="K41" s="246"/>
      <c r="L41" s="246">
        <f t="shared" ref="L41" si="8">+F41-G41</f>
        <v>244255320.41625002</v>
      </c>
      <c r="M41" s="241"/>
      <c r="N41" s="244"/>
      <c r="O41" s="246"/>
    </row>
    <row r="42" spans="2:16" ht="19.5" customHeight="1" x14ac:dyDescent="0.25">
      <c r="B42" s="248">
        <f t="shared" ref="B42:C42" si="9">SUM(B12:B37)</f>
        <v>0</v>
      </c>
      <c r="C42" s="248">
        <f t="shared" si="9"/>
        <v>0</v>
      </c>
      <c r="D42" s="248">
        <f>SUM(D12:D41)</f>
        <v>8557.92</v>
      </c>
      <c r="E42" s="248">
        <f t="shared" ref="E42:M42" si="10">SUM(E12:E41)</f>
        <v>1853265</v>
      </c>
      <c r="F42" s="248">
        <f t="shared" si="10"/>
        <v>2266831917</v>
      </c>
      <c r="G42" s="248">
        <f t="shared" si="10"/>
        <v>56670797.924999997</v>
      </c>
      <c r="H42" s="248" t="e">
        <f t="shared" si="10"/>
        <v>#REF!</v>
      </c>
      <c r="I42" s="248">
        <f t="shared" si="10"/>
        <v>0</v>
      </c>
      <c r="J42" s="248">
        <f t="shared" si="10"/>
        <v>0</v>
      </c>
      <c r="K42" s="248">
        <f t="shared" si="10"/>
        <v>0</v>
      </c>
      <c r="L42" s="248">
        <f t="shared" si="10"/>
        <v>2000567707.075</v>
      </c>
      <c r="M42" s="248">
        <f t="shared" si="10"/>
        <v>0</v>
      </c>
      <c r="N42" s="248"/>
      <c r="O42" s="248">
        <f t="shared" ref="O42" si="11">SUM(O12:O41)</f>
        <v>2416873193</v>
      </c>
    </row>
    <row r="43" spans="2:16" ht="19.5" customHeight="1" x14ac:dyDescent="0.25">
      <c r="G43" s="231"/>
      <c r="H43" s="231"/>
      <c r="I43" s="231"/>
      <c r="J43" s="231"/>
      <c r="K43" s="231"/>
      <c r="L43" s="231"/>
      <c r="O43" s="231"/>
    </row>
    <row r="44" spans="2:16" ht="19.5" customHeight="1" x14ac:dyDescent="0.25">
      <c r="G44" s="231"/>
      <c r="H44" s="231"/>
      <c r="I44" s="231"/>
      <c r="J44" s="231"/>
      <c r="K44" s="231"/>
      <c r="L44" s="231"/>
      <c r="N44" s="232"/>
      <c r="O44" s="231"/>
    </row>
    <row r="45" spans="2:16" ht="19.5" customHeight="1" x14ac:dyDescent="0.25">
      <c r="L45" s="442" t="s">
        <v>70</v>
      </c>
      <c r="M45" s="442"/>
      <c r="N45" s="442"/>
      <c r="O45" s="250"/>
      <c r="P45" s="232"/>
    </row>
    <row r="46" spans="2:16" ht="19.5" customHeight="1" x14ac:dyDescent="0.25">
      <c r="E46" s="251"/>
      <c r="L46" s="442" t="s">
        <v>84</v>
      </c>
      <c r="M46" s="442"/>
      <c r="N46" s="442"/>
      <c r="O46" s="250">
        <f>+L42-O42</f>
        <v>-416305485.92499995</v>
      </c>
      <c r="P46" s="232"/>
    </row>
  </sheetData>
  <mergeCells count="3">
    <mergeCell ref="B3:L3"/>
    <mergeCell ref="L45:N45"/>
    <mergeCell ref="L46:N46"/>
  </mergeCells>
  <pageMargins left="0.7" right="0.7" top="0.75" bottom="0.75" header="0.3" footer="0.3"/>
  <pageSetup scale="60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9B99D-33A9-4548-AB9E-E35EFF6D478C}">
  <sheetPr>
    <tabColor theme="3" tint="0.39997558519241921"/>
  </sheetPr>
  <dimension ref="A13:Y93"/>
  <sheetViews>
    <sheetView topLeftCell="A7" workbookViewId="0">
      <pane xSplit="1" topLeftCell="B1" activePane="topRight" state="frozen"/>
      <selection activeCell="A14" sqref="A14"/>
      <selection pane="topRight" activeCell="F14" sqref="F14"/>
    </sheetView>
  </sheetViews>
  <sheetFormatPr baseColWidth="10" defaultRowHeight="15" x14ac:dyDescent="0.25"/>
  <cols>
    <col min="1" max="1" width="22" customWidth="1"/>
    <col min="2" max="2" width="16.42578125" style="25" customWidth="1"/>
    <col min="3" max="3" width="16" customWidth="1"/>
    <col min="4" max="4" width="12.7109375" customWidth="1"/>
    <col min="5" max="5" width="12.7109375" style="19" customWidth="1"/>
    <col min="6" max="6" width="16.140625" style="1" customWidth="1"/>
    <col min="7" max="7" width="14.5703125" customWidth="1"/>
    <col min="8" max="9" width="12.7109375" customWidth="1"/>
    <col min="10" max="12" width="14.5703125" style="1" customWidth="1"/>
    <col min="13" max="15" width="12.7109375" hidden="1" customWidth="1"/>
    <col min="16" max="16" width="21.140625" style="25" hidden="1" customWidth="1"/>
    <col min="17" max="19" width="17.140625" customWidth="1"/>
    <col min="20" max="20" width="17" customWidth="1"/>
    <col min="21" max="21" width="14.85546875" customWidth="1"/>
    <col min="22" max="22" width="12.5703125" bestFit="1" customWidth="1"/>
  </cols>
  <sheetData>
    <row r="13" spans="1:16" x14ac:dyDescent="0.25">
      <c r="F13" s="435" t="s">
        <v>136</v>
      </c>
      <c r="G13" s="435"/>
      <c r="H13" s="435"/>
      <c r="I13" s="435"/>
      <c r="J13" s="435"/>
      <c r="K13" s="18"/>
      <c r="L13" s="18"/>
      <c r="N13" s="18"/>
      <c r="P13" s="24"/>
    </row>
    <row r="15" spans="1:16" ht="15.75" thickBot="1" x14ac:dyDescent="0.3">
      <c r="A15" s="20" t="s">
        <v>43</v>
      </c>
      <c r="B15" s="22"/>
      <c r="C15" s="20"/>
      <c r="D15" s="20"/>
      <c r="E15" s="181"/>
      <c r="F15" s="21"/>
      <c r="G15" s="20"/>
      <c r="H15" s="20"/>
      <c r="I15" s="20"/>
      <c r="J15" s="21"/>
      <c r="K15" s="21"/>
      <c r="L15" s="21"/>
      <c r="M15" s="20"/>
      <c r="N15" s="20"/>
      <c r="O15" s="20"/>
      <c r="P15" s="22"/>
    </row>
    <row r="16" spans="1:16" ht="15.75" thickBot="1" x14ac:dyDescent="0.3">
      <c r="G16" s="27"/>
      <c r="H16" s="28"/>
      <c r="I16" s="28"/>
      <c r="J16" s="29"/>
      <c r="K16" s="166"/>
      <c r="L16" s="29"/>
    </row>
    <row r="17" spans="1:25" ht="47.25" customHeight="1" thickBot="1" x14ac:dyDescent="0.3">
      <c r="C17" s="472" t="s">
        <v>51</v>
      </c>
      <c r="D17" s="473"/>
      <c r="E17" s="473"/>
      <c r="F17" s="473"/>
      <c r="G17" s="474" t="s">
        <v>44</v>
      </c>
      <c r="H17" s="475"/>
      <c r="I17" s="475"/>
      <c r="J17" s="476"/>
      <c r="K17" s="161"/>
      <c r="L17" s="161"/>
      <c r="M17" s="477"/>
      <c r="N17" s="478"/>
      <c r="O17" s="478"/>
      <c r="P17" s="479"/>
      <c r="Q17" s="193" t="s">
        <v>61</v>
      </c>
      <c r="R17" s="194" t="s">
        <v>62</v>
      </c>
      <c r="S17" s="196" t="s">
        <v>60</v>
      </c>
      <c r="T17" s="198" t="s">
        <v>65</v>
      </c>
      <c r="U17" s="200" t="s">
        <v>66</v>
      </c>
    </row>
    <row r="18" spans="1:25" ht="30.75" thickBot="1" x14ac:dyDescent="0.3">
      <c r="A18" s="32" t="s">
        <v>30</v>
      </c>
      <c r="B18" s="203" t="s">
        <v>48</v>
      </c>
      <c r="C18" s="34" t="s">
        <v>53</v>
      </c>
      <c r="D18" s="35" t="s">
        <v>49</v>
      </c>
      <c r="E18" s="182" t="s">
        <v>50</v>
      </c>
      <c r="F18" s="36" t="s">
        <v>52</v>
      </c>
      <c r="G18" s="33" t="s">
        <v>45</v>
      </c>
      <c r="H18" s="37" t="s">
        <v>49</v>
      </c>
      <c r="I18" s="37" t="s">
        <v>50</v>
      </c>
      <c r="J18" s="180" t="s">
        <v>64</v>
      </c>
      <c r="K18" s="179" t="s">
        <v>63</v>
      </c>
      <c r="L18" s="38" t="s">
        <v>52</v>
      </c>
      <c r="M18" s="39" t="s">
        <v>53</v>
      </c>
      <c r="N18" s="40" t="s">
        <v>49</v>
      </c>
      <c r="O18" s="40" t="s">
        <v>50</v>
      </c>
      <c r="P18" s="41" t="s">
        <v>52</v>
      </c>
      <c r="Q18" s="42" t="s">
        <v>31</v>
      </c>
      <c r="R18" s="195" t="s">
        <v>31</v>
      </c>
      <c r="S18" s="197" t="s">
        <v>31</v>
      </c>
      <c r="T18" s="199" t="s">
        <v>54</v>
      </c>
      <c r="U18" s="201" t="s">
        <v>54</v>
      </c>
    </row>
    <row r="19" spans="1:25" x14ac:dyDescent="0.25">
      <c r="A19" s="449" t="s">
        <v>0</v>
      </c>
      <c r="B19" s="204">
        <f>+'PRODUC ACUMULADA'!B5</f>
        <v>1698.66</v>
      </c>
      <c r="C19" s="275"/>
      <c r="D19" s="52">
        <f>+'FACTURACION ANDRES'!D19</f>
        <v>1355.27</v>
      </c>
      <c r="E19" s="54">
        <f>+'FACTURACION ANDRES'!E19</f>
        <v>260000</v>
      </c>
      <c r="F19" s="53">
        <f>+D19*E19</f>
        <v>352370200</v>
      </c>
      <c r="G19" s="51" t="s">
        <v>110</v>
      </c>
      <c r="H19" s="52">
        <f>+'FACTURACION ACERIAS'!D12</f>
        <v>46.04</v>
      </c>
      <c r="I19" s="54">
        <f>+'FACTURACION ACERIAS'!E13</f>
        <v>308197</v>
      </c>
      <c r="J19" s="53">
        <f>+H19*I19</f>
        <v>14189389.879999999</v>
      </c>
      <c r="K19" s="167">
        <f>+'FACTURACION ACERIAS'!G13</f>
        <v>0</v>
      </c>
      <c r="L19" s="53">
        <f>+J19-K19</f>
        <v>14189389.879999999</v>
      </c>
      <c r="M19" s="55"/>
      <c r="N19" s="52"/>
      <c r="O19" s="52"/>
      <c r="P19" s="56">
        <f>+N19*O19</f>
        <v>0</v>
      </c>
      <c r="Q19" s="57">
        <f>+F19+L19+P19</f>
        <v>366559589.88</v>
      </c>
      <c r="R19" s="57"/>
      <c r="S19" s="57"/>
      <c r="T19" s="130">
        <f>+D19+H19+N19</f>
        <v>1401.31</v>
      </c>
      <c r="U19" s="141"/>
      <c r="V19" s="480" t="s">
        <v>0</v>
      </c>
    </row>
    <row r="20" spans="1:25" x14ac:dyDescent="0.25">
      <c r="A20" s="450"/>
      <c r="B20" s="205"/>
      <c r="C20" s="58"/>
      <c r="D20" s="59">
        <f>+'FACTURACION ANDRES'!D21</f>
        <v>0</v>
      </c>
      <c r="E20" s="61">
        <f>+'FACTURACION ANDRES'!E21</f>
        <v>0</v>
      </c>
      <c r="F20" s="60">
        <f t="shared" ref="F20:F39" si="0">+D20*E20</f>
        <v>0</v>
      </c>
      <c r="G20" s="58"/>
      <c r="H20" s="52">
        <f>+'FACTURACION ACERIAS'!D13+'FACTURACION ACERIAS'!D14</f>
        <v>321.85000000000002</v>
      </c>
      <c r="I20" s="54">
        <v>309908</v>
      </c>
      <c r="J20" s="53">
        <f>+H20*I20</f>
        <v>99743889.800000012</v>
      </c>
      <c r="K20" s="167">
        <f>+'FACTURACION ACERIAS'!G14</f>
        <v>0</v>
      </c>
      <c r="L20" s="53">
        <f>+J20-K20</f>
        <v>99743889.800000012</v>
      </c>
      <c r="M20" s="62"/>
      <c r="N20" s="59"/>
      <c r="O20" s="59"/>
      <c r="P20" s="63"/>
      <c r="Q20" s="57">
        <f t="shared" ref="Q20:Q42" si="1">+F20+L20+P20</f>
        <v>99743889.800000012</v>
      </c>
      <c r="R20" s="57">
        <f>+Q19+Q20</f>
        <v>466303479.68000001</v>
      </c>
      <c r="S20" s="57">
        <f>+ENERO!C53</f>
        <v>484201440.89896804</v>
      </c>
      <c r="T20" s="130">
        <f>+D20+H20</f>
        <v>321.85000000000002</v>
      </c>
      <c r="U20" s="142">
        <f>+T19+T20</f>
        <v>1723.1599999999999</v>
      </c>
      <c r="V20" s="481"/>
    </row>
    <row r="21" spans="1:25" x14ac:dyDescent="0.25">
      <c r="A21" s="451" t="s">
        <v>1</v>
      </c>
      <c r="B21" s="206">
        <f>+'PRODUC ACUMULADA'!B6</f>
        <v>1830.15</v>
      </c>
      <c r="C21" s="64"/>
      <c r="D21" s="65">
        <f>+'FACTURACION ANDRES'!D24</f>
        <v>1569.1</v>
      </c>
      <c r="E21" s="67">
        <f>+'FACTURACION ANDRES'!E24</f>
        <v>260000.00000000003</v>
      </c>
      <c r="F21" s="66">
        <f t="shared" si="0"/>
        <v>407966000</v>
      </c>
      <c r="G21" s="64"/>
      <c r="H21" s="65">
        <f>+'FACTURACION ACERIAS'!D15</f>
        <v>72.260000000000005</v>
      </c>
      <c r="I21" s="67">
        <f>+'FACTURACION ACERIAS'!E15</f>
        <v>310000</v>
      </c>
      <c r="J21" s="66">
        <f t="shared" ref="J21:J22" si="2">+H21*I21</f>
        <v>22400600</v>
      </c>
      <c r="K21" s="168">
        <f>+'FACTURACION ACERIAS'!G15</f>
        <v>0</v>
      </c>
      <c r="L21" s="66">
        <f t="shared" ref="L21:L24" si="3">+J21-K21</f>
        <v>22400600</v>
      </c>
      <c r="M21" s="68"/>
      <c r="N21" s="65"/>
      <c r="O21" s="65"/>
      <c r="P21" s="69">
        <f t="shared" ref="P21:P30" si="4">+N21*O21</f>
        <v>0</v>
      </c>
      <c r="Q21" s="70">
        <f>+F21+L21+P21</f>
        <v>430366600</v>
      </c>
      <c r="R21" s="70"/>
      <c r="S21" s="70"/>
      <c r="T21" s="131">
        <f>+D21+H21+N21</f>
        <v>1641.36</v>
      </c>
      <c r="U21" s="143"/>
      <c r="V21" s="482" t="s">
        <v>1</v>
      </c>
    </row>
    <row r="22" spans="1:25" x14ac:dyDescent="0.25">
      <c r="A22" s="452"/>
      <c r="B22" s="206"/>
      <c r="C22" s="64"/>
      <c r="D22" s="65">
        <f>+'FACTURACION ANDRES'!D41</f>
        <v>926.96999999999991</v>
      </c>
      <c r="E22" s="67">
        <f>+'FACTURACION ANDRES'!E41</f>
        <v>270255.00000000006</v>
      </c>
      <c r="F22" s="66">
        <f t="shared" si="0"/>
        <v>250518277.35000002</v>
      </c>
      <c r="G22" s="64"/>
      <c r="H22" s="65"/>
      <c r="I22" s="67"/>
      <c r="J22" s="66">
        <f t="shared" si="2"/>
        <v>0</v>
      </c>
      <c r="K22" s="168">
        <f>+'FACTURACION ACERIAS'!G16</f>
        <v>0</v>
      </c>
      <c r="L22" s="66">
        <f t="shared" si="3"/>
        <v>0</v>
      </c>
      <c r="M22" s="68"/>
      <c r="N22" s="65"/>
      <c r="O22" s="65"/>
      <c r="P22" s="69">
        <f t="shared" si="4"/>
        <v>0</v>
      </c>
      <c r="Q22" s="70">
        <f t="shared" si="1"/>
        <v>250518277.35000002</v>
      </c>
      <c r="R22" s="70">
        <f>+Q21+Q22</f>
        <v>680884877.35000002</v>
      </c>
      <c r="S22" s="70">
        <f>+FEBRERO!C53</f>
        <v>561681204.34554935</v>
      </c>
      <c r="T22" s="131">
        <f t="shared" ref="T22:T33" si="5">+D22+H22+N22</f>
        <v>926.96999999999991</v>
      </c>
      <c r="U22" s="144">
        <f>+T21+T22</f>
        <v>2568.33</v>
      </c>
      <c r="V22" s="482"/>
      <c r="X22" s="43"/>
    </row>
    <row r="23" spans="1:25" x14ac:dyDescent="0.25">
      <c r="A23" s="453" t="s">
        <v>2</v>
      </c>
      <c r="B23" s="207">
        <f>+'PRODUC ACUMULADA'!B7</f>
        <v>1898.77</v>
      </c>
      <c r="C23" s="71"/>
      <c r="D23" s="26">
        <f>+'FACTURACION ANDRES'!D27</f>
        <v>1560.15</v>
      </c>
      <c r="E23" s="73">
        <f>+'FACTURACION ANDRES'!E24</f>
        <v>260000.00000000003</v>
      </c>
      <c r="F23" s="72">
        <f t="shared" si="0"/>
        <v>405639000.00000006</v>
      </c>
      <c r="G23" s="71"/>
      <c r="H23" s="26">
        <f>+'FACTURACION ACERIAS'!D16+'FACTURACION ACERIAS'!D17</f>
        <v>325.42</v>
      </c>
      <c r="I23" s="73">
        <v>463074</v>
      </c>
      <c r="J23" s="72">
        <f t="shared" ref="J23:J36" si="6">+H23*I23</f>
        <v>150693541.08000001</v>
      </c>
      <c r="K23" s="169">
        <f>+'FACTURACION ACERIAS'!G17</f>
        <v>0</v>
      </c>
      <c r="L23" s="72">
        <f t="shared" si="3"/>
        <v>150693541.08000001</v>
      </c>
      <c r="M23" s="30"/>
      <c r="N23" s="26"/>
      <c r="O23" s="26"/>
      <c r="P23" s="31">
        <f t="shared" si="4"/>
        <v>0</v>
      </c>
      <c r="Q23" s="74">
        <f>+F23+L23+P23</f>
        <v>556332541.08000004</v>
      </c>
      <c r="R23" s="74"/>
      <c r="S23" s="74"/>
      <c r="T23" s="132">
        <f>+D23+H23+N23</f>
        <v>1885.5700000000002</v>
      </c>
      <c r="U23" s="145"/>
      <c r="V23" s="483" t="s">
        <v>2</v>
      </c>
    </row>
    <row r="24" spans="1:25" x14ac:dyDescent="0.25">
      <c r="A24" s="454"/>
      <c r="B24" s="207"/>
      <c r="C24" s="30"/>
      <c r="D24" s="26">
        <f>+'FACTURACION ANDRES'!D60</f>
        <v>0</v>
      </c>
      <c r="E24" s="73">
        <f>+'FACTURACION ANDRES'!E60</f>
        <v>0</v>
      </c>
      <c r="F24" s="72">
        <f t="shared" si="0"/>
        <v>0</v>
      </c>
      <c r="G24" s="30"/>
      <c r="H24" s="26">
        <f>+'FACTURACION ACERIAS'!D18+'FACTURACION ACERIAS'!D19</f>
        <v>267.82</v>
      </c>
      <c r="I24" s="73">
        <v>457688</v>
      </c>
      <c r="J24" s="72">
        <f t="shared" si="6"/>
        <v>122578000.16</v>
      </c>
      <c r="K24" s="169">
        <f>+'FACTURACION ACERIAS'!G17</f>
        <v>0</v>
      </c>
      <c r="L24" s="72">
        <f t="shared" si="3"/>
        <v>122578000.16</v>
      </c>
      <c r="M24" s="30"/>
      <c r="N24" s="26"/>
      <c r="O24" s="26"/>
      <c r="P24" s="31">
        <f t="shared" si="4"/>
        <v>0</v>
      </c>
      <c r="Q24" s="74">
        <f>+F24+L24+P24</f>
        <v>122578000.16</v>
      </c>
      <c r="R24" s="74">
        <f>+Q23+Q24</f>
        <v>678910541.24000001</v>
      </c>
      <c r="S24" s="74">
        <f>+MARZO!C53</f>
        <v>591548764.62592494</v>
      </c>
      <c r="T24" s="132">
        <f>+D24+H24+N24</f>
        <v>267.82</v>
      </c>
      <c r="U24" s="146">
        <f>+T23+T24</f>
        <v>2153.3900000000003</v>
      </c>
      <c r="V24" s="483"/>
      <c r="X24" s="43"/>
    </row>
    <row r="25" spans="1:25" x14ac:dyDescent="0.25">
      <c r="A25" s="455" t="s">
        <v>3</v>
      </c>
      <c r="B25" s="208">
        <f>+'PRODUC ACUMULADA'!B8</f>
        <v>1800.91</v>
      </c>
      <c r="C25" s="75"/>
      <c r="D25" s="76">
        <f>+'FACTURACION ANDRES'!D33</f>
        <v>1577.1299999999999</v>
      </c>
      <c r="E25" s="78">
        <f>+'FACTURACION ANDRES'!E33</f>
        <v>270255</v>
      </c>
      <c r="F25" s="77">
        <f t="shared" si="0"/>
        <v>426227268.14999998</v>
      </c>
      <c r="G25" s="75"/>
      <c r="H25" s="76">
        <f>+'FACTURACION ACERIAS'!D20</f>
        <v>98.31</v>
      </c>
      <c r="I25" s="78">
        <f>+'FACTURACION ACERIAS'!E20</f>
        <v>308516.69</v>
      </c>
      <c r="J25" s="77">
        <f t="shared" si="6"/>
        <v>30330275.793900002</v>
      </c>
      <c r="K25" s="170">
        <f>+'FACTURACION ACERIAS'!G18</f>
        <v>0</v>
      </c>
      <c r="L25" s="77">
        <f>++J25-K25</f>
        <v>30330275.793900002</v>
      </c>
      <c r="M25" s="75"/>
      <c r="N25" s="76"/>
      <c r="O25" s="76"/>
      <c r="P25" s="79">
        <f t="shared" si="4"/>
        <v>0</v>
      </c>
      <c r="Q25" s="80">
        <f>+F25+L25+P25</f>
        <v>456557543.94389999</v>
      </c>
      <c r="R25" s="80"/>
      <c r="S25" s="80"/>
      <c r="T25" s="133">
        <f>+D25+H25+N25</f>
        <v>1675.4399999999998</v>
      </c>
      <c r="U25" s="147"/>
      <c r="V25" s="159" t="s">
        <v>3</v>
      </c>
      <c r="X25" s="43"/>
    </row>
    <row r="26" spans="1:25" x14ac:dyDescent="0.25">
      <c r="A26" s="456"/>
      <c r="B26" s="208"/>
      <c r="C26" s="75"/>
      <c r="D26" s="76">
        <f>+'FACTURACION ANDRES'!D34</f>
        <v>0</v>
      </c>
      <c r="E26" s="78">
        <f>+'FACTURACION ANDRES'!E34</f>
        <v>0</v>
      </c>
      <c r="F26" s="77">
        <f t="shared" si="0"/>
        <v>0</v>
      </c>
      <c r="G26" s="75"/>
      <c r="H26" s="76">
        <v>78.709999999999994</v>
      </c>
      <c r="I26" s="78">
        <v>310000</v>
      </c>
      <c r="J26" s="77">
        <f t="shared" si="6"/>
        <v>24400099.999999996</v>
      </c>
      <c r="K26" s="170">
        <f>+'FACTURACION ACERIAS'!G19</f>
        <v>0</v>
      </c>
      <c r="L26" s="77">
        <f>++J26-K26</f>
        <v>24400099.999999996</v>
      </c>
      <c r="M26" s="75"/>
      <c r="N26" s="76"/>
      <c r="O26" s="76"/>
      <c r="P26" s="79"/>
      <c r="Q26" s="80">
        <f>+F26+L26+P26</f>
        <v>24400099.999999996</v>
      </c>
      <c r="R26" s="80">
        <f>+Q25+Q26</f>
        <v>480957643.94389999</v>
      </c>
      <c r="S26" s="80">
        <f>+ABRIL!C53</f>
        <v>587282335.74929869</v>
      </c>
      <c r="T26" s="133">
        <f>+D26+H26+N26</f>
        <v>78.709999999999994</v>
      </c>
      <c r="U26" s="147">
        <f>+T25+T26</f>
        <v>1754.1499999999999</v>
      </c>
      <c r="V26" s="129"/>
      <c r="X26" s="43"/>
    </row>
    <row r="27" spans="1:25" x14ac:dyDescent="0.25">
      <c r="A27" s="447" t="s">
        <v>46</v>
      </c>
      <c r="B27" s="209"/>
      <c r="C27" s="81"/>
      <c r="D27" s="82"/>
      <c r="E27" s="84"/>
      <c r="F27" s="83"/>
      <c r="G27" s="160"/>
      <c r="H27" s="82"/>
      <c r="I27" s="84"/>
      <c r="J27" s="83">
        <f t="shared" si="6"/>
        <v>0</v>
      </c>
      <c r="K27" s="171">
        <f>+'FACTURACION ACERIAS'!G20</f>
        <v>0</v>
      </c>
      <c r="L27" s="83">
        <f t="shared" ref="L27:L40" si="7">+J27-K27</f>
        <v>0</v>
      </c>
      <c r="M27" s="81"/>
      <c r="N27" s="82"/>
      <c r="O27" s="82"/>
      <c r="P27" s="85">
        <f t="shared" si="4"/>
        <v>0</v>
      </c>
      <c r="Q27" s="86">
        <f>+F27+L27+P27</f>
        <v>0</v>
      </c>
      <c r="R27" s="86">
        <v>0</v>
      </c>
      <c r="S27" s="86"/>
      <c r="T27" s="134">
        <f>+D27+H27+N27</f>
        <v>0</v>
      </c>
      <c r="U27" s="148"/>
      <c r="V27" s="447" t="s">
        <v>46</v>
      </c>
      <c r="X27" s="43"/>
    </row>
    <row r="28" spans="1:25" x14ac:dyDescent="0.25">
      <c r="A28" s="448"/>
      <c r="B28" s="209">
        <f>+'PRODUC ACUMULADA'!B9</f>
        <v>1964.1099999999997</v>
      </c>
      <c r="C28" s="81"/>
      <c r="D28" s="82">
        <f>+'FACTURACION ANDRES'!D38</f>
        <v>1569.3</v>
      </c>
      <c r="E28" s="84">
        <f>+'FACTURACION ANDRES'!E38</f>
        <v>270255.00000000006</v>
      </c>
      <c r="F28" s="83">
        <f>+D28*E28</f>
        <v>424111171.50000006</v>
      </c>
      <c r="G28" s="81"/>
      <c r="H28" s="82">
        <f>46.7+'FACTURACION ACERIAS'!D22+'FACTURACION ACERIAS'!D23+'FACTURACION ACERIAS'!D24+'FACTURACION ACERIAS'!D25</f>
        <v>487.77</v>
      </c>
      <c r="I28" s="84">
        <v>329409</v>
      </c>
      <c r="J28" s="83">
        <f t="shared" si="6"/>
        <v>160675827.93000001</v>
      </c>
      <c r="K28" s="171">
        <f>+'FACTURACION ACERIAS'!G21</f>
        <v>0</v>
      </c>
      <c r="L28" s="83">
        <f t="shared" si="7"/>
        <v>160675827.93000001</v>
      </c>
      <c r="M28" s="81"/>
      <c r="N28" s="82"/>
      <c r="O28" s="82"/>
      <c r="P28" s="85">
        <f t="shared" si="4"/>
        <v>0</v>
      </c>
      <c r="Q28" s="86">
        <f t="shared" si="1"/>
        <v>584786999.43000007</v>
      </c>
      <c r="R28" s="86">
        <f>+Q27+Q28</f>
        <v>584786999.43000007</v>
      </c>
      <c r="S28" s="86">
        <f>+MAYO!B53</f>
        <v>539115149.5087837</v>
      </c>
      <c r="T28" s="134">
        <f t="shared" si="5"/>
        <v>2057.0699999999997</v>
      </c>
      <c r="U28" s="148">
        <f>+T27+T28</f>
        <v>2057.0699999999997</v>
      </c>
      <c r="V28" s="448"/>
    </row>
    <row r="29" spans="1:25" x14ac:dyDescent="0.25">
      <c r="A29" s="457" t="s">
        <v>5</v>
      </c>
      <c r="B29" s="210">
        <f>+'PRODUC ACUMULADA'!B10</f>
        <v>926.96999999999991</v>
      </c>
      <c r="C29" s="87"/>
      <c r="D29" s="88">
        <f>+'FACTURACION ANDRES'!D48</f>
        <v>0</v>
      </c>
      <c r="E29" s="90">
        <f>+'FACTURACION ANDRES'!E48</f>
        <v>0</v>
      </c>
      <c r="F29" s="89">
        <f t="shared" si="0"/>
        <v>0</v>
      </c>
      <c r="G29" s="87"/>
      <c r="H29" s="88"/>
      <c r="I29" s="90"/>
      <c r="J29" s="89">
        <f t="shared" si="6"/>
        <v>0</v>
      </c>
      <c r="K29" s="172">
        <f>+'FACTURACION ACERIAS'!G22</f>
        <v>0</v>
      </c>
      <c r="L29" s="89">
        <f t="shared" si="7"/>
        <v>0</v>
      </c>
      <c r="M29" s="91"/>
      <c r="N29" s="88"/>
      <c r="O29" s="88"/>
      <c r="P29" s="92">
        <f t="shared" si="4"/>
        <v>0</v>
      </c>
      <c r="Q29" s="93">
        <f>+F29+L29+P29</f>
        <v>0</v>
      </c>
      <c r="R29" s="93"/>
      <c r="S29" s="93"/>
      <c r="T29" s="135">
        <f>+D29+H29+N29</f>
        <v>0</v>
      </c>
      <c r="U29" s="149"/>
      <c r="V29" s="484" t="s">
        <v>5</v>
      </c>
    </row>
    <row r="30" spans="1:25" x14ac:dyDescent="0.25">
      <c r="A30" s="458"/>
      <c r="B30" s="210"/>
      <c r="C30" s="87"/>
      <c r="D30" s="88"/>
      <c r="E30" s="90"/>
      <c r="F30" s="89"/>
      <c r="G30" s="87"/>
      <c r="H30" s="88"/>
      <c r="I30" s="90"/>
      <c r="J30" s="89">
        <f t="shared" si="6"/>
        <v>0</v>
      </c>
      <c r="K30" s="172">
        <f>+'FACTURACION ACERIAS'!G30</f>
        <v>0</v>
      </c>
      <c r="L30" s="89">
        <f t="shared" si="7"/>
        <v>0</v>
      </c>
      <c r="M30" s="91"/>
      <c r="N30" s="88"/>
      <c r="O30" s="88"/>
      <c r="P30" s="92">
        <f t="shared" si="4"/>
        <v>0</v>
      </c>
      <c r="Q30" s="93">
        <f t="shared" si="1"/>
        <v>0</v>
      </c>
      <c r="R30" s="93">
        <f>+Q29+Q30</f>
        <v>0</v>
      </c>
      <c r="S30" s="93">
        <f>+JUNIO!B51</f>
        <v>0</v>
      </c>
      <c r="T30" s="135">
        <f t="shared" si="5"/>
        <v>0</v>
      </c>
      <c r="U30" s="150">
        <f>+T29+T30</f>
        <v>0</v>
      </c>
      <c r="V30" s="484"/>
      <c r="X30" s="43"/>
      <c r="Y30" s="43"/>
    </row>
    <row r="31" spans="1:25" x14ac:dyDescent="0.25">
      <c r="A31" s="459" t="s">
        <v>7</v>
      </c>
      <c r="B31" s="211">
        <f>+'PRODUC ACUMULADA'!B11</f>
        <v>0</v>
      </c>
      <c r="C31" s="94"/>
      <c r="D31" s="95">
        <f>+'FACTURACION ANDRES'!D53</f>
        <v>0</v>
      </c>
      <c r="E31" s="97">
        <f>+'FACTURACION ANDRES'!E53</f>
        <v>0</v>
      </c>
      <c r="F31" s="96">
        <f t="shared" si="0"/>
        <v>0</v>
      </c>
      <c r="G31" s="94"/>
      <c r="H31" s="95"/>
      <c r="I31" s="97"/>
      <c r="J31" s="96">
        <f t="shared" si="6"/>
        <v>0</v>
      </c>
      <c r="K31" s="173">
        <f>+'FACTURACION ACERIAS'!G33</f>
        <v>0</v>
      </c>
      <c r="L31" s="96">
        <f t="shared" si="7"/>
        <v>0</v>
      </c>
      <c r="M31" s="98"/>
      <c r="N31" s="95"/>
      <c r="O31" s="95"/>
      <c r="P31" s="99"/>
      <c r="Q31" s="100">
        <f>+F31+L31+P31</f>
        <v>0</v>
      </c>
      <c r="R31" s="100"/>
      <c r="S31" s="100"/>
      <c r="T31" s="136">
        <f>+D31+H31+N31</f>
        <v>0</v>
      </c>
      <c r="U31" s="151"/>
      <c r="V31" s="471" t="s">
        <v>7</v>
      </c>
      <c r="X31" s="43"/>
      <c r="Y31" s="43"/>
    </row>
    <row r="32" spans="1:25" x14ac:dyDescent="0.25">
      <c r="A32" s="460"/>
      <c r="B32" s="211"/>
      <c r="C32" s="94"/>
      <c r="D32" s="95">
        <f>+'FACTURACION ANDRES'!D68</f>
        <v>0</v>
      </c>
      <c r="E32" s="97">
        <f>+'FACTURACION ANDRES'!E68</f>
        <v>0</v>
      </c>
      <c r="F32" s="96">
        <f t="shared" si="0"/>
        <v>0</v>
      </c>
      <c r="G32" s="94"/>
      <c r="H32" s="95"/>
      <c r="I32" s="97"/>
      <c r="J32" s="96">
        <f t="shared" si="6"/>
        <v>0</v>
      </c>
      <c r="K32" s="173">
        <f>+'FACTURACION ACERIAS'!G32</f>
        <v>0</v>
      </c>
      <c r="L32" s="96">
        <f t="shared" si="7"/>
        <v>0</v>
      </c>
      <c r="M32" s="98"/>
      <c r="N32" s="95"/>
      <c r="O32" s="95"/>
      <c r="P32" s="99"/>
      <c r="Q32" s="100">
        <f t="shared" si="1"/>
        <v>0</v>
      </c>
      <c r="R32" s="100">
        <f>+Q31+Q32</f>
        <v>0</v>
      </c>
      <c r="S32" s="100">
        <f>+JULIO!B51</f>
        <v>0</v>
      </c>
      <c r="T32" s="136">
        <f t="shared" si="5"/>
        <v>0</v>
      </c>
      <c r="U32" s="152">
        <f>+T31+T32</f>
        <v>0</v>
      </c>
      <c r="V32" s="471"/>
    </row>
    <row r="33" spans="1:25" x14ac:dyDescent="0.25">
      <c r="A33" s="467" t="s">
        <v>8</v>
      </c>
      <c r="B33" s="212">
        <f>+'PRODUC ACUMULADA'!B12</f>
        <v>0</v>
      </c>
      <c r="C33" s="101"/>
      <c r="D33" s="102">
        <f>+'FACTURACION ANDRES'!D59</f>
        <v>0</v>
      </c>
      <c r="E33" s="104">
        <f>+'FACTURACION ANDRES'!E59</f>
        <v>0</v>
      </c>
      <c r="F33" s="103">
        <f t="shared" si="0"/>
        <v>0</v>
      </c>
      <c r="G33" s="101"/>
      <c r="H33" s="102"/>
      <c r="I33" s="104"/>
      <c r="J33" s="103">
        <f t="shared" si="6"/>
        <v>0</v>
      </c>
      <c r="K33" s="174">
        <f>+'FACTURACION ACERIAS'!G33</f>
        <v>0</v>
      </c>
      <c r="L33" s="103">
        <f t="shared" si="7"/>
        <v>0</v>
      </c>
      <c r="M33" s="105"/>
      <c r="N33" s="102"/>
      <c r="O33" s="102"/>
      <c r="P33" s="106"/>
      <c r="Q33" s="107">
        <f>+F33+L33+P33</f>
        <v>0</v>
      </c>
      <c r="R33" s="107"/>
      <c r="S33" s="107"/>
      <c r="T33" s="137">
        <f t="shared" si="5"/>
        <v>0</v>
      </c>
      <c r="U33" s="153"/>
      <c r="V33" s="461" t="s">
        <v>8</v>
      </c>
      <c r="X33" s="43"/>
    </row>
    <row r="34" spans="1:25" x14ac:dyDescent="0.25">
      <c r="A34" s="468"/>
      <c r="B34" s="212"/>
      <c r="C34" s="101"/>
      <c r="D34" s="102"/>
      <c r="E34" s="104"/>
      <c r="F34" s="103"/>
      <c r="G34" s="101"/>
      <c r="H34" s="102"/>
      <c r="I34" s="104"/>
      <c r="J34" s="103">
        <f t="shared" si="6"/>
        <v>0</v>
      </c>
      <c r="K34" s="174"/>
      <c r="L34" s="103">
        <f t="shared" si="7"/>
        <v>0</v>
      </c>
      <c r="M34" s="105"/>
      <c r="N34" s="102"/>
      <c r="O34" s="102"/>
      <c r="P34" s="106"/>
      <c r="Q34" s="107">
        <f t="shared" si="1"/>
        <v>0</v>
      </c>
      <c r="R34" s="107">
        <f>+Q33+Q34</f>
        <v>0</v>
      </c>
      <c r="S34" s="107">
        <f>+AGOSTO!B51</f>
        <v>0</v>
      </c>
      <c r="T34" s="137">
        <f t="shared" ref="T34:T37" si="8">+D34+H34+N34</f>
        <v>0</v>
      </c>
      <c r="U34" s="154">
        <f>+T33+T34</f>
        <v>0</v>
      </c>
      <c r="V34" s="461"/>
    </row>
    <row r="35" spans="1:25" x14ac:dyDescent="0.25">
      <c r="A35" s="469" t="s">
        <v>9</v>
      </c>
      <c r="B35" s="213">
        <f>+SEPTIEMBRE!B15</f>
        <v>0</v>
      </c>
      <c r="C35" s="108"/>
      <c r="D35" s="109">
        <f>+'FACTURACION ANDRES'!D62</f>
        <v>0</v>
      </c>
      <c r="E35" s="111">
        <f>+'FACTURACION ANDRES'!E62</f>
        <v>0</v>
      </c>
      <c r="F35" s="110">
        <f t="shared" si="0"/>
        <v>0</v>
      </c>
      <c r="G35" s="108"/>
      <c r="H35" s="109"/>
      <c r="I35" s="111"/>
      <c r="J35" s="110">
        <f t="shared" si="6"/>
        <v>0</v>
      </c>
      <c r="K35" s="175">
        <f>+'FACTURACION ACERIAS'!G37</f>
        <v>0</v>
      </c>
      <c r="L35" s="110">
        <f t="shared" si="7"/>
        <v>0</v>
      </c>
      <c r="M35" s="112"/>
      <c r="N35" s="109"/>
      <c r="O35" s="109"/>
      <c r="P35" s="113"/>
      <c r="Q35" s="114">
        <f>+F35+L35+P35</f>
        <v>0</v>
      </c>
      <c r="R35" s="114"/>
      <c r="S35" s="114"/>
      <c r="T35" s="138">
        <f t="shared" si="8"/>
        <v>0</v>
      </c>
      <c r="U35" s="155"/>
      <c r="V35" s="462" t="s">
        <v>9</v>
      </c>
    </row>
    <row r="36" spans="1:25" x14ac:dyDescent="0.25">
      <c r="A36" s="470"/>
      <c r="B36" s="213">
        <f>+'PRODUC ACUMULADA'!B13</f>
        <v>0</v>
      </c>
      <c r="C36" s="108"/>
      <c r="D36" s="109">
        <f>+'FACTURACION ANDRES'!D63</f>
        <v>0</v>
      </c>
      <c r="E36" s="111">
        <f>+'FACTURACION ANDRES'!E63</f>
        <v>0</v>
      </c>
      <c r="F36" s="110">
        <f t="shared" si="0"/>
        <v>0</v>
      </c>
      <c r="G36" s="108"/>
      <c r="H36" s="109"/>
      <c r="I36" s="111"/>
      <c r="J36" s="110">
        <f t="shared" si="6"/>
        <v>0</v>
      </c>
      <c r="K36" s="175">
        <f>+'FACTURACION ACERIAS'!G38</f>
        <v>0</v>
      </c>
      <c r="L36" s="110">
        <f t="shared" si="7"/>
        <v>0</v>
      </c>
      <c r="M36" s="112"/>
      <c r="N36" s="109"/>
      <c r="O36" s="109"/>
      <c r="P36" s="113"/>
      <c r="Q36" s="114">
        <f>+F36+L36+P36</f>
        <v>0</v>
      </c>
      <c r="R36" s="114">
        <f>+Q35+Q36</f>
        <v>0</v>
      </c>
      <c r="S36" s="114">
        <f>+SEPTIEMBRE!B51</f>
        <v>0</v>
      </c>
      <c r="T36" s="138">
        <f t="shared" si="8"/>
        <v>0</v>
      </c>
      <c r="U36" s="156">
        <f>+T35+T36</f>
        <v>0</v>
      </c>
      <c r="V36" s="462"/>
      <c r="X36" s="43"/>
      <c r="Y36" s="43"/>
    </row>
    <row r="37" spans="1:25" x14ac:dyDescent="0.25">
      <c r="A37" s="443" t="s">
        <v>10</v>
      </c>
      <c r="B37" s="214"/>
      <c r="C37" s="115"/>
      <c r="D37" s="116">
        <f>+'FACTURACION ANDRES'!D107</f>
        <v>0</v>
      </c>
      <c r="E37" s="119">
        <f>+'FACTURACION ANDRES'!E107</f>
        <v>0</v>
      </c>
      <c r="F37" s="117">
        <f t="shared" si="0"/>
        <v>0</v>
      </c>
      <c r="G37" s="118"/>
      <c r="H37" s="116"/>
      <c r="I37" s="119"/>
      <c r="J37" s="117">
        <f>+H37*I37</f>
        <v>0</v>
      </c>
      <c r="K37" s="176">
        <f>+'FACTURACION ACERIAS'!G39</f>
        <v>0</v>
      </c>
      <c r="L37" s="117">
        <f t="shared" si="7"/>
        <v>0</v>
      </c>
      <c r="M37" s="115"/>
      <c r="N37" s="116"/>
      <c r="O37" s="116"/>
      <c r="P37" s="120"/>
      <c r="Q37" s="121">
        <f>+F37+L37+P37</f>
        <v>0</v>
      </c>
      <c r="R37" s="121"/>
      <c r="S37" s="121"/>
      <c r="T37" s="139">
        <f t="shared" si="8"/>
        <v>0</v>
      </c>
      <c r="U37" s="157"/>
      <c r="V37" s="466" t="s">
        <v>10</v>
      </c>
    </row>
    <row r="38" spans="1:25" x14ac:dyDescent="0.25">
      <c r="A38" s="444"/>
      <c r="B38" s="214"/>
      <c r="C38" s="115"/>
      <c r="D38" s="116">
        <f>+'FACTURACION ANDRES'!D70</f>
        <v>0</v>
      </c>
      <c r="E38" s="119">
        <f>+'FACTURACION ANDRES'!E70</f>
        <v>0</v>
      </c>
      <c r="F38" s="117">
        <f t="shared" si="0"/>
        <v>0</v>
      </c>
      <c r="G38" s="118"/>
      <c r="H38" s="116"/>
      <c r="I38" s="119"/>
      <c r="J38" s="117">
        <f>+H38*I38</f>
        <v>0</v>
      </c>
      <c r="K38" s="176">
        <f>+'FACTURACION ACERIAS'!G40</f>
        <v>0</v>
      </c>
      <c r="L38" s="117">
        <f t="shared" si="7"/>
        <v>0</v>
      </c>
      <c r="M38" s="115"/>
      <c r="N38" s="116"/>
      <c r="O38" s="116"/>
      <c r="P38" s="120"/>
      <c r="Q38" s="121">
        <f t="shared" si="1"/>
        <v>0</v>
      </c>
      <c r="R38" s="121">
        <f>+Q37+Q38</f>
        <v>0</v>
      </c>
      <c r="S38" s="121">
        <f>+'OCTUBRE '!B51</f>
        <v>0</v>
      </c>
      <c r="T38" s="139">
        <f t="shared" ref="T38:T42" si="9">+D38+H38+N38</f>
        <v>0</v>
      </c>
      <c r="U38" s="158">
        <f>+T37+T38</f>
        <v>0</v>
      </c>
      <c r="V38" s="466"/>
      <c r="X38" s="43"/>
    </row>
    <row r="39" spans="1:25" x14ac:dyDescent="0.25">
      <c r="A39" s="463" t="s">
        <v>11</v>
      </c>
      <c r="B39" s="215">
        <f>+NOVIEMBRE!B15</f>
        <v>0</v>
      </c>
      <c r="C39" s="122"/>
      <c r="D39" s="123">
        <f>+'FACTURACION ANDRES'!D74</f>
        <v>0</v>
      </c>
      <c r="E39" s="125">
        <f>+'FACTURACION ANDRES'!E74</f>
        <v>0</v>
      </c>
      <c r="F39" s="124">
        <f t="shared" si="0"/>
        <v>0</v>
      </c>
      <c r="G39" s="122"/>
      <c r="H39" s="123"/>
      <c r="I39" s="125"/>
      <c r="J39" s="124">
        <f t="shared" ref="J39:J40" si="10">+H39*I39</f>
        <v>0</v>
      </c>
      <c r="K39" s="177">
        <f>+'FACTURACION ACERIAS'!G41</f>
        <v>0</v>
      </c>
      <c r="L39" s="124">
        <f t="shared" si="7"/>
        <v>0</v>
      </c>
      <c r="M39" s="122"/>
      <c r="N39" s="123"/>
      <c r="O39" s="123"/>
      <c r="P39" s="126"/>
      <c r="Q39" s="127">
        <f t="shared" si="1"/>
        <v>0</v>
      </c>
      <c r="R39" s="127"/>
      <c r="S39" s="127"/>
      <c r="T39" s="140">
        <f t="shared" si="9"/>
        <v>0</v>
      </c>
      <c r="U39" s="191"/>
      <c r="V39" s="463" t="s">
        <v>11</v>
      </c>
      <c r="Y39" s="43"/>
    </row>
    <row r="40" spans="1:25" x14ac:dyDescent="0.25">
      <c r="A40" s="464"/>
      <c r="B40" s="215">
        <f>+'PRODUC ACUMULADA'!B15</f>
        <v>0</v>
      </c>
      <c r="C40" s="122"/>
      <c r="D40" s="123">
        <f>+'FACTURACION ANDRES'!D75</f>
        <v>0</v>
      </c>
      <c r="E40" s="125">
        <f>+'FACTURACION ANDRES'!E75</f>
        <v>0</v>
      </c>
      <c r="F40" s="124">
        <f t="shared" ref="F40" si="11">+D40*E40</f>
        <v>0</v>
      </c>
      <c r="G40" s="122"/>
      <c r="H40" s="163"/>
      <c r="I40" s="164"/>
      <c r="J40" s="124">
        <f t="shared" si="10"/>
        <v>0</v>
      </c>
      <c r="K40" s="178">
        <f>+'FACTURACION ACERIAS'!G42</f>
        <v>0</v>
      </c>
      <c r="L40" s="124">
        <f t="shared" si="7"/>
        <v>0</v>
      </c>
      <c r="M40" s="162"/>
      <c r="N40" s="163"/>
      <c r="O40" s="163"/>
      <c r="P40" s="165"/>
      <c r="Q40" s="127">
        <f t="shared" si="1"/>
        <v>0</v>
      </c>
      <c r="R40" s="127">
        <f>+Q39+Q40</f>
        <v>0</v>
      </c>
      <c r="S40" s="127">
        <f>+NOVIEMBRE!B51</f>
        <v>0</v>
      </c>
      <c r="T40" s="140">
        <f t="shared" si="9"/>
        <v>0</v>
      </c>
      <c r="U40" s="192">
        <f>+T39+T40</f>
        <v>0</v>
      </c>
      <c r="V40" s="465"/>
      <c r="Y40" s="43"/>
    </row>
    <row r="41" spans="1:25" x14ac:dyDescent="0.25">
      <c r="A41" s="128" t="s">
        <v>12</v>
      </c>
      <c r="B41" s="216">
        <f>+'PRODUC ACUMULADA'!B16</f>
        <v>0</v>
      </c>
      <c r="C41" s="185"/>
      <c r="D41" s="186">
        <f>+'FACTURACION ANDRES'!D79</f>
        <v>0</v>
      </c>
      <c r="E41" s="187">
        <f>+'FACTURACION ANDRES'!E79</f>
        <v>0</v>
      </c>
      <c r="F41" s="188">
        <f t="shared" ref="F41" si="12">+D41*E41</f>
        <v>0</v>
      </c>
      <c r="G41" s="185"/>
      <c r="H41" s="186"/>
      <c r="I41" s="187"/>
      <c r="J41" s="188">
        <f>+H41*I41</f>
        <v>0</v>
      </c>
      <c r="K41" s="188">
        <f>+'FACTURACION ACERIAS'!G43</f>
        <v>0</v>
      </c>
      <c r="L41" s="188">
        <f>+J41-K41</f>
        <v>0</v>
      </c>
      <c r="M41" s="185"/>
      <c r="N41" s="186"/>
      <c r="O41" s="186"/>
      <c r="P41" s="189"/>
      <c r="Q41" s="190">
        <f t="shared" si="1"/>
        <v>0</v>
      </c>
      <c r="R41" s="190">
        <f>+Q41+Q42</f>
        <v>0</v>
      </c>
      <c r="S41" s="190">
        <f>+DICIEMBRE!B51</f>
        <v>0</v>
      </c>
      <c r="T41" s="190">
        <f>+D41+H41+N41</f>
        <v>0</v>
      </c>
      <c r="U41" s="190"/>
      <c r="V41" s="445" t="s">
        <v>12</v>
      </c>
    </row>
    <row r="42" spans="1:25" ht="15.75" thickBot="1" x14ac:dyDescent="0.3">
      <c r="A42" s="183"/>
      <c r="B42" s="216"/>
      <c r="C42" s="185"/>
      <c r="D42" s="186"/>
      <c r="E42" s="187"/>
      <c r="F42" s="188">
        <f t="shared" ref="F42" si="13">+D42*E42</f>
        <v>0</v>
      </c>
      <c r="G42" s="185"/>
      <c r="H42" s="186"/>
      <c r="I42" s="187"/>
      <c r="J42" s="188">
        <f>+H42*I42</f>
        <v>0</v>
      </c>
      <c r="K42" s="188">
        <f>+'FACTURACION ACERIAS'!G51</f>
        <v>0</v>
      </c>
      <c r="L42" s="188">
        <f>+J42-K42</f>
        <v>0</v>
      </c>
      <c r="M42" s="185"/>
      <c r="N42" s="186"/>
      <c r="O42" s="186"/>
      <c r="P42" s="189"/>
      <c r="Q42" s="190">
        <f t="shared" si="1"/>
        <v>0</v>
      </c>
      <c r="R42" s="190"/>
      <c r="S42" s="190"/>
      <c r="T42" s="190">
        <f t="shared" si="9"/>
        <v>0</v>
      </c>
      <c r="U42" s="190">
        <f>+T41+T42</f>
        <v>0</v>
      </c>
      <c r="V42" s="446"/>
    </row>
    <row r="43" spans="1:25" ht="15.75" thickBot="1" x14ac:dyDescent="0.3">
      <c r="A43" s="32" t="s">
        <v>47</v>
      </c>
      <c r="B43" s="217">
        <f>SUM(B19:B41)</f>
        <v>10119.569999999998</v>
      </c>
      <c r="C43" s="184">
        <f>SUM(C19:C41)</f>
        <v>0</v>
      </c>
      <c r="D43" s="218">
        <f>SUM(D19:D41)</f>
        <v>8557.92</v>
      </c>
      <c r="E43" s="184">
        <f>SUM(E19:E41)</f>
        <v>1590765</v>
      </c>
      <c r="F43" s="184">
        <f>SUM(F19:F42)</f>
        <v>2266831917</v>
      </c>
      <c r="G43" s="184">
        <f t="shared" ref="G43:U43" si="14">SUM(G19:G42)</f>
        <v>0</v>
      </c>
      <c r="H43" s="218">
        <f t="shared" si="14"/>
        <v>1698.18</v>
      </c>
      <c r="I43" s="184">
        <f t="shared" si="14"/>
        <v>2796792.69</v>
      </c>
      <c r="J43" s="184">
        <f t="shared" si="14"/>
        <v>625011624.64389992</v>
      </c>
      <c r="K43" s="184">
        <f t="shared" si="14"/>
        <v>0</v>
      </c>
      <c r="L43" s="184">
        <f t="shared" si="14"/>
        <v>625011624.64389992</v>
      </c>
      <c r="M43" s="184">
        <f t="shared" si="14"/>
        <v>0</v>
      </c>
      <c r="N43" s="184">
        <f t="shared" si="14"/>
        <v>0</v>
      </c>
      <c r="O43" s="184">
        <f t="shared" si="14"/>
        <v>0</v>
      </c>
      <c r="P43" s="184">
        <f t="shared" si="14"/>
        <v>0</v>
      </c>
      <c r="Q43" s="184">
        <f t="shared" si="14"/>
        <v>2891843541.6438999</v>
      </c>
      <c r="R43" s="184">
        <f>SUM(R19:R42)</f>
        <v>2891843541.6438999</v>
      </c>
      <c r="S43" s="184">
        <f>SUM(S19:S42)</f>
        <v>2763828895.1285248</v>
      </c>
      <c r="T43" s="184">
        <f t="shared" si="14"/>
        <v>10256.099999999999</v>
      </c>
      <c r="U43" s="184">
        <f t="shared" si="14"/>
        <v>10256.1</v>
      </c>
    </row>
    <row r="44" spans="1:25" ht="15.75" thickBot="1" x14ac:dyDescent="0.3"/>
    <row r="45" spans="1:25" ht="15.75" thickBot="1" x14ac:dyDescent="0.3">
      <c r="D45" s="16"/>
      <c r="E45" s="259"/>
      <c r="I45" s="43"/>
      <c r="Q45" s="202"/>
      <c r="S45" s="202"/>
    </row>
    <row r="46" spans="1:25" ht="24.75" x14ac:dyDescent="0.25">
      <c r="B46" s="293" t="s">
        <v>108</v>
      </c>
      <c r="C46" s="293" t="s">
        <v>109</v>
      </c>
    </row>
    <row r="47" spans="1:25" x14ac:dyDescent="0.25">
      <c r="A47" s="2" t="s">
        <v>0</v>
      </c>
      <c r="B47" s="13">
        <f>+S20</f>
        <v>484201440.89896804</v>
      </c>
      <c r="C47" s="13">
        <f>+R20</f>
        <v>466303479.68000001</v>
      </c>
    </row>
    <row r="48" spans="1:25" x14ac:dyDescent="0.25">
      <c r="A48" s="2" t="s">
        <v>1</v>
      </c>
      <c r="B48" s="13">
        <f>+S22</f>
        <v>561681204.34554935</v>
      </c>
      <c r="C48" s="13">
        <f>+R22</f>
        <v>680884877.35000002</v>
      </c>
    </row>
    <row r="49" spans="1:4" x14ac:dyDescent="0.25">
      <c r="A49" s="2" t="s">
        <v>2</v>
      </c>
      <c r="B49" s="13">
        <f>+S24</f>
        <v>591548764.62592494</v>
      </c>
      <c r="C49" s="13">
        <f>+R24</f>
        <v>678910541.24000001</v>
      </c>
    </row>
    <row r="50" spans="1:4" x14ac:dyDescent="0.25">
      <c r="A50" s="2" t="s">
        <v>3</v>
      </c>
      <c r="B50" s="13">
        <f>+S26</f>
        <v>587282335.74929869</v>
      </c>
      <c r="C50" s="13">
        <f>+R26</f>
        <v>480957643.94389999</v>
      </c>
    </row>
    <row r="51" spans="1:4" x14ac:dyDescent="0.25">
      <c r="A51" s="2" t="s">
        <v>4</v>
      </c>
      <c r="B51" s="13">
        <f>+S28</f>
        <v>539115149.5087837</v>
      </c>
      <c r="C51" s="13">
        <f>+R28</f>
        <v>584786999.43000007</v>
      </c>
    </row>
    <row r="52" spans="1:4" x14ac:dyDescent="0.25">
      <c r="A52" s="2" t="s">
        <v>5</v>
      </c>
      <c r="B52" s="13">
        <f>+S30</f>
        <v>0</v>
      </c>
      <c r="C52" s="13">
        <f>+R30</f>
        <v>0</v>
      </c>
    </row>
    <row r="53" spans="1:4" x14ac:dyDescent="0.25">
      <c r="A53" s="2" t="s">
        <v>7</v>
      </c>
      <c r="B53" s="13">
        <f>+S32</f>
        <v>0</v>
      </c>
      <c r="C53" s="13">
        <f>+R32</f>
        <v>0</v>
      </c>
    </row>
    <row r="54" spans="1:4" x14ac:dyDescent="0.25">
      <c r="A54" s="2" t="s">
        <v>8</v>
      </c>
      <c r="B54" s="13">
        <f>+S34</f>
        <v>0</v>
      </c>
      <c r="C54" s="13">
        <f>+R34</f>
        <v>0</v>
      </c>
    </row>
    <row r="55" spans="1:4" x14ac:dyDescent="0.25">
      <c r="A55" s="2" t="s">
        <v>9</v>
      </c>
      <c r="B55" s="13">
        <f>+S36</f>
        <v>0</v>
      </c>
      <c r="C55" s="13">
        <f>+R36</f>
        <v>0</v>
      </c>
    </row>
    <row r="56" spans="1:4" x14ac:dyDescent="0.25">
      <c r="A56" s="2" t="s">
        <v>10</v>
      </c>
      <c r="B56" s="13">
        <f>+S38</f>
        <v>0</v>
      </c>
      <c r="C56" s="13">
        <f>+R38</f>
        <v>0</v>
      </c>
    </row>
    <row r="57" spans="1:4" x14ac:dyDescent="0.25">
      <c r="A57" s="2" t="s">
        <v>11</v>
      </c>
      <c r="B57" s="13">
        <f>+S40</f>
        <v>0</v>
      </c>
      <c r="C57" s="13">
        <f>+R40</f>
        <v>0</v>
      </c>
    </row>
    <row r="58" spans="1:4" x14ac:dyDescent="0.25">
      <c r="A58" s="2" t="s">
        <v>12</v>
      </c>
      <c r="B58" s="13">
        <f>+S41</f>
        <v>0</v>
      </c>
      <c r="C58" s="13">
        <f>+R41</f>
        <v>0</v>
      </c>
    </row>
    <row r="59" spans="1:4" x14ac:dyDescent="0.25">
      <c r="C59" s="202"/>
    </row>
    <row r="60" spans="1:4" ht="15.75" thickBot="1" x14ac:dyDescent="0.3">
      <c r="C60" s="373"/>
      <c r="D60" s="373"/>
    </row>
    <row r="61" spans="1:4" x14ac:dyDescent="0.25">
      <c r="A61" s="378" t="s">
        <v>129</v>
      </c>
      <c r="B61" s="379"/>
      <c r="C61" s="373"/>
      <c r="D61" s="373"/>
    </row>
    <row r="62" spans="1:4" x14ac:dyDescent="0.25">
      <c r="A62" s="380" t="s">
        <v>133</v>
      </c>
      <c r="B62" s="381"/>
      <c r="C62" s="373"/>
      <c r="D62" s="373"/>
    </row>
    <row r="63" spans="1:4" x14ac:dyDescent="0.25">
      <c r="A63" s="380" t="s">
        <v>23</v>
      </c>
      <c r="B63" s="381"/>
      <c r="C63" s="373"/>
      <c r="D63" s="373"/>
    </row>
    <row r="64" spans="1:4" x14ac:dyDescent="0.25">
      <c r="A64" s="380" t="s">
        <v>24</v>
      </c>
      <c r="B64" s="381"/>
      <c r="C64" s="373"/>
      <c r="D64" s="373"/>
    </row>
    <row r="65" spans="1:4" x14ac:dyDescent="0.25">
      <c r="A65" s="380" t="s">
        <v>19</v>
      </c>
      <c r="B65" s="382"/>
      <c r="C65" s="373"/>
      <c r="D65" s="373"/>
    </row>
    <row r="66" spans="1:4" x14ac:dyDescent="0.25">
      <c r="A66" s="380" t="s">
        <v>123</v>
      </c>
      <c r="B66" s="382"/>
      <c r="C66" s="373"/>
      <c r="D66" s="373"/>
    </row>
    <row r="67" spans="1:4" x14ac:dyDescent="0.25">
      <c r="A67" s="380" t="s">
        <v>124</v>
      </c>
      <c r="B67" s="382"/>
      <c r="C67" s="373"/>
      <c r="D67" s="373"/>
    </row>
    <row r="68" spans="1:4" x14ac:dyDescent="0.25">
      <c r="A68" s="383" t="s">
        <v>125</v>
      </c>
      <c r="B68" s="384"/>
      <c r="C68" s="373"/>
      <c r="D68" s="373"/>
    </row>
    <row r="69" spans="1:4" x14ac:dyDescent="0.25">
      <c r="A69" s="380" t="s">
        <v>126</v>
      </c>
      <c r="B69" s="385"/>
      <c r="C69" s="373"/>
      <c r="D69" s="373"/>
    </row>
    <row r="70" spans="1:4" x14ac:dyDescent="0.25">
      <c r="A70" s="380" t="s">
        <v>34</v>
      </c>
      <c r="B70" s="385"/>
      <c r="C70" s="373"/>
      <c r="D70" s="373"/>
    </row>
    <row r="71" spans="1:4" x14ac:dyDescent="0.25">
      <c r="A71" s="380" t="s">
        <v>127</v>
      </c>
      <c r="B71" s="385"/>
      <c r="C71" s="373"/>
      <c r="D71" s="373"/>
    </row>
    <row r="72" spans="1:4" x14ac:dyDescent="0.25">
      <c r="A72" s="380" t="s">
        <v>130</v>
      </c>
      <c r="B72" s="381"/>
    </row>
    <row r="73" spans="1:4" x14ac:dyDescent="0.25">
      <c r="A73" s="380" t="s">
        <v>131</v>
      </c>
      <c r="B73" s="381"/>
    </row>
    <row r="74" spans="1:4" x14ac:dyDescent="0.25">
      <c r="A74" s="380" t="s">
        <v>132</v>
      </c>
      <c r="B74" s="381"/>
    </row>
    <row r="75" spans="1:4" x14ac:dyDescent="0.25">
      <c r="A75" s="380" t="s">
        <v>35</v>
      </c>
      <c r="B75" s="381"/>
    </row>
    <row r="76" spans="1:4" x14ac:dyDescent="0.25">
      <c r="A76" s="380" t="s">
        <v>134</v>
      </c>
      <c r="B76" s="381"/>
    </row>
    <row r="77" spans="1:4" x14ac:dyDescent="0.25">
      <c r="A77" s="380" t="s">
        <v>17</v>
      </c>
      <c r="B77" s="382"/>
    </row>
    <row r="78" spans="1:4" x14ac:dyDescent="0.25">
      <c r="A78" s="380" t="s">
        <v>37</v>
      </c>
      <c r="B78" s="381"/>
    </row>
    <row r="79" spans="1:4" ht="15.75" thickBot="1" x14ac:dyDescent="0.3">
      <c r="A79" s="386" t="s">
        <v>135</v>
      </c>
      <c r="B79" s="387"/>
    </row>
    <row r="80" spans="1:4" x14ac:dyDescent="0.25">
      <c r="C80" s="373"/>
      <c r="D80" s="373"/>
    </row>
    <row r="81" spans="2:4" x14ac:dyDescent="0.25">
      <c r="B81" s="1"/>
      <c r="C81" s="373"/>
      <c r="D81" s="374"/>
    </row>
    <row r="82" spans="2:4" x14ac:dyDescent="0.25">
      <c r="B82" s="1"/>
      <c r="C82" s="373"/>
      <c r="D82" s="374"/>
    </row>
    <row r="83" spans="2:4" x14ac:dyDescent="0.25">
      <c r="B83" s="1"/>
      <c r="C83" s="373"/>
      <c r="D83" s="374"/>
    </row>
    <row r="84" spans="2:4" x14ac:dyDescent="0.25">
      <c r="C84" s="373"/>
      <c r="D84" s="374"/>
    </row>
    <row r="85" spans="2:4" x14ac:dyDescent="0.25">
      <c r="C85" s="373"/>
    </row>
    <row r="86" spans="2:4" x14ac:dyDescent="0.25">
      <c r="B86" s="375"/>
      <c r="C86" s="376"/>
    </row>
    <row r="92" spans="2:4" x14ac:dyDescent="0.25">
      <c r="B92" s="377"/>
    </row>
    <row r="93" spans="2:4" x14ac:dyDescent="0.25">
      <c r="B93" s="377"/>
    </row>
  </sheetData>
  <mergeCells count="26">
    <mergeCell ref="A35:A36"/>
    <mergeCell ref="V31:V32"/>
    <mergeCell ref="F13:J13"/>
    <mergeCell ref="C17:F17"/>
    <mergeCell ref="G17:J17"/>
    <mergeCell ref="M17:P17"/>
    <mergeCell ref="V19:V20"/>
    <mergeCell ref="V21:V22"/>
    <mergeCell ref="V23:V24"/>
    <mergeCell ref="V29:V30"/>
    <mergeCell ref="A37:A38"/>
    <mergeCell ref="V41:V42"/>
    <mergeCell ref="A27:A28"/>
    <mergeCell ref="V27:V28"/>
    <mergeCell ref="A19:A20"/>
    <mergeCell ref="A21:A22"/>
    <mergeCell ref="A23:A24"/>
    <mergeCell ref="A25:A26"/>
    <mergeCell ref="A29:A30"/>
    <mergeCell ref="A31:A32"/>
    <mergeCell ref="V33:V34"/>
    <mergeCell ref="V35:V36"/>
    <mergeCell ref="A39:A40"/>
    <mergeCell ref="V39:V40"/>
    <mergeCell ref="V37:V38"/>
    <mergeCell ref="A33:A34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E523-BA26-4610-B286-DE5D01CE4C0B}">
  <sheetPr>
    <tabColor theme="3" tint="0.39997558519241921"/>
  </sheetPr>
  <dimension ref="B13:I45"/>
  <sheetViews>
    <sheetView topLeftCell="A16" workbookViewId="0">
      <selection activeCell="J29" sqref="J29"/>
    </sheetView>
  </sheetViews>
  <sheetFormatPr baseColWidth="10" defaultRowHeight="15" x14ac:dyDescent="0.25"/>
  <cols>
    <col min="2" max="2" width="22" customWidth="1"/>
    <col min="3" max="3" width="15.140625" customWidth="1"/>
    <col min="4" max="4" width="12.7109375" style="19" customWidth="1"/>
    <col min="5" max="5" width="12.7109375" customWidth="1"/>
    <col min="6" max="6" width="12.5703125" bestFit="1" customWidth="1"/>
  </cols>
  <sheetData>
    <row r="13" spans="2:5" x14ac:dyDescent="0.25">
      <c r="E13" s="18"/>
    </row>
    <row r="15" spans="2:5" x14ac:dyDescent="0.25">
      <c r="B15" s="20" t="s">
        <v>43</v>
      </c>
      <c r="C15" s="20"/>
      <c r="D15" s="181"/>
      <c r="E15" s="20"/>
    </row>
    <row r="16" spans="2:5" ht="15.75" thickBot="1" x14ac:dyDescent="0.3"/>
    <row r="17" spans="2:9" ht="47.25" customHeight="1" thickBot="1" x14ac:dyDescent="0.3">
      <c r="C17" s="487" t="s">
        <v>48</v>
      </c>
      <c r="D17" s="260" t="s">
        <v>51</v>
      </c>
      <c r="E17" s="261" t="s">
        <v>44</v>
      </c>
    </row>
    <row r="18" spans="2:9" ht="15.75" thickBot="1" x14ac:dyDescent="0.3">
      <c r="B18" s="32" t="s">
        <v>30</v>
      </c>
      <c r="C18" s="488"/>
      <c r="D18" s="262" t="s">
        <v>50</v>
      </c>
      <c r="E18" s="263" t="s">
        <v>50</v>
      </c>
    </row>
    <row r="19" spans="2:9" ht="15.75" thickBot="1" x14ac:dyDescent="0.3">
      <c r="B19" s="449" t="s">
        <v>0</v>
      </c>
      <c r="C19" s="489">
        <f>+'PRODUC ACUMULADA'!B5</f>
        <v>1698.66</v>
      </c>
      <c r="D19" s="287">
        <f>+'PRODUCCION VS FACTU'!E19</f>
        <v>260000</v>
      </c>
      <c r="E19" s="54"/>
      <c r="F19" s="264" t="s">
        <v>87</v>
      </c>
    </row>
    <row r="20" spans="2:9" ht="15.75" thickBot="1" x14ac:dyDescent="0.3">
      <c r="B20" s="450"/>
      <c r="C20" s="490"/>
      <c r="D20" s="288">
        <f>+'PRODUCCION VS FACTU'!E20</f>
        <v>0</v>
      </c>
      <c r="E20" s="61">
        <f>+'PRODUCCION VS FACTU'!I20</f>
        <v>309908</v>
      </c>
      <c r="F20" s="264" t="s">
        <v>88</v>
      </c>
    </row>
    <row r="21" spans="2:9" x14ac:dyDescent="0.25">
      <c r="B21" s="451" t="s">
        <v>1</v>
      </c>
      <c r="C21" s="491">
        <f>+'PRODUC ACUMULADA'!B6</f>
        <v>1830.15</v>
      </c>
      <c r="D21" s="289">
        <v>0</v>
      </c>
      <c r="E21" s="67">
        <f>+'FACTURACION ACERIAS'!E15</f>
        <v>310000</v>
      </c>
      <c r="F21" s="265" t="s">
        <v>89</v>
      </c>
    </row>
    <row r="22" spans="2:9" ht="15.75" thickBot="1" x14ac:dyDescent="0.3">
      <c r="B22" s="452"/>
      <c r="C22" s="492"/>
      <c r="D22" s="289">
        <f>+'FACTURACION ANDRES'!E41</f>
        <v>270255.00000000006</v>
      </c>
      <c r="E22" s="67">
        <f>+'FACTURACION ACERIAS'!E16</f>
        <v>308379</v>
      </c>
      <c r="F22" s="265" t="s">
        <v>89</v>
      </c>
      <c r="H22" s="43"/>
    </row>
    <row r="23" spans="2:9" x14ac:dyDescent="0.25">
      <c r="B23" s="453" t="s">
        <v>2</v>
      </c>
      <c r="C23" s="493">
        <f>+'PRODUC ACUMULADA'!B7</f>
        <v>1898.77</v>
      </c>
      <c r="D23" s="277">
        <f>+'FACTURACION ANDRES'!E44</f>
        <v>0</v>
      </c>
      <c r="E23" s="73">
        <f>+'FACTURACION ACERIAS'!E28</f>
        <v>0</v>
      </c>
      <c r="F23" s="266" t="s">
        <v>90</v>
      </c>
    </row>
    <row r="24" spans="2:9" ht="15.75" thickBot="1" x14ac:dyDescent="0.3">
      <c r="B24" s="454"/>
      <c r="C24" s="494"/>
      <c r="D24" s="277">
        <f>+'PRODUCCION VS FACTU'!E24</f>
        <v>0</v>
      </c>
      <c r="E24" s="73">
        <f>+'FACTURACION ACERIAS'!E30</f>
        <v>0</v>
      </c>
      <c r="F24" s="266" t="s">
        <v>90</v>
      </c>
      <c r="H24" s="43"/>
    </row>
    <row r="25" spans="2:9" x14ac:dyDescent="0.25">
      <c r="B25" s="485" t="s">
        <v>3</v>
      </c>
      <c r="C25" s="495">
        <f>+'PRODUC ACUMULADA'!B8</f>
        <v>1800.91</v>
      </c>
      <c r="D25" s="278">
        <f>+'PRODUCCION VS FACTU'!E25</f>
        <v>270255</v>
      </c>
      <c r="E25" s="78">
        <f>+'FACTURACION ACERIAS'!E32</f>
        <v>0</v>
      </c>
      <c r="F25" s="159" t="s">
        <v>91</v>
      </c>
      <c r="H25" s="43"/>
    </row>
    <row r="26" spans="2:9" ht="15.75" thickBot="1" x14ac:dyDescent="0.3">
      <c r="B26" s="486"/>
      <c r="C26" s="496"/>
      <c r="D26" s="278">
        <f>+'PRODUCCION VS FACTU'!E26</f>
        <v>0</v>
      </c>
      <c r="E26" s="78">
        <f>+'FACTURACION ACERIAS'!E19</f>
        <v>301539</v>
      </c>
      <c r="F26" s="159" t="s">
        <v>91</v>
      </c>
      <c r="H26" s="43"/>
    </row>
    <row r="27" spans="2:9" x14ac:dyDescent="0.25">
      <c r="B27" s="447" t="s">
        <v>46</v>
      </c>
      <c r="C27" s="503">
        <f>+'PRODUC ACUMULADA'!B9</f>
        <v>1964.1099999999997</v>
      </c>
      <c r="D27" s="279">
        <f>+'FACTURACION ANDRES'!E73</f>
        <v>0</v>
      </c>
      <c r="E27" s="84">
        <f>+'FACTURACION ACERIAS'!E20</f>
        <v>308516.69</v>
      </c>
      <c r="F27" s="267" t="s">
        <v>92</v>
      </c>
      <c r="H27" s="43"/>
    </row>
    <row r="28" spans="2:9" ht="15.75" thickBot="1" x14ac:dyDescent="0.3">
      <c r="B28" s="448"/>
      <c r="C28" s="504"/>
      <c r="D28" s="279">
        <f>+'FACTURACION ANDRES'!E80</f>
        <v>0</v>
      </c>
      <c r="E28" s="84">
        <f>+'FACTURACION ACERIAS'!E21</f>
        <v>310000</v>
      </c>
      <c r="F28" s="267" t="s">
        <v>93</v>
      </c>
    </row>
    <row r="29" spans="2:9" x14ac:dyDescent="0.25">
      <c r="B29" s="457" t="s">
        <v>5</v>
      </c>
      <c r="C29" s="505">
        <f>+'PRODUC ACUMULADA'!B10</f>
        <v>926.96999999999991</v>
      </c>
      <c r="D29" s="280">
        <f>+'FACTURACION ANDRES'!E80</f>
        <v>0</v>
      </c>
      <c r="E29" s="90">
        <f>+'FACTURACION ACERIAS'!E22</f>
        <v>309057</v>
      </c>
      <c r="F29" s="268" t="s">
        <v>94</v>
      </c>
    </row>
    <row r="30" spans="2:9" ht="15.75" thickBot="1" x14ac:dyDescent="0.3">
      <c r="B30" s="458"/>
      <c r="C30" s="506"/>
      <c r="D30" s="280"/>
      <c r="E30" s="90">
        <f>+'FACTURACION ACERIAS'!E30</f>
        <v>0</v>
      </c>
      <c r="F30" s="268" t="s">
        <v>95</v>
      </c>
      <c r="H30" s="43"/>
      <c r="I30" s="43"/>
    </row>
    <row r="31" spans="2:9" x14ac:dyDescent="0.25">
      <c r="B31" s="459" t="s">
        <v>7</v>
      </c>
      <c r="C31" s="507">
        <f>+'PRODUC ACUMULADA'!B11</f>
        <v>0</v>
      </c>
      <c r="D31" s="281">
        <f>+'FACTURACION ANDRES'!E67</f>
        <v>0</v>
      </c>
      <c r="E31" s="97">
        <f>+'FACTURACION ACERIAS'!E31</f>
        <v>0</v>
      </c>
      <c r="F31" s="269" t="s">
        <v>96</v>
      </c>
      <c r="H31" s="43"/>
      <c r="I31" s="43"/>
    </row>
    <row r="32" spans="2:9" ht="15.75" thickBot="1" x14ac:dyDescent="0.3">
      <c r="B32" s="460"/>
      <c r="C32" s="508"/>
      <c r="D32" s="281">
        <f>+'FACTURACION ANDRES'!E87</f>
        <v>0</v>
      </c>
      <c r="E32" s="97">
        <f>+'FACTURACION ACERIAS'!E32</f>
        <v>0</v>
      </c>
      <c r="F32" s="269" t="s">
        <v>97</v>
      </c>
    </row>
    <row r="33" spans="2:9" x14ac:dyDescent="0.25">
      <c r="B33" s="467" t="s">
        <v>8</v>
      </c>
      <c r="C33" s="509">
        <f>+'PRODUC ACUMULADA'!B12</f>
        <v>0</v>
      </c>
      <c r="D33" s="282">
        <f>+'FACTURACION ANDRES'!E91</f>
        <v>0</v>
      </c>
      <c r="E33" s="104">
        <f>+'FACTURACION ACERIAS'!E33-32000</f>
        <v>-32000</v>
      </c>
      <c r="F33" s="270" t="s">
        <v>98</v>
      </c>
      <c r="H33" s="43"/>
    </row>
    <row r="34" spans="2:9" ht="15.75" thickBot="1" x14ac:dyDescent="0.3">
      <c r="B34" s="468"/>
      <c r="C34" s="510"/>
      <c r="D34" s="282">
        <v>337801</v>
      </c>
      <c r="E34" s="104">
        <f>335065-32000</f>
        <v>303065</v>
      </c>
      <c r="F34" s="270" t="s">
        <v>99</v>
      </c>
    </row>
    <row r="35" spans="2:9" x14ac:dyDescent="0.25">
      <c r="B35" s="469" t="s">
        <v>9</v>
      </c>
      <c r="C35" s="511">
        <v>1608.73</v>
      </c>
      <c r="D35" s="283">
        <f>+'FACTURACION ANDRES'!E82</f>
        <v>0</v>
      </c>
      <c r="E35" s="111">
        <f>325065-32000</f>
        <v>293065</v>
      </c>
      <c r="F35" s="271" t="s">
        <v>100</v>
      </c>
    </row>
    <row r="36" spans="2:9" ht="15.75" thickBot="1" x14ac:dyDescent="0.3">
      <c r="B36" s="470"/>
      <c r="C36" s="512"/>
      <c r="D36" s="283">
        <v>313549</v>
      </c>
      <c r="E36" s="111">
        <f>325065-32000</f>
        <v>293065</v>
      </c>
      <c r="F36" s="271" t="s">
        <v>101</v>
      </c>
      <c r="H36" s="43"/>
      <c r="I36" s="43"/>
    </row>
    <row r="37" spans="2:9" x14ac:dyDescent="0.25">
      <c r="B37" s="443" t="s">
        <v>10</v>
      </c>
      <c r="C37" s="497">
        <v>1784.1</v>
      </c>
      <c r="D37" s="284">
        <f>+'FACTURACION ANDRES'!E85</f>
        <v>0</v>
      </c>
      <c r="E37" s="119">
        <f>307673-32000</f>
        <v>275673</v>
      </c>
      <c r="F37" s="272" t="s">
        <v>102</v>
      </c>
    </row>
    <row r="38" spans="2:9" ht="15.75" thickBot="1" x14ac:dyDescent="0.3">
      <c r="B38" s="444"/>
      <c r="C38" s="498"/>
      <c r="D38" s="284">
        <v>302146</v>
      </c>
      <c r="E38" s="119">
        <f>307673-32000</f>
        <v>275673</v>
      </c>
      <c r="F38" s="272" t="s">
        <v>102</v>
      </c>
      <c r="H38" s="43"/>
    </row>
    <row r="39" spans="2:9" x14ac:dyDescent="0.25">
      <c r="B39" s="463" t="s">
        <v>11</v>
      </c>
      <c r="C39" s="499">
        <v>2135.71</v>
      </c>
      <c r="D39" s="285">
        <f>+'FACTURACION ANDRES'!E92</f>
        <v>0</v>
      </c>
      <c r="E39" s="125">
        <f>307673-32000</f>
        <v>275673</v>
      </c>
      <c r="F39" s="273" t="s">
        <v>103</v>
      </c>
      <c r="I39" s="43"/>
    </row>
    <row r="40" spans="2:9" ht="15.75" thickBot="1" x14ac:dyDescent="0.3">
      <c r="B40" s="464"/>
      <c r="C40" s="500"/>
      <c r="D40" s="285">
        <v>302146</v>
      </c>
      <c r="E40" s="164">
        <f>307673-32000</f>
        <v>275673</v>
      </c>
      <c r="F40" s="273" t="s">
        <v>103</v>
      </c>
      <c r="I40" s="43"/>
    </row>
    <row r="41" spans="2:9" x14ac:dyDescent="0.25">
      <c r="B41" s="128" t="s">
        <v>12</v>
      </c>
      <c r="C41" s="501">
        <v>1061.5</v>
      </c>
      <c r="D41" s="286">
        <f>+'FACTURACION ANDRES'!E100</f>
        <v>0</v>
      </c>
      <c r="E41" s="187">
        <f>307673-32000</f>
        <v>275673</v>
      </c>
      <c r="F41" s="274" t="s">
        <v>104</v>
      </c>
    </row>
    <row r="42" spans="2:9" ht="15.75" thickBot="1" x14ac:dyDescent="0.3">
      <c r="B42" s="183"/>
      <c r="C42" s="502"/>
      <c r="D42" s="286"/>
      <c r="E42" s="187">
        <f>+'FACTURACION ACERIAS'!E51</f>
        <v>0</v>
      </c>
      <c r="F42" s="274" t="s">
        <v>105</v>
      </c>
    </row>
    <row r="43" spans="2:9" ht="15.75" thickBot="1" x14ac:dyDescent="0.3">
      <c r="B43" s="32" t="s">
        <v>47</v>
      </c>
      <c r="C43" s="218">
        <f>SUM(C19:C41)</f>
        <v>16709.609999999997</v>
      </c>
      <c r="D43" s="184">
        <f>SUM(D19:D41)</f>
        <v>2056152</v>
      </c>
      <c r="E43" s="184">
        <f t="shared" ref="E43" si="0">SUM(E19:E42)</f>
        <v>4392959.6899999995</v>
      </c>
    </row>
    <row r="45" spans="2:9" x14ac:dyDescent="0.25">
      <c r="D45"/>
      <c r="E45" s="43"/>
    </row>
  </sheetData>
  <mergeCells count="24">
    <mergeCell ref="C37:C38"/>
    <mergeCell ref="C39:C40"/>
    <mergeCell ref="C41:C42"/>
    <mergeCell ref="C27:C28"/>
    <mergeCell ref="C29:C30"/>
    <mergeCell ref="C31:C32"/>
    <mergeCell ref="C33:C34"/>
    <mergeCell ref="C35:C36"/>
    <mergeCell ref="C17:C18"/>
    <mergeCell ref="C19:C20"/>
    <mergeCell ref="C21:C22"/>
    <mergeCell ref="C23:C24"/>
    <mergeCell ref="C25:C26"/>
    <mergeCell ref="B35:B36"/>
    <mergeCell ref="B37:B38"/>
    <mergeCell ref="B39:B40"/>
    <mergeCell ref="B29:B30"/>
    <mergeCell ref="B31:B32"/>
    <mergeCell ref="B33:B34"/>
    <mergeCell ref="B21:B22"/>
    <mergeCell ref="B23:B24"/>
    <mergeCell ref="B25:B26"/>
    <mergeCell ref="B27:B28"/>
    <mergeCell ref="B19:B2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>
      <selection activeCell="K34" sqref="K34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2</vt:i4>
      </vt:variant>
    </vt:vector>
  </HeadingPairs>
  <TitlesOfParts>
    <vt:vector size="26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 </vt:lpstr>
      <vt:lpstr>EXPLOSIVO</vt:lpstr>
      <vt:lpstr>RETROESCA</vt:lpstr>
      <vt:lpstr>LABORAT</vt:lpstr>
      <vt:lpstr>PAJARITA</vt:lpstr>
      <vt:lpstr>NOVIEMBRE</vt:lpstr>
      <vt:lpstr>DICIEMBRE</vt:lpstr>
      <vt:lpstr>PRODUC ACUMULADA</vt:lpstr>
      <vt:lpstr>INVERSIONES MINA</vt:lpstr>
      <vt:lpstr>INFRAESTUCTURA</vt:lpstr>
      <vt:lpstr>FACTURACION ACERIAS</vt:lpstr>
      <vt:lpstr>FACTURACION ANDRES</vt:lpstr>
      <vt:lpstr>PRODUCCION VS FACTU</vt:lpstr>
      <vt:lpstr>PRECIOS 2024</vt:lpstr>
      <vt:lpstr>Hoja1</vt:lpstr>
      <vt:lpstr>'FACTURACION ACERIAS'!Área_de_impresión</vt:lpstr>
      <vt:lpstr>'FACTURACION ANDRES'!Área_de_impresión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NAC2</cp:lastModifiedBy>
  <cp:lastPrinted>2025-03-03T22:17:06Z</cp:lastPrinted>
  <dcterms:created xsi:type="dcterms:W3CDTF">2019-07-02T22:41:08Z</dcterms:created>
  <dcterms:modified xsi:type="dcterms:W3CDTF">2026-06-22T16:15:46Z</dcterms:modified>
</cp:coreProperties>
</file>
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SERVIDOR\nac sogamoso\CONTABILIDAD\COEXCCOL SAS\COEXCCOL SAS\GTOS MINA\SOCHA\COSTOS\2026\Mayo\"/>
    </mc:Choice>
  </mc:AlternateContent>
  <xr:revisionPtr revIDLastSave="0" documentId="13_ncr:1_{39599B8E-E98F-4316-AECD-93EA7E8506F6}" xr6:coauthVersionLast="47" xr6:coauthVersionMax="47" xr10:uidLastSave="{00000000-0000-0000-0000-000000000000}"/>
  <bookViews>
    <workbookView xWindow="-120" yWindow="-120" windowWidth="29040" windowHeight="15840" tabRatio="708" xr2:uid="{00000000-000D-0000-FFFF-FFFF00000000}"/>
  </bookViews>
  <sheets>
    <sheet name="PRODUC ACUMULADA" sheetId="19" r:id="rId1"/>
    <sheet name="COSTOS EPP" sheetId="13" r:id="rId2"/>
    <sheet name="COSTOS INSUMOS " sheetId="16" r:id="rId3"/>
    <sheet name="ENERGIA 2026" sheetId="17" r:id="rId4"/>
    <sheet name="MADERA" sheetId="18" r:id="rId5"/>
    <sheet name="COMBUSTIBLE" sheetId="15" r:id="rId6"/>
    <sheet name="PAJARITA" sheetId="20" r:id="rId7"/>
    <sheet name="CALCULO MADERA" sheetId="21" r:id="rId8"/>
  </sheets>
  <externalReferences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2" hidden="1">'COSTOS INSUMOS '!$A$1:$AC$193</definedName>
    <definedName name="_xlnm._FilterDatabase" localSheetId="6" hidden="1">PAJARITA!$A$1:$AC$12</definedName>
    <definedName name="_xlnm.Print_Area" localSheetId="7">'CALCULO MADERA'!#REF!</definedName>
    <definedName name="_xlnm.Print_Area" localSheetId="2">'COSTOS INSUMOS '!$B$1:$Q$193</definedName>
    <definedName name="_xlnm.Print_Area" localSheetId="6">PAJARITA!$B$1:$Q$12</definedName>
    <definedName name="ARP">'[1]Datos Básicos'!$F$9</definedName>
    <definedName name="AT">'[1]Datos Básicos'!$B$6</definedName>
    <definedName name="CAJA">'[1]Datos Básicos'!$B$11</definedName>
    <definedName name="Cesantia">'[1]Datos Básicos'!$B$19</definedName>
    <definedName name="ESAP">'[1]Datos Básicos'!$F$15</definedName>
    <definedName name="FonSol1">'[1]Datos Básicos'!$B$26</definedName>
    <definedName name="FonSol2">'[1]Datos Básicos'!$B$27</definedName>
    <definedName name="FonSol3">'[1]Datos Básicos'!$B$28</definedName>
    <definedName name="FonSol4">'[1]Datos Básicos'!$B$29</definedName>
    <definedName name="FonSol5">'[1]Datos Básicos'!$B$30</definedName>
    <definedName name="FonSol6">'[1]Datos Básicos'!$B$31</definedName>
    <definedName name="ICBF">'[1]Datos Básicos'!$B$10</definedName>
    <definedName name="IND">'[1]Datos Básicos'!$F$16</definedName>
    <definedName name="IntCesantia">'[1]Datos Básicos'!$B$22</definedName>
    <definedName name="PensionEmpleado">'[1]Datos Básicos'!$B$16</definedName>
    <definedName name="PensionEmpresa">'[1]Datos Básicos'!$C$16</definedName>
    <definedName name="Prima">'[1]Datos Básicos'!$B$20</definedName>
    <definedName name="SaludEmpleado">'[1]Datos Básicos'!$B$15</definedName>
    <definedName name="SaludEmpresa">'[1]Datos Básicos'!$C$15</definedName>
    <definedName name="SENA">'[1]Datos Básicos'!$B$9</definedName>
    <definedName name="SM">'[1]Datos Básicos'!$B$5</definedName>
    <definedName name="UVT">'[1]Datos Básicos'!$F$11</definedName>
    <definedName name="Vacaciones">'[1]Datos Básicos'!$B$21</definedName>
    <definedName name="ValorHora">[1]Calculos!$B$4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8" i="18" l="1"/>
  <c r="K220" i="16" l="1"/>
  <c r="K219" i="16"/>
  <c r="K218" i="16"/>
  <c r="K217" i="16"/>
  <c r="K216" i="16"/>
  <c r="B16" i="19" l="1"/>
  <c r="L227" i="16" s="1"/>
  <c r="B15" i="19"/>
  <c r="L226" i="16" s="1"/>
  <c r="B14" i="19"/>
  <c r="L225" i="16" s="1"/>
  <c r="B13" i="19"/>
  <c r="L224" i="16" s="1"/>
  <c r="B12" i="19"/>
  <c r="L223" i="16" s="1"/>
  <c r="B11" i="19"/>
  <c r="L222" i="16" s="1"/>
  <c r="B10" i="19"/>
  <c r="L221" i="16" s="1"/>
  <c r="B9" i="19"/>
  <c r="L220" i="16" l="1"/>
  <c r="AC212" i="16"/>
  <c r="AB212" i="16"/>
  <c r="AA212" i="16"/>
  <c r="Z212" i="16"/>
  <c r="Y212" i="16"/>
  <c r="X212" i="16"/>
  <c r="W212" i="16"/>
  <c r="V211" i="16"/>
  <c r="V210" i="16"/>
  <c r="V209" i="16"/>
  <c r="V208" i="16"/>
  <c r="V207" i="16"/>
  <c r="V206" i="16"/>
  <c r="V205" i="16"/>
  <c r="V204" i="16"/>
  <c r="V203" i="16"/>
  <c r="V202" i="16"/>
  <c r="V201" i="16"/>
  <c r="V200" i="16"/>
  <c r="V199" i="16"/>
  <c r="V198" i="16"/>
  <c r="V197" i="16"/>
  <c r="V196" i="16"/>
  <c r="V195" i="16"/>
  <c r="V194" i="16"/>
  <c r="U194" i="16"/>
  <c r="V193" i="16"/>
  <c r="U193" i="16"/>
  <c r="V192" i="16"/>
  <c r="U192" i="16"/>
  <c r="V191" i="16"/>
  <c r="U191" i="16"/>
  <c r="V190" i="16"/>
  <c r="U190" i="16"/>
  <c r="V189" i="16"/>
  <c r="U189" i="16"/>
  <c r="V188" i="16"/>
  <c r="U188" i="16"/>
  <c r="V187" i="16"/>
  <c r="U187" i="16"/>
  <c r="V186" i="16"/>
  <c r="U186" i="16"/>
  <c r="V185" i="16"/>
  <c r="U185" i="16"/>
  <c r="V184" i="16"/>
  <c r="U184" i="16"/>
  <c r="V183" i="16"/>
  <c r="U183" i="16"/>
  <c r="V182" i="16"/>
  <c r="U182" i="16"/>
  <c r="V181" i="16"/>
  <c r="U181" i="16"/>
  <c r="V180" i="16"/>
  <c r="U180" i="16"/>
  <c r="V179" i="16"/>
  <c r="U179" i="16"/>
  <c r="V178" i="16"/>
  <c r="U178" i="16"/>
  <c r="V177" i="16"/>
  <c r="U177" i="16"/>
  <c r="V176" i="16"/>
  <c r="U176" i="16"/>
  <c r="V175" i="16"/>
  <c r="U175" i="16"/>
  <c r="V174" i="16"/>
  <c r="U174" i="16"/>
  <c r="V173" i="16"/>
  <c r="U173" i="16"/>
  <c r="V172" i="16"/>
  <c r="U172" i="16"/>
  <c r="V171" i="16"/>
  <c r="U171" i="16"/>
  <c r="V170" i="16"/>
  <c r="U170" i="16"/>
  <c r="V169" i="16"/>
  <c r="U169" i="16"/>
  <c r="V168" i="16"/>
  <c r="U168" i="16"/>
  <c r="T168" i="16"/>
  <c r="V167" i="16"/>
  <c r="U167" i="16"/>
  <c r="T167" i="16"/>
  <c r="V166" i="16"/>
  <c r="U166" i="16"/>
  <c r="T166" i="16"/>
  <c r="V165" i="16"/>
  <c r="U165" i="16"/>
  <c r="T165" i="16"/>
  <c r="V164" i="16"/>
  <c r="U164" i="16"/>
  <c r="T164" i="16"/>
  <c r="V163" i="16"/>
  <c r="U163" i="16"/>
  <c r="T163" i="16"/>
  <c r="V162" i="16"/>
  <c r="U162" i="16"/>
  <c r="T162" i="16"/>
  <c r="V161" i="16"/>
  <c r="U161" i="16"/>
  <c r="T161" i="16"/>
  <c r="V160" i="16"/>
  <c r="U160" i="16"/>
  <c r="T160" i="16"/>
  <c r="V159" i="16"/>
  <c r="U159" i="16"/>
  <c r="T159" i="16"/>
  <c r="V158" i="16"/>
  <c r="U158" i="16"/>
  <c r="T158" i="16"/>
  <c r="V157" i="16"/>
  <c r="U157" i="16"/>
  <c r="T157" i="16"/>
  <c r="V156" i="16"/>
  <c r="U156" i="16"/>
  <c r="T156" i="16"/>
  <c r="V155" i="16"/>
  <c r="U155" i="16"/>
  <c r="T155" i="16"/>
  <c r="V154" i="16"/>
  <c r="U154" i="16"/>
  <c r="T154" i="16"/>
  <c r="V153" i="16"/>
  <c r="U153" i="16"/>
  <c r="T153" i="16"/>
  <c r="V152" i="16"/>
  <c r="U152" i="16"/>
  <c r="T152" i="16"/>
  <c r="V151" i="16"/>
  <c r="U151" i="16"/>
  <c r="T151" i="16"/>
  <c r="V150" i="16"/>
  <c r="U150" i="16"/>
  <c r="T150" i="16"/>
  <c r="V149" i="16"/>
  <c r="U149" i="16"/>
  <c r="T149" i="16"/>
  <c r="V148" i="16"/>
  <c r="U148" i="16"/>
  <c r="T148" i="16"/>
  <c r="V147" i="16"/>
  <c r="U147" i="16"/>
  <c r="T147" i="16"/>
  <c r="V146" i="16"/>
  <c r="U146" i="16"/>
  <c r="T146" i="16"/>
  <c r="V145" i="16"/>
  <c r="U145" i="16"/>
  <c r="T145" i="16"/>
  <c r="V144" i="16"/>
  <c r="U144" i="16"/>
  <c r="T144" i="16"/>
  <c r="V143" i="16"/>
  <c r="U143" i="16"/>
  <c r="T143" i="16"/>
  <c r="V142" i="16"/>
  <c r="U142" i="16"/>
  <c r="T142" i="16"/>
  <c r="V141" i="16"/>
  <c r="U141" i="16"/>
  <c r="T141" i="16"/>
  <c r="V140" i="16"/>
  <c r="U140" i="16"/>
  <c r="T140" i="16"/>
  <c r="V139" i="16"/>
  <c r="U139" i="16"/>
  <c r="T139" i="16"/>
  <c r="V138" i="16"/>
  <c r="U138" i="16"/>
  <c r="T138" i="16"/>
  <c r="V137" i="16"/>
  <c r="U137" i="16"/>
  <c r="T137" i="16"/>
  <c r="R137" i="16"/>
  <c r="V136" i="16"/>
  <c r="U136" i="16"/>
  <c r="T136" i="16"/>
  <c r="S136" i="16"/>
  <c r="R136" i="16"/>
  <c r="V135" i="16"/>
  <c r="U135" i="16"/>
  <c r="T135" i="16"/>
  <c r="S135" i="16"/>
  <c r="R135" i="16"/>
  <c r="V134" i="16"/>
  <c r="U134" i="16"/>
  <c r="T134" i="16"/>
  <c r="S134" i="16"/>
  <c r="R134" i="16"/>
  <c r="V133" i="16"/>
  <c r="U133" i="16"/>
  <c r="T133" i="16"/>
  <c r="S133" i="16"/>
  <c r="R133" i="16"/>
  <c r="V132" i="16"/>
  <c r="U132" i="16"/>
  <c r="T132" i="16"/>
  <c r="S132" i="16"/>
  <c r="R132" i="16"/>
  <c r="V131" i="16"/>
  <c r="U131" i="16"/>
  <c r="T131" i="16"/>
  <c r="S131" i="16"/>
  <c r="R131" i="16"/>
  <c r="V130" i="16"/>
  <c r="U130" i="16"/>
  <c r="T130" i="16"/>
  <c r="S130" i="16"/>
  <c r="R130" i="16"/>
  <c r="V129" i="16"/>
  <c r="U129" i="16"/>
  <c r="T129" i="16"/>
  <c r="S129" i="16"/>
  <c r="R129" i="16"/>
  <c r="V128" i="16"/>
  <c r="U128" i="16"/>
  <c r="T128" i="16"/>
  <c r="S128" i="16"/>
  <c r="R128" i="16"/>
  <c r="V127" i="16"/>
  <c r="U127" i="16"/>
  <c r="T127" i="16"/>
  <c r="S127" i="16"/>
  <c r="R127" i="16"/>
  <c r="V126" i="16"/>
  <c r="U126" i="16"/>
  <c r="T126" i="16"/>
  <c r="S126" i="16"/>
  <c r="R126" i="16"/>
  <c r="V125" i="16"/>
  <c r="U125" i="16"/>
  <c r="T125" i="16"/>
  <c r="S125" i="16"/>
  <c r="R125" i="16"/>
  <c r="V124" i="16"/>
  <c r="U124" i="16"/>
  <c r="T124" i="16"/>
  <c r="S124" i="16"/>
  <c r="R124" i="16"/>
  <c r="V123" i="16"/>
  <c r="U123" i="16"/>
  <c r="T123" i="16"/>
  <c r="S123" i="16"/>
  <c r="R123" i="16"/>
  <c r="V122" i="16"/>
  <c r="U122" i="16"/>
  <c r="T122" i="16"/>
  <c r="S122" i="16"/>
  <c r="R122" i="16"/>
  <c r="V121" i="16"/>
  <c r="U121" i="16"/>
  <c r="T121" i="16"/>
  <c r="S121" i="16"/>
  <c r="R121" i="16"/>
  <c r="V120" i="16"/>
  <c r="U120" i="16"/>
  <c r="T120" i="16"/>
  <c r="S120" i="16"/>
  <c r="R120" i="16"/>
  <c r="V119" i="16"/>
  <c r="U119" i="16"/>
  <c r="T119" i="16"/>
  <c r="S119" i="16"/>
  <c r="R119" i="16"/>
  <c r="V118" i="16"/>
  <c r="U118" i="16"/>
  <c r="T118" i="16"/>
  <c r="S118" i="16"/>
  <c r="R118" i="16"/>
  <c r="V117" i="16"/>
  <c r="U117" i="16"/>
  <c r="T117" i="16"/>
  <c r="S117" i="16"/>
  <c r="R117" i="16"/>
  <c r="V116" i="16"/>
  <c r="U116" i="16"/>
  <c r="T116" i="16"/>
  <c r="S116" i="16"/>
  <c r="R116" i="16"/>
  <c r="V115" i="16"/>
  <c r="U115" i="16"/>
  <c r="T115" i="16"/>
  <c r="S115" i="16"/>
  <c r="R115" i="16"/>
  <c r="V114" i="16"/>
  <c r="U114" i="16"/>
  <c r="T114" i="16"/>
  <c r="S114" i="16"/>
  <c r="R114" i="16"/>
  <c r="V113" i="16"/>
  <c r="U113" i="16"/>
  <c r="T113" i="16"/>
  <c r="S113" i="16"/>
  <c r="R113" i="16"/>
  <c r="V112" i="16"/>
  <c r="U112" i="16"/>
  <c r="T112" i="16"/>
  <c r="S112" i="16"/>
  <c r="R112" i="16"/>
  <c r="V111" i="16"/>
  <c r="U111" i="16"/>
  <c r="T111" i="16"/>
  <c r="S111" i="16"/>
  <c r="R111" i="16"/>
  <c r="V110" i="16"/>
  <c r="U110" i="16"/>
  <c r="T110" i="16"/>
  <c r="S110" i="16"/>
  <c r="R110" i="16"/>
  <c r="V109" i="16"/>
  <c r="U109" i="16"/>
  <c r="T109" i="16"/>
  <c r="S109" i="16"/>
  <c r="R109" i="16"/>
  <c r="V108" i="16"/>
  <c r="U108" i="16"/>
  <c r="T108" i="16"/>
  <c r="S108" i="16"/>
  <c r="R108" i="16"/>
  <c r="V107" i="16"/>
  <c r="U107" i="16"/>
  <c r="T107" i="16"/>
  <c r="S107" i="16"/>
  <c r="R107" i="16"/>
  <c r="V106" i="16"/>
  <c r="U106" i="16"/>
  <c r="T106" i="16"/>
  <c r="S106" i="16"/>
  <c r="V105" i="16"/>
  <c r="U105" i="16"/>
  <c r="T105" i="16"/>
  <c r="S105" i="16"/>
  <c r="R105" i="16"/>
  <c r="V104" i="16"/>
  <c r="U104" i="16"/>
  <c r="T104" i="16"/>
  <c r="S104" i="16"/>
  <c r="R104" i="16"/>
  <c r="V103" i="16"/>
  <c r="U103" i="16"/>
  <c r="T103" i="16"/>
  <c r="S103" i="16"/>
  <c r="R103" i="16"/>
  <c r="V102" i="16"/>
  <c r="U102" i="16"/>
  <c r="T102" i="16"/>
  <c r="S102" i="16"/>
  <c r="R102" i="16"/>
  <c r="V101" i="16"/>
  <c r="U101" i="16"/>
  <c r="T101" i="16"/>
  <c r="S101" i="16"/>
  <c r="R101" i="16"/>
  <c r="V100" i="16"/>
  <c r="U100" i="16"/>
  <c r="T100" i="16"/>
  <c r="S100" i="16"/>
  <c r="R100" i="16"/>
  <c r="V99" i="16"/>
  <c r="U99" i="16"/>
  <c r="T99" i="16"/>
  <c r="S99" i="16"/>
  <c r="R99" i="16"/>
  <c r="V98" i="16"/>
  <c r="U98" i="16"/>
  <c r="T98" i="16"/>
  <c r="S98" i="16"/>
  <c r="R98" i="16"/>
  <c r="V97" i="16"/>
  <c r="U97" i="16"/>
  <c r="T97" i="16"/>
  <c r="S97" i="16"/>
  <c r="R97" i="16"/>
  <c r="V96" i="16"/>
  <c r="U96" i="16"/>
  <c r="T96" i="16"/>
  <c r="S96" i="16"/>
  <c r="R96" i="16"/>
  <c r="V95" i="16"/>
  <c r="U95" i="16"/>
  <c r="T95" i="16"/>
  <c r="S95" i="16"/>
  <c r="R95" i="16"/>
  <c r="V94" i="16"/>
  <c r="U94" i="16"/>
  <c r="T94" i="16"/>
  <c r="S94" i="16"/>
  <c r="R94" i="16"/>
  <c r="V93" i="16"/>
  <c r="U93" i="16"/>
  <c r="T93" i="16"/>
  <c r="S93" i="16"/>
  <c r="R93" i="16"/>
  <c r="V92" i="16"/>
  <c r="U92" i="16"/>
  <c r="T92" i="16"/>
  <c r="S92" i="16"/>
  <c r="R92" i="16"/>
  <c r="V91" i="16"/>
  <c r="U91" i="16"/>
  <c r="T91" i="16"/>
  <c r="S91" i="16"/>
  <c r="R91" i="16"/>
  <c r="V90" i="16"/>
  <c r="U90" i="16"/>
  <c r="T90" i="16"/>
  <c r="S90" i="16"/>
  <c r="R90" i="16"/>
  <c r="V89" i="16"/>
  <c r="U89" i="16"/>
  <c r="T89" i="16"/>
  <c r="S89" i="16"/>
  <c r="R89" i="16"/>
  <c r="V88" i="16"/>
  <c r="U88" i="16"/>
  <c r="T88" i="16"/>
  <c r="S88" i="16"/>
  <c r="R88" i="16"/>
  <c r="V87" i="16"/>
  <c r="U87" i="16"/>
  <c r="T87" i="16"/>
  <c r="S87" i="16"/>
  <c r="R87" i="16"/>
  <c r="V86" i="16"/>
  <c r="U86" i="16"/>
  <c r="T86" i="16"/>
  <c r="S86" i="16"/>
  <c r="R86" i="16"/>
  <c r="V85" i="16"/>
  <c r="U85" i="16"/>
  <c r="T85" i="16"/>
  <c r="S85" i="16"/>
  <c r="R85" i="16"/>
  <c r="V84" i="16"/>
  <c r="U84" i="16"/>
  <c r="T84" i="16"/>
  <c r="S84" i="16"/>
  <c r="R84" i="16"/>
  <c r="V83" i="16"/>
  <c r="U83" i="16"/>
  <c r="T83" i="16"/>
  <c r="S83" i="16"/>
  <c r="R83" i="16"/>
  <c r="V82" i="16"/>
  <c r="U82" i="16"/>
  <c r="T82" i="16"/>
  <c r="S82" i="16"/>
  <c r="R82" i="16"/>
  <c r="V81" i="16"/>
  <c r="U81" i="16"/>
  <c r="T81" i="16"/>
  <c r="S81" i="16"/>
  <c r="R81" i="16"/>
  <c r="V80" i="16"/>
  <c r="U80" i="16"/>
  <c r="T80" i="16"/>
  <c r="S80" i="16"/>
  <c r="R80" i="16"/>
  <c r="V79" i="16"/>
  <c r="U79" i="16"/>
  <c r="T79" i="16"/>
  <c r="S79" i="16"/>
  <c r="R79" i="16"/>
  <c r="V78" i="16"/>
  <c r="U78" i="16"/>
  <c r="T78" i="16"/>
  <c r="S78" i="16"/>
  <c r="R78" i="16"/>
  <c r="V77" i="16"/>
  <c r="U77" i="16"/>
  <c r="T77" i="16"/>
  <c r="S77" i="16"/>
  <c r="R77" i="16"/>
  <c r="V76" i="16"/>
  <c r="U76" i="16"/>
  <c r="T76" i="16"/>
  <c r="S76" i="16"/>
  <c r="R76" i="16"/>
  <c r="V75" i="16"/>
  <c r="U75" i="16"/>
  <c r="T75" i="16"/>
  <c r="S75" i="16"/>
  <c r="R75" i="16"/>
  <c r="V74" i="16"/>
  <c r="U74" i="16"/>
  <c r="T74" i="16"/>
  <c r="S74" i="16"/>
  <c r="R74" i="16"/>
  <c r="V73" i="16"/>
  <c r="U73" i="16"/>
  <c r="T73" i="16"/>
  <c r="S73" i="16"/>
  <c r="R73" i="16"/>
  <c r="V72" i="16"/>
  <c r="U72" i="16"/>
  <c r="T72" i="16"/>
  <c r="S72" i="16"/>
  <c r="R72" i="16"/>
  <c r="V71" i="16"/>
  <c r="U71" i="16"/>
  <c r="T71" i="16"/>
  <c r="S71" i="16"/>
  <c r="R71" i="16"/>
  <c r="V70" i="16"/>
  <c r="U70" i="16"/>
  <c r="T70" i="16"/>
  <c r="S70" i="16"/>
  <c r="R70" i="16"/>
  <c r="V69" i="16"/>
  <c r="U69" i="16"/>
  <c r="T69" i="16"/>
  <c r="S69" i="16"/>
  <c r="R69" i="16"/>
  <c r="V68" i="16"/>
  <c r="U68" i="16"/>
  <c r="T68" i="16"/>
  <c r="S68" i="16"/>
  <c r="R68" i="16"/>
  <c r="V67" i="16"/>
  <c r="U67" i="16"/>
  <c r="T67" i="16"/>
  <c r="S67" i="16"/>
  <c r="R67" i="16"/>
  <c r="V66" i="16"/>
  <c r="U66" i="16"/>
  <c r="T66" i="16"/>
  <c r="S66" i="16"/>
  <c r="R66" i="16"/>
  <c r="V65" i="16"/>
  <c r="U65" i="16"/>
  <c r="T65" i="16"/>
  <c r="S65" i="16"/>
  <c r="R65" i="16"/>
  <c r="V64" i="16"/>
  <c r="U64" i="16"/>
  <c r="T64" i="16"/>
  <c r="S64" i="16"/>
  <c r="R64" i="16"/>
  <c r="V63" i="16"/>
  <c r="U63" i="16"/>
  <c r="T63" i="16"/>
  <c r="S63" i="16"/>
  <c r="R63" i="16"/>
  <c r="V62" i="16"/>
  <c r="U62" i="16"/>
  <c r="T62" i="16"/>
  <c r="S62" i="16"/>
  <c r="R62" i="16"/>
  <c r="V61" i="16"/>
  <c r="U61" i="16"/>
  <c r="T61" i="16"/>
  <c r="S61" i="16"/>
  <c r="R61" i="16"/>
  <c r="V60" i="16"/>
  <c r="U60" i="16"/>
  <c r="T60" i="16"/>
  <c r="S60" i="16"/>
  <c r="R60" i="16"/>
  <c r="V59" i="16"/>
  <c r="U59" i="16"/>
  <c r="T59" i="16"/>
  <c r="S59" i="16"/>
  <c r="R59" i="16"/>
  <c r="V58" i="16"/>
  <c r="U58" i="16"/>
  <c r="T58" i="16"/>
  <c r="S58" i="16"/>
  <c r="R58" i="16"/>
  <c r="V57" i="16"/>
  <c r="U57" i="16"/>
  <c r="T57" i="16"/>
  <c r="S57" i="16"/>
  <c r="R57" i="16"/>
  <c r="V56" i="16"/>
  <c r="U56" i="16"/>
  <c r="T56" i="16"/>
  <c r="S56" i="16"/>
  <c r="R56" i="16"/>
  <c r="V55" i="16"/>
  <c r="U55" i="16"/>
  <c r="T55" i="16"/>
  <c r="S55" i="16"/>
  <c r="R55" i="16"/>
  <c r="V54" i="16"/>
  <c r="U54" i="16"/>
  <c r="T54" i="16"/>
  <c r="S54" i="16"/>
  <c r="R54" i="16"/>
  <c r="V53" i="16"/>
  <c r="U53" i="16"/>
  <c r="T53" i="16"/>
  <c r="S53" i="16"/>
  <c r="R53" i="16"/>
  <c r="V52" i="16"/>
  <c r="U52" i="16"/>
  <c r="T52" i="16"/>
  <c r="S52" i="16"/>
  <c r="R52" i="16"/>
  <c r="V51" i="16"/>
  <c r="U51" i="16"/>
  <c r="T51" i="16"/>
  <c r="S51" i="16"/>
  <c r="R51" i="16"/>
  <c r="V50" i="16"/>
  <c r="U50" i="16"/>
  <c r="T50" i="16"/>
  <c r="S50" i="16"/>
  <c r="R50" i="16"/>
  <c r="V49" i="16"/>
  <c r="U49" i="16"/>
  <c r="T49" i="16"/>
  <c r="S49" i="16"/>
  <c r="R49" i="16"/>
  <c r="V48" i="16"/>
  <c r="U48" i="16"/>
  <c r="T48" i="16"/>
  <c r="S48" i="16"/>
  <c r="R48" i="16"/>
  <c r="V47" i="16"/>
  <c r="U47" i="16"/>
  <c r="T47" i="16"/>
  <c r="S47" i="16"/>
  <c r="R47" i="16"/>
  <c r="V46" i="16"/>
  <c r="U46" i="16"/>
  <c r="T46" i="16"/>
  <c r="S46" i="16"/>
  <c r="R46" i="16"/>
  <c r="V45" i="16"/>
  <c r="U45" i="16"/>
  <c r="T45" i="16"/>
  <c r="S45" i="16"/>
  <c r="V44" i="16"/>
  <c r="U44" i="16"/>
  <c r="T44" i="16"/>
  <c r="S44" i="16"/>
  <c r="R44" i="16"/>
  <c r="V43" i="16"/>
  <c r="U43" i="16"/>
  <c r="T43" i="16"/>
  <c r="S43" i="16"/>
  <c r="R43" i="16"/>
  <c r="V42" i="16"/>
  <c r="U42" i="16"/>
  <c r="T42" i="16"/>
  <c r="S42" i="16"/>
  <c r="R42" i="16"/>
  <c r="V41" i="16"/>
  <c r="U41" i="16"/>
  <c r="T41" i="16"/>
  <c r="S41" i="16"/>
  <c r="R41" i="16"/>
  <c r="V40" i="16"/>
  <c r="U40" i="16"/>
  <c r="T40" i="16"/>
  <c r="S40" i="16"/>
  <c r="R40" i="16"/>
  <c r="V39" i="16"/>
  <c r="U39" i="16"/>
  <c r="T39" i="16"/>
  <c r="S39" i="16"/>
  <c r="R39" i="16"/>
  <c r="V38" i="16"/>
  <c r="U38" i="16"/>
  <c r="T38" i="16"/>
  <c r="S38" i="16"/>
  <c r="R38" i="16"/>
  <c r="V37" i="16"/>
  <c r="U37" i="16"/>
  <c r="T37" i="16"/>
  <c r="S37" i="16"/>
  <c r="R37" i="16"/>
  <c r="V36" i="16"/>
  <c r="U36" i="16"/>
  <c r="T36" i="16"/>
  <c r="S36" i="16"/>
  <c r="R36" i="16"/>
  <c r="V35" i="16"/>
  <c r="U35" i="16"/>
  <c r="T35" i="16"/>
  <c r="S35" i="16"/>
  <c r="R35" i="16"/>
  <c r="V34" i="16"/>
  <c r="U34" i="16"/>
  <c r="T34" i="16"/>
  <c r="S34" i="16"/>
  <c r="R34" i="16"/>
  <c r="V33" i="16"/>
  <c r="U33" i="16"/>
  <c r="T33" i="16"/>
  <c r="S33" i="16"/>
  <c r="R33" i="16"/>
  <c r="V32" i="16"/>
  <c r="U32" i="16"/>
  <c r="T32" i="16"/>
  <c r="S32" i="16"/>
  <c r="R32" i="16"/>
  <c r="V31" i="16"/>
  <c r="U31" i="16"/>
  <c r="T31" i="16"/>
  <c r="S31" i="16"/>
  <c r="R31" i="16"/>
  <c r="V30" i="16"/>
  <c r="U30" i="16"/>
  <c r="T30" i="16"/>
  <c r="S30" i="16"/>
  <c r="R30" i="16"/>
  <c r="V29" i="16"/>
  <c r="U29" i="16"/>
  <c r="T29" i="16"/>
  <c r="S29" i="16"/>
  <c r="R29" i="16"/>
  <c r="V28" i="16"/>
  <c r="U28" i="16"/>
  <c r="T28" i="16"/>
  <c r="S28" i="16"/>
  <c r="R28" i="16"/>
  <c r="V27" i="16"/>
  <c r="U27" i="16"/>
  <c r="T27" i="16"/>
  <c r="S27" i="16"/>
  <c r="R27" i="16"/>
  <c r="V26" i="16"/>
  <c r="U26" i="16"/>
  <c r="T26" i="16"/>
  <c r="S26" i="16"/>
  <c r="R26" i="16"/>
  <c r="V25" i="16"/>
  <c r="U25" i="16"/>
  <c r="T25" i="16"/>
  <c r="S25" i="16"/>
  <c r="R25" i="16"/>
  <c r="V24" i="16"/>
  <c r="U24" i="16"/>
  <c r="T24" i="16"/>
  <c r="S24" i="16"/>
  <c r="R24" i="16"/>
  <c r="V23" i="16"/>
  <c r="U23" i="16"/>
  <c r="T23" i="16"/>
  <c r="S23" i="16"/>
  <c r="R23" i="16"/>
  <c r="V22" i="16"/>
  <c r="U22" i="16"/>
  <c r="T22" i="16"/>
  <c r="S22" i="16"/>
  <c r="R22" i="16"/>
  <c r="V21" i="16"/>
  <c r="U21" i="16"/>
  <c r="T21" i="16"/>
  <c r="S21" i="16"/>
  <c r="R21" i="16"/>
  <c r="V20" i="16"/>
  <c r="U20" i="16"/>
  <c r="T20" i="16"/>
  <c r="S20" i="16"/>
  <c r="R20" i="16"/>
  <c r="V19" i="16"/>
  <c r="U19" i="16"/>
  <c r="T19" i="16"/>
  <c r="S19" i="16"/>
  <c r="R19" i="16"/>
  <c r="V18" i="16"/>
  <c r="U18" i="16"/>
  <c r="T18" i="16"/>
  <c r="S18" i="16"/>
  <c r="R18" i="16"/>
  <c r="V17" i="16"/>
  <c r="U17" i="16"/>
  <c r="T17" i="16"/>
  <c r="S17" i="16"/>
  <c r="R17" i="16"/>
  <c r="V16" i="16"/>
  <c r="U16" i="16"/>
  <c r="T16" i="16"/>
  <c r="S16" i="16"/>
  <c r="R16" i="16"/>
  <c r="V15" i="16"/>
  <c r="U15" i="16"/>
  <c r="T15" i="16"/>
  <c r="S15" i="16"/>
  <c r="R15" i="16"/>
  <c r="V14" i="16"/>
  <c r="U14" i="16"/>
  <c r="T14" i="16"/>
  <c r="S14" i="16"/>
  <c r="R14" i="16"/>
  <c r="V13" i="16"/>
  <c r="U13" i="16"/>
  <c r="T13" i="16"/>
  <c r="S13" i="16"/>
  <c r="R13" i="16"/>
  <c r="V12" i="16"/>
  <c r="U12" i="16"/>
  <c r="T12" i="16"/>
  <c r="S12" i="16"/>
  <c r="R12" i="16"/>
  <c r="V11" i="16"/>
  <c r="U11" i="16"/>
  <c r="T11" i="16"/>
  <c r="S11" i="16"/>
  <c r="R11" i="16"/>
  <c r="V10" i="16"/>
  <c r="U10" i="16"/>
  <c r="T10" i="16"/>
  <c r="S10" i="16"/>
  <c r="R10" i="16"/>
  <c r="V9" i="16"/>
  <c r="U9" i="16"/>
  <c r="T9" i="16"/>
  <c r="S9" i="16"/>
  <c r="R9" i="16"/>
  <c r="V8" i="16"/>
  <c r="U8" i="16"/>
  <c r="T8" i="16"/>
  <c r="S8" i="16"/>
  <c r="R8" i="16"/>
  <c r="V7" i="16"/>
  <c r="U7" i="16"/>
  <c r="T7" i="16"/>
  <c r="S7" i="16"/>
  <c r="R7" i="16"/>
  <c r="V6" i="16"/>
  <c r="U6" i="16"/>
  <c r="T6" i="16"/>
  <c r="S6" i="16"/>
  <c r="R6" i="16"/>
  <c r="V5" i="16"/>
  <c r="U5" i="16"/>
  <c r="T5" i="16"/>
  <c r="S5" i="16"/>
  <c r="R5" i="16"/>
  <c r="V4" i="16"/>
  <c r="U4" i="16"/>
  <c r="T4" i="16"/>
  <c r="S4" i="16"/>
  <c r="R4" i="16"/>
  <c r="V3" i="16"/>
  <c r="U3" i="16"/>
  <c r="T3" i="16"/>
  <c r="S3" i="16"/>
  <c r="S212" i="16" s="1"/>
  <c r="R3" i="16"/>
  <c r="Q212" i="16"/>
  <c r="Q206" i="16"/>
  <c r="Q198" i="16"/>
  <c r="Q190" i="16"/>
  <c r="Q182" i="16"/>
  <c r="Q174" i="16"/>
  <c r="Q166" i="16"/>
  <c r="Q158" i="16"/>
  <c r="Q150" i="16"/>
  <c r="Q142" i="16"/>
  <c r="Q134" i="16"/>
  <c r="Q126" i="16"/>
  <c r="Q118" i="16"/>
  <c r="Q110" i="16"/>
  <c r="Q102" i="16"/>
  <c r="Q94" i="16"/>
  <c r="Q86" i="16"/>
  <c r="Q78" i="16"/>
  <c r="Q70" i="16"/>
  <c r="Q62" i="16"/>
  <c r="Q54" i="16"/>
  <c r="Q46" i="16"/>
  <c r="Q38" i="16"/>
  <c r="Q30" i="16"/>
  <c r="Q22" i="16"/>
  <c r="Q14" i="16"/>
  <c r="Q10" i="16"/>
  <c r="Q6" i="16"/>
  <c r="O211" i="16"/>
  <c r="Q211" i="16" s="1"/>
  <c r="O210" i="16"/>
  <c r="Q210" i="16" s="1"/>
  <c r="O209" i="16"/>
  <c r="Q209" i="16" s="1"/>
  <c r="O208" i="16"/>
  <c r="Q208" i="16" s="1"/>
  <c r="O207" i="16"/>
  <c r="Q207" i="16" s="1"/>
  <c r="O206" i="16"/>
  <c r="O205" i="16"/>
  <c r="Q205" i="16" s="1"/>
  <c r="O204" i="16"/>
  <c r="Q204" i="16" s="1"/>
  <c r="O203" i="16"/>
  <c r="Q203" i="16" s="1"/>
  <c r="O202" i="16"/>
  <c r="Q202" i="16" s="1"/>
  <c r="O201" i="16"/>
  <c r="Q201" i="16" s="1"/>
  <c r="O200" i="16"/>
  <c r="Q200" i="16" s="1"/>
  <c r="O199" i="16"/>
  <c r="Q199" i="16" s="1"/>
  <c r="O198" i="16"/>
  <c r="O197" i="16"/>
  <c r="Q197" i="16" s="1"/>
  <c r="O196" i="16"/>
  <c r="Q196" i="16" s="1"/>
  <c r="O195" i="16"/>
  <c r="Q195" i="16" s="1"/>
  <c r="O194" i="16"/>
  <c r="Q194" i="16" s="1"/>
  <c r="O193" i="16"/>
  <c r="Q193" i="16" s="1"/>
  <c r="O192" i="16"/>
  <c r="Q192" i="16" s="1"/>
  <c r="O191" i="16"/>
  <c r="Q191" i="16" s="1"/>
  <c r="O190" i="16"/>
  <c r="O189" i="16"/>
  <c r="Q189" i="16" s="1"/>
  <c r="O188" i="16"/>
  <c r="Q188" i="16" s="1"/>
  <c r="O187" i="16"/>
  <c r="Q187" i="16" s="1"/>
  <c r="O186" i="16"/>
  <c r="Q186" i="16" s="1"/>
  <c r="O185" i="16"/>
  <c r="Q185" i="16" s="1"/>
  <c r="O184" i="16"/>
  <c r="Q184" i="16" s="1"/>
  <c r="O183" i="16"/>
  <c r="Q183" i="16" s="1"/>
  <c r="O182" i="16"/>
  <c r="O181" i="16"/>
  <c r="Q181" i="16" s="1"/>
  <c r="O180" i="16"/>
  <c r="Q180" i="16" s="1"/>
  <c r="O179" i="16"/>
  <c r="Q179" i="16" s="1"/>
  <c r="O178" i="16"/>
  <c r="Q178" i="16" s="1"/>
  <c r="O177" i="16"/>
  <c r="Q177" i="16" s="1"/>
  <c r="O176" i="16"/>
  <c r="Q176" i="16" s="1"/>
  <c r="O175" i="16"/>
  <c r="Q175" i="16" s="1"/>
  <c r="O174" i="16"/>
  <c r="O173" i="16"/>
  <c r="Q173" i="16" s="1"/>
  <c r="O172" i="16"/>
  <c r="Q172" i="16" s="1"/>
  <c r="O171" i="16"/>
  <c r="Q171" i="16" s="1"/>
  <c r="O170" i="16"/>
  <c r="Q170" i="16" s="1"/>
  <c r="O169" i="16"/>
  <c r="Q169" i="16" s="1"/>
  <c r="O168" i="16"/>
  <c r="Q168" i="16" s="1"/>
  <c r="O167" i="16"/>
  <c r="Q167" i="16" s="1"/>
  <c r="O166" i="16"/>
  <c r="O165" i="16"/>
  <c r="Q165" i="16" s="1"/>
  <c r="O164" i="16"/>
  <c r="Q164" i="16" s="1"/>
  <c r="O163" i="16"/>
  <c r="Q163" i="16" s="1"/>
  <c r="O162" i="16"/>
  <c r="Q162" i="16" s="1"/>
  <c r="O161" i="16"/>
  <c r="Q161" i="16" s="1"/>
  <c r="O160" i="16"/>
  <c r="Q160" i="16" s="1"/>
  <c r="O159" i="16"/>
  <c r="Q159" i="16" s="1"/>
  <c r="O158" i="16"/>
  <c r="O157" i="16"/>
  <c r="Q157" i="16" s="1"/>
  <c r="O156" i="16"/>
  <c r="Q156" i="16" s="1"/>
  <c r="O155" i="16"/>
  <c r="Q155" i="16" s="1"/>
  <c r="O154" i="16"/>
  <c r="Q154" i="16" s="1"/>
  <c r="O153" i="16"/>
  <c r="Q153" i="16" s="1"/>
  <c r="O152" i="16"/>
  <c r="Q152" i="16" s="1"/>
  <c r="O151" i="16"/>
  <c r="Q151" i="16" s="1"/>
  <c r="O150" i="16"/>
  <c r="O149" i="16"/>
  <c r="Q149" i="16" s="1"/>
  <c r="O148" i="16"/>
  <c r="Q148" i="16" s="1"/>
  <c r="O147" i="16"/>
  <c r="Q147" i="16" s="1"/>
  <c r="O146" i="16"/>
  <c r="Q146" i="16" s="1"/>
  <c r="O145" i="16"/>
  <c r="Q145" i="16" s="1"/>
  <c r="O144" i="16"/>
  <c r="Q144" i="16" s="1"/>
  <c r="O143" i="16"/>
  <c r="Q143" i="16" s="1"/>
  <c r="O142" i="16"/>
  <c r="O141" i="16"/>
  <c r="Q141" i="16" s="1"/>
  <c r="O140" i="16"/>
  <c r="Q140" i="16" s="1"/>
  <c r="O139" i="16"/>
  <c r="Q139" i="16" s="1"/>
  <c r="O138" i="16"/>
  <c r="Q138" i="16" s="1"/>
  <c r="O137" i="16"/>
  <c r="Q137" i="16" s="1"/>
  <c r="O136" i="16"/>
  <c r="Q136" i="16" s="1"/>
  <c r="O135" i="16"/>
  <c r="Q135" i="16" s="1"/>
  <c r="O134" i="16"/>
  <c r="O133" i="16"/>
  <c r="Q133" i="16" s="1"/>
  <c r="O132" i="16"/>
  <c r="Q132" i="16" s="1"/>
  <c r="O131" i="16"/>
  <c r="Q131" i="16" s="1"/>
  <c r="O130" i="16"/>
  <c r="Q130" i="16" s="1"/>
  <c r="O129" i="16"/>
  <c r="Q129" i="16" s="1"/>
  <c r="O128" i="16"/>
  <c r="Q128" i="16" s="1"/>
  <c r="O127" i="16"/>
  <c r="Q127" i="16" s="1"/>
  <c r="O126" i="16"/>
  <c r="O125" i="16"/>
  <c r="Q125" i="16" s="1"/>
  <c r="O124" i="16"/>
  <c r="Q124" i="16" s="1"/>
  <c r="O123" i="16"/>
  <c r="Q123" i="16" s="1"/>
  <c r="O122" i="16"/>
  <c r="Q122" i="16" s="1"/>
  <c r="O121" i="16"/>
  <c r="Q121" i="16" s="1"/>
  <c r="O120" i="16"/>
  <c r="Q120" i="16" s="1"/>
  <c r="O119" i="16"/>
  <c r="Q119" i="16" s="1"/>
  <c r="O118" i="16"/>
  <c r="O117" i="16"/>
  <c r="Q117" i="16" s="1"/>
  <c r="O116" i="16"/>
  <c r="Q116" i="16" s="1"/>
  <c r="O115" i="16"/>
  <c r="Q115" i="16" s="1"/>
  <c r="O114" i="16"/>
  <c r="Q114" i="16" s="1"/>
  <c r="O113" i="16"/>
  <c r="Q113" i="16" s="1"/>
  <c r="O112" i="16"/>
  <c r="Q112" i="16" s="1"/>
  <c r="O111" i="16"/>
  <c r="Q111" i="16" s="1"/>
  <c r="O110" i="16"/>
  <c r="O109" i="16"/>
  <c r="Q109" i="16" s="1"/>
  <c r="O108" i="16"/>
  <c r="Q108" i="16" s="1"/>
  <c r="O107" i="16"/>
  <c r="Q107" i="16" s="1"/>
  <c r="O106" i="16"/>
  <c r="Q106" i="16" s="1"/>
  <c r="O105" i="16"/>
  <c r="Q105" i="16" s="1"/>
  <c r="O104" i="16"/>
  <c r="Q104" i="16" s="1"/>
  <c r="O103" i="16"/>
  <c r="Q103" i="16" s="1"/>
  <c r="O102" i="16"/>
  <c r="O101" i="16"/>
  <c r="Q101" i="16" s="1"/>
  <c r="O100" i="16"/>
  <c r="Q100" i="16" s="1"/>
  <c r="O99" i="16"/>
  <c r="Q99" i="16" s="1"/>
  <c r="O98" i="16"/>
  <c r="Q98" i="16" s="1"/>
  <c r="O97" i="16"/>
  <c r="Q97" i="16" s="1"/>
  <c r="O96" i="16"/>
  <c r="Q96" i="16" s="1"/>
  <c r="O95" i="16"/>
  <c r="Q95" i="16" s="1"/>
  <c r="O94" i="16"/>
  <c r="O93" i="16"/>
  <c r="Q93" i="16" s="1"/>
  <c r="O92" i="16"/>
  <c r="Q92" i="16" s="1"/>
  <c r="O91" i="16"/>
  <c r="Q91" i="16" s="1"/>
  <c r="O90" i="16"/>
  <c r="Q90" i="16" s="1"/>
  <c r="O89" i="16"/>
  <c r="Q89" i="16" s="1"/>
  <c r="O88" i="16"/>
  <c r="Q88" i="16" s="1"/>
  <c r="O87" i="16"/>
  <c r="Q87" i="16" s="1"/>
  <c r="O86" i="16"/>
  <c r="O85" i="16"/>
  <c r="Q85" i="16" s="1"/>
  <c r="O84" i="16"/>
  <c r="Q84" i="16" s="1"/>
  <c r="O83" i="16"/>
  <c r="Q83" i="16" s="1"/>
  <c r="O82" i="16"/>
  <c r="Q82" i="16" s="1"/>
  <c r="O81" i="16"/>
  <c r="Q81" i="16" s="1"/>
  <c r="O80" i="16"/>
  <c r="Q80" i="16" s="1"/>
  <c r="O79" i="16"/>
  <c r="Q79" i="16" s="1"/>
  <c r="O78" i="16"/>
  <c r="O77" i="16"/>
  <c r="Q77" i="16" s="1"/>
  <c r="O76" i="16"/>
  <c r="Q76" i="16" s="1"/>
  <c r="O75" i="16"/>
  <c r="Q75" i="16" s="1"/>
  <c r="O74" i="16"/>
  <c r="Q74" i="16" s="1"/>
  <c r="O73" i="16"/>
  <c r="Q73" i="16" s="1"/>
  <c r="O72" i="16"/>
  <c r="Q72" i="16" s="1"/>
  <c r="O71" i="16"/>
  <c r="Q71" i="16" s="1"/>
  <c r="O70" i="16"/>
  <c r="O69" i="16"/>
  <c r="Q69" i="16" s="1"/>
  <c r="O68" i="16"/>
  <c r="Q68" i="16" s="1"/>
  <c r="O67" i="16"/>
  <c r="Q67" i="16" s="1"/>
  <c r="O66" i="16"/>
  <c r="Q66" i="16" s="1"/>
  <c r="O65" i="16"/>
  <c r="Q65" i="16" s="1"/>
  <c r="O64" i="16"/>
  <c r="Q64" i="16" s="1"/>
  <c r="O63" i="16"/>
  <c r="Q63" i="16" s="1"/>
  <c r="O62" i="16"/>
  <c r="O61" i="16"/>
  <c r="Q61" i="16" s="1"/>
  <c r="O60" i="16"/>
  <c r="Q60" i="16" s="1"/>
  <c r="O59" i="16"/>
  <c r="Q59" i="16" s="1"/>
  <c r="O58" i="16"/>
  <c r="Q58" i="16" s="1"/>
  <c r="O57" i="16"/>
  <c r="Q57" i="16" s="1"/>
  <c r="O56" i="16"/>
  <c r="Q56" i="16" s="1"/>
  <c r="O55" i="16"/>
  <c r="Q55" i="16" s="1"/>
  <c r="O54" i="16"/>
  <c r="O53" i="16"/>
  <c r="Q53" i="16" s="1"/>
  <c r="O52" i="16"/>
  <c r="Q52" i="16" s="1"/>
  <c r="O51" i="16"/>
  <c r="Q51" i="16" s="1"/>
  <c r="O50" i="16"/>
  <c r="Q50" i="16" s="1"/>
  <c r="O49" i="16"/>
  <c r="Q49" i="16" s="1"/>
  <c r="O48" i="16"/>
  <c r="Q48" i="16" s="1"/>
  <c r="O47" i="16"/>
  <c r="Q47" i="16" s="1"/>
  <c r="O46" i="16"/>
  <c r="O45" i="16"/>
  <c r="Q45" i="16" s="1"/>
  <c r="O44" i="16"/>
  <c r="Q44" i="16" s="1"/>
  <c r="O43" i="16"/>
  <c r="Q43" i="16" s="1"/>
  <c r="O42" i="16"/>
  <c r="Q42" i="16" s="1"/>
  <c r="O41" i="16"/>
  <c r="Q41" i="16" s="1"/>
  <c r="O40" i="16"/>
  <c r="Q40" i="16" s="1"/>
  <c r="O39" i="16"/>
  <c r="Q39" i="16" s="1"/>
  <c r="O38" i="16"/>
  <c r="O37" i="16"/>
  <c r="Q37" i="16" s="1"/>
  <c r="O36" i="16"/>
  <c r="Q36" i="16" s="1"/>
  <c r="O35" i="16"/>
  <c r="Q35" i="16" s="1"/>
  <c r="O34" i="16"/>
  <c r="Q34" i="16" s="1"/>
  <c r="O33" i="16"/>
  <c r="Q33" i="16" s="1"/>
  <c r="O32" i="16"/>
  <c r="Q32" i="16" s="1"/>
  <c r="O31" i="16"/>
  <c r="Q31" i="16" s="1"/>
  <c r="O30" i="16"/>
  <c r="O29" i="16"/>
  <c r="Q29" i="16" s="1"/>
  <c r="O28" i="16"/>
  <c r="Q28" i="16" s="1"/>
  <c r="O27" i="16"/>
  <c r="Q27" i="16" s="1"/>
  <c r="O26" i="16"/>
  <c r="Q26" i="16" s="1"/>
  <c r="O25" i="16"/>
  <c r="Q25" i="16" s="1"/>
  <c r="O24" i="16"/>
  <c r="Q24" i="16" s="1"/>
  <c r="O23" i="16"/>
  <c r="Q23" i="16" s="1"/>
  <c r="O22" i="16"/>
  <c r="O21" i="16"/>
  <c r="Q21" i="16" s="1"/>
  <c r="O20" i="16"/>
  <c r="Q20" i="16" s="1"/>
  <c r="O19" i="16"/>
  <c r="Q19" i="16" s="1"/>
  <c r="O18" i="16"/>
  <c r="Q18" i="16" s="1"/>
  <c r="O17" i="16"/>
  <c r="Q17" i="16" s="1"/>
  <c r="O16" i="16"/>
  <c r="Q16" i="16" s="1"/>
  <c r="O15" i="16"/>
  <c r="Q15" i="16" s="1"/>
  <c r="O14" i="16"/>
  <c r="O13" i="16"/>
  <c r="Q13" i="16" s="1"/>
  <c r="O12" i="16"/>
  <c r="Q12" i="16" s="1"/>
  <c r="O11" i="16"/>
  <c r="Q11" i="16" s="1"/>
  <c r="O10" i="16"/>
  <c r="O9" i="16"/>
  <c r="Q9" i="16" s="1"/>
  <c r="O8" i="16"/>
  <c r="Q8" i="16" s="1"/>
  <c r="O7" i="16"/>
  <c r="Q7" i="16" s="1"/>
  <c r="O6" i="16"/>
  <c r="O5" i="16"/>
  <c r="Q5" i="16" s="1"/>
  <c r="O4" i="16"/>
  <c r="Q4" i="16" s="1"/>
  <c r="O3" i="16"/>
  <c r="Q3" i="16" s="1"/>
  <c r="K221" i="16"/>
  <c r="K223" i="16"/>
  <c r="K226" i="16"/>
  <c r="K227" i="16"/>
  <c r="L219" i="16"/>
  <c r="L217" i="16"/>
  <c r="L216" i="16"/>
  <c r="K225" i="16"/>
  <c r="K224" i="16"/>
  <c r="K222" i="16"/>
  <c r="C30" i="13"/>
  <c r="C31" i="13"/>
  <c r="C32" i="13"/>
  <c r="C33" i="13"/>
  <c r="C34" i="13"/>
  <c r="C35" i="13"/>
  <c r="C36" i="13"/>
  <c r="C37" i="13"/>
  <c r="C38" i="13"/>
  <c r="C28" i="13"/>
  <c r="T212" i="16" l="1"/>
  <c r="U212" i="16"/>
  <c r="V212" i="16"/>
  <c r="R212" i="16"/>
  <c r="M219" i="16"/>
  <c r="M217" i="16"/>
  <c r="M216" i="16"/>
  <c r="M225" i="16"/>
  <c r="M223" i="16"/>
  <c r="M224" i="16"/>
  <c r="M220" i="16"/>
  <c r="M222" i="16"/>
  <c r="M226" i="16"/>
  <c r="M227" i="16"/>
  <c r="M221" i="16"/>
  <c r="B7" i="19"/>
  <c r="L218" i="16" s="1"/>
  <c r="M218" i="16" l="1"/>
  <c r="M228" i="16" s="1"/>
  <c r="K228" i="16"/>
  <c r="L228" i="16"/>
  <c r="C29" i="13"/>
  <c r="E4" i="13"/>
  <c r="O9" i="20"/>
  <c r="Q9" i="20" s="1"/>
  <c r="O10" i="20"/>
  <c r="R9" i="20"/>
  <c r="S9" i="20"/>
  <c r="G6" i="21"/>
  <c r="D7" i="21" l="1"/>
  <c r="J6" i="21"/>
  <c r="I6" i="21"/>
  <c r="J5" i="21"/>
  <c r="J4" i="21"/>
  <c r="J7" i="21" s="1"/>
  <c r="D14" i="21" s="1"/>
  <c r="D10" i="21"/>
  <c r="D12" i="21"/>
  <c r="D9" i="21"/>
  <c r="D8" i="21"/>
  <c r="G16" i="21"/>
  <c r="G18" i="21" s="1"/>
  <c r="D13" i="21" l="1"/>
  <c r="D5" i="21"/>
  <c r="G5" i="21" l="1"/>
  <c r="D6" i="21" l="1"/>
  <c r="D15" i="21" s="1"/>
  <c r="G7" i="21"/>
  <c r="G8" i="21" s="1"/>
  <c r="B6" i="21" l="1"/>
  <c r="B7" i="21" s="1"/>
  <c r="B8" i="21" s="1"/>
  <c r="B9" i="21" s="1"/>
  <c r="B10" i="21" s="1"/>
  <c r="B11" i="21" s="1"/>
  <c r="B12" i="21" s="1"/>
  <c r="B13" i="21" s="1"/>
  <c r="B14" i="21" s="1"/>
  <c r="O4" i="20"/>
  <c r="Q4" i="20" s="1"/>
  <c r="O5" i="20"/>
  <c r="O6" i="20"/>
  <c r="O7" i="20"/>
  <c r="Q7" i="20" s="1"/>
  <c r="O8" i="20"/>
  <c r="Q8" i="20" s="1"/>
  <c r="Q10" i="20"/>
  <c r="O11" i="20"/>
  <c r="Q11" i="20" s="1"/>
  <c r="O3" i="20"/>
  <c r="Q3" i="20" s="1"/>
  <c r="L28" i="20"/>
  <c r="L27" i="20"/>
  <c r="L26" i="20"/>
  <c r="L25" i="20"/>
  <c r="L24" i="20"/>
  <c r="L23" i="20"/>
  <c r="L22" i="20"/>
  <c r="L21" i="20"/>
  <c r="L20" i="20"/>
  <c r="L19" i="20"/>
  <c r="L18" i="20"/>
  <c r="AC12" i="20"/>
  <c r="K28" i="20" s="1"/>
  <c r="M28" i="20" s="1"/>
  <c r="AB12" i="20"/>
  <c r="K27" i="20" s="1"/>
  <c r="M27" i="20" s="1"/>
  <c r="AA12" i="20"/>
  <c r="K26" i="20" s="1"/>
  <c r="M26" i="20" s="1"/>
  <c r="Z12" i="20"/>
  <c r="K25" i="20" s="1"/>
  <c r="M25" i="20" s="1"/>
  <c r="Y12" i="20"/>
  <c r="K24" i="20" s="1"/>
  <c r="X12" i="20"/>
  <c r="K23" i="20" s="1"/>
  <c r="W12" i="20"/>
  <c r="K22" i="20" s="1"/>
  <c r="V12" i="20"/>
  <c r="K21" i="20" s="1"/>
  <c r="U12" i="20"/>
  <c r="K20" i="20" s="1"/>
  <c r="T12" i="20"/>
  <c r="K19" i="20" s="1"/>
  <c r="M19" i="20" s="1"/>
  <c r="S11" i="20"/>
  <c r="R11" i="20"/>
  <c r="S10" i="20"/>
  <c r="R10" i="20"/>
  <c r="S8" i="20"/>
  <c r="R8" i="20"/>
  <c r="S7" i="20"/>
  <c r="R7" i="20"/>
  <c r="S6" i="20"/>
  <c r="R6" i="20"/>
  <c r="Q6" i="20"/>
  <c r="S5" i="20"/>
  <c r="R5" i="20"/>
  <c r="Q5" i="20"/>
  <c r="S4" i="20"/>
  <c r="R4" i="20"/>
  <c r="S3" i="20"/>
  <c r="R3" i="20"/>
  <c r="O21" i="13"/>
  <c r="P21" i="13"/>
  <c r="R21" i="13" s="1"/>
  <c r="S21" i="13"/>
  <c r="T21" i="13"/>
  <c r="U21" i="13"/>
  <c r="V21" i="13"/>
  <c r="W21" i="13"/>
  <c r="X21" i="13"/>
  <c r="Y21" i="13"/>
  <c r="Z21" i="13"/>
  <c r="AA21" i="13"/>
  <c r="AB21" i="13"/>
  <c r="T3" i="13"/>
  <c r="T4" i="13"/>
  <c r="T5" i="13"/>
  <c r="T6" i="13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2" i="13"/>
  <c r="G9" i="18"/>
  <c r="L14" i="18"/>
  <c r="L15" i="18"/>
  <c r="L16" i="18"/>
  <c r="L17" i="18"/>
  <c r="L18" i="18"/>
  <c r="L19" i="18"/>
  <c r="L20" i="18"/>
  <c r="L21" i="18"/>
  <c r="L22" i="18"/>
  <c r="L23" i="18"/>
  <c r="L24" i="18"/>
  <c r="P3" i="13"/>
  <c r="R3" i="13" s="1"/>
  <c r="P4" i="13"/>
  <c r="R4" i="13" s="1"/>
  <c r="P5" i="13"/>
  <c r="R5" i="13" s="1"/>
  <c r="P6" i="13"/>
  <c r="R6" i="13" s="1"/>
  <c r="P7" i="13"/>
  <c r="R7" i="13" s="1"/>
  <c r="P8" i="13"/>
  <c r="P9" i="13"/>
  <c r="R9" i="13" s="1"/>
  <c r="P10" i="13"/>
  <c r="R10" i="13" s="1"/>
  <c r="P11" i="13"/>
  <c r="R11" i="13" s="1"/>
  <c r="P12" i="13"/>
  <c r="R12" i="13" s="1"/>
  <c r="P13" i="13"/>
  <c r="R13" i="13" s="1"/>
  <c r="P14" i="13"/>
  <c r="R14" i="13" s="1"/>
  <c r="P15" i="13"/>
  <c r="R15" i="13" s="1"/>
  <c r="P16" i="13"/>
  <c r="P17" i="13"/>
  <c r="R17" i="13" s="1"/>
  <c r="P18" i="13"/>
  <c r="R18" i="13" s="1"/>
  <c r="P19" i="13"/>
  <c r="R19" i="13" s="1"/>
  <c r="P20" i="13"/>
  <c r="R20" i="13" s="1"/>
  <c r="P22" i="13"/>
  <c r="R22" i="13" s="1"/>
  <c r="P2" i="13"/>
  <c r="R2" i="13" s="1"/>
  <c r="A38" i="13"/>
  <c r="A37" i="13"/>
  <c r="A36" i="13"/>
  <c r="A35" i="13"/>
  <c r="A34" i="13"/>
  <c r="A33" i="13"/>
  <c r="A32" i="13"/>
  <c r="A31" i="13"/>
  <c r="A30" i="13"/>
  <c r="A29" i="13"/>
  <c r="A28" i="13"/>
  <c r="A27" i="13"/>
  <c r="AC22" i="13"/>
  <c r="AB22" i="13"/>
  <c r="AA22" i="13"/>
  <c r="Z22" i="13"/>
  <c r="Y22" i="13"/>
  <c r="X22" i="13"/>
  <c r="W22" i="13"/>
  <c r="V22" i="13"/>
  <c r="U22" i="13"/>
  <c r="S22" i="13"/>
  <c r="O22" i="13"/>
  <c r="AC20" i="13"/>
  <c r="AB20" i="13"/>
  <c r="AA20" i="13"/>
  <c r="Z20" i="13"/>
  <c r="Y20" i="13"/>
  <c r="X20" i="13"/>
  <c r="W20" i="13"/>
  <c r="V20" i="13"/>
  <c r="U20" i="13"/>
  <c r="S20" i="13"/>
  <c r="O20" i="13"/>
  <c r="AC19" i="13"/>
  <c r="AB19" i="13"/>
  <c r="AA19" i="13"/>
  <c r="Z19" i="13"/>
  <c r="Y19" i="13"/>
  <c r="X19" i="13"/>
  <c r="W19" i="13"/>
  <c r="V19" i="13"/>
  <c r="U19" i="13"/>
  <c r="S19" i="13"/>
  <c r="O19" i="13"/>
  <c r="AC18" i="13"/>
  <c r="AB18" i="13"/>
  <c r="AA18" i="13"/>
  <c r="Z18" i="13"/>
  <c r="Y18" i="13"/>
  <c r="X18" i="13"/>
  <c r="W18" i="13"/>
  <c r="V18" i="13"/>
  <c r="U18" i="13"/>
  <c r="S18" i="13"/>
  <c r="O18" i="13"/>
  <c r="AC17" i="13"/>
  <c r="AB17" i="13"/>
  <c r="AA17" i="13"/>
  <c r="Z17" i="13"/>
  <c r="Y17" i="13"/>
  <c r="X17" i="13"/>
  <c r="W17" i="13"/>
  <c r="V17" i="13"/>
  <c r="U17" i="13"/>
  <c r="S17" i="13"/>
  <c r="O17" i="13"/>
  <c r="AC16" i="13"/>
  <c r="AB16" i="13"/>
  <c r="AA16" i="13"/>
  <c r="Z16" i="13"/>
  <c r="Y16" i="13"/>
  <c r="X16" i="13"/>
  <c r="W16" i="13"/>
  <c r="V16" i="13"/>
  <c r="U16" i="13"/>
  <c r="S16" i="13"/>
  <c r="R16" i="13"/>
  <c r="O16" i="13"/>
  <c r="Q16" i="13" s="1"/>
  <c r="AC15" i="13"/>
  <c r="AB15" i="13"/>
  <c r="AA15" i="13"/>
  <c r="Z15" i="13"/>
  <c r="Y15" i="13"/>
  <c r="X15" i="13"/>
  <c r="W15" i="13"/>
  <c r="V15" i="13"/>
  <c r="U15" i="13"/>
  <c r="S15" i="13"/>
  <c r="O15" i="13"/>
  <c r="AC14" i="13"/>
  <c r="AB14" i="13"/>
  <c r="AA14" i="13"/>
  <c r="Z14" i="13"/>
  <c r="Y14" i="13"/>
  <c r="X14" i="13"/>
  <c r="W14" i="13"/>
  <c r="V14" i="13"/>
  <c r="U14" i="13"/>
  <c r="S14" i="13"/>
  <c r="O14" i="13"/>
  <c r="AC13" i="13"/>
  <c r="AB13" i="13"/>
  <c r="AA13" i="13"/>
  <c r="Z13" i="13"/>
  <c r="Y13" i="13"/>
  <c r="X13" i="13"/>
  <c r="W13" i="13"/>
  <c r="V13" i="13"/>
  <c r="U13" i="13"/>
  <c r="S13" i="13"/>
  <c r="O13" i="13"/>
  <c r="Q13" i="13" s="1"/>
  <c r="AC12" i="13"/>
  <c r="AB12" i="13"/>
  <c r="AA12" i="13"/>
  <c r="Z12" i="13"/>
  <c r="Y12" i="13"/>
  <c r="X12" i="13"/>
  <c r="W12" i="13"/>
  <c r="V12" i="13"/>
  <c r="U12" i="13"/>
  <c r="S12" i="13"/>
  <c r="O12" i="13"/>
  <c r="AC11" i="13"/>
  <c r="AB11" i="13"/>
  <c r="AA11" i="13"/>
  <c r="Z11" i="13"/>
  <c r="Y11" i="13"/>
  <c r="X11" i="13"/>
  <c r="W11" i="13"/>
  <c r="V11" i="13"/>
  <c r="U11" i="13"/>
  <c r="S11" i="13"/>
  <c r="O11" i="13"/>
  <c r="AC10" i="13"/>
  <c r="AB10" i="13"/>
  <c r="AA10" i="13"/>
  <c r="Z10" i="13"/>
  <c r="Y10" i="13"/>
  <c r="X10" i="13"/>
  <c r="W10" i="13"/>
  <c r="V10" i="13"/>
  <c r="U10" i="13"/>
  <c r="S10" i="13"/>
  <c r="O10" i="13"/>
  <c r="AC9" i="13"/>
  <c r="AB9" i="13"/>
  <c r="AA9" i="13"/>
  <c r="Z9" i="13"/>
  <c r="Y9" i="13"/>
  <c r="X9" i="13"/>
  <c r="W9" i="13"/>
  <c r="V9" i="13"/>
  <c r="U9" i="13"/>
  <c r="S9" i="13"/>
  <c r="O9" i="13"/>
  <c r="AC8" i="13"/>
  <c r="AB8" i="13"/>
  <c r="AA8" i="13"/>
  <c r="Z8" i="13"/>
  <c r="Y8" i="13"/>
  <c r="X8" i="13"/>
  <c r="W8" i="13"/>
  <c r="V8" i="13"/>
  <c r="U8" i="13"/>
  <c r="S8" i="13"/>
  <c r="R8" i="13"/>
  <c r="O8" i="13"/>
  <c r="Q8" i="13" s="1"/>
  <c r="AC7" i="13"/>
  <c r="AB7" i="13"/>
  <c r="AA7" i="13"/>
  <c r="Z7" i="13"/>
  <c r="Y7" i="13"/>
  <c r="X7" i="13"/>
  <c r="W7" i="13"/>
  <c r="V7" i="13"/>
  <c r="U7" i="13"/>
  <c r="S7" i="13"/>
  <c r="O7" i="13"/>
  <c r="AC6" i="13"/>
  <c r="AB6" i="13"/>
  <c r="AA6" i="13"/>
  <c r="Z6" i="13"/>
  <c r="Y6" i="13"/>
  <c r="X6" i="13"/>
  <c r="W6" i="13"/>
  <c r="V6" i="13"/>
  <c r="U6" i="13"/>
  <c r="S6" i="13"/>
  <c r="O6" i="13"/>
  <c r="AC5" i="13"/>
  <c r="AB5" i="13"/>
  <c r="AA5" i="13"/>
  <c r="Z5" i="13"/>
  <c r="Y5" i="13"/>
  <c r="X5" i="13"/>
  <c r="W5" i="13"/>
  <c r="V5" i="13"/>
  <c r="U5" i="13"/>
  <c r="S5" i="13"/>
  <c r="O5" i="13"/>
  <c r="AC4" i="13"/>
  <c r="AB4" i="13"/>
  <c r="AA4" i="13"/>
  <c r="Z4" i="13"/>
  <c r="Y4" i="13"/>
  <c r="X4" i="13"/>
  <c r="W4" i="13"/>
  <c r="V4" i="13"/>
  <c r="U4" i="13"/>
  <c r="S4" i="13"/>
  <c r="O4" i="13"/>
  <c r="AC3" i="13"/>
  <c r="AB3" i="13"/>
  <c r="AA3" i="13"/>
  <c r="Z3" i="13"/>
  <c r="Y3" i="13"/>
  <c r="X3" i="13"/>
  <c r="W3" i="13"/>
  <c r="V3" i="13"/>
  <c r="U3" i="13"/>
  <c r="S3" i="13"/>
  <c r="O3" i="13"/>
  <c r="AC2" i="13"/>
  <c r="AB2" i="13"/>
  <c r="AA2" i="13"/>
  <c r="Z2" i="13"/>
  <c r="Y2" i="13"/>
  <c r="X2" i="13"/>
  <c r="W2" i="13"/>
  <c r="V2" i="13"/>
  <c r="U2" i="13"/>
  <c r="T2" i="13"/>
  <c r="S2" i="13"/>
  <c r="O2" i="13"/>
  <c r="G5" i="17"/>
  <c r="G6" i="17"/>
  <c r="G7" i="17"/>
  <c r="G8" i="17"/>
  <c r="G9" i="17"/>
  <c r="G10" i="17"/>
  <c r="G11" i="17"/>
  <c r="G12" i="17"/>
  <c r="G13" i="17"/>
  <c r="G14" i="17"/>
  <c r="G15" i="17"/>
  <c r="B5" i="19"/>
  <c r="L13" i="18" l="1"/>
  <c r="C27" i="13"/>
  <c r="C39" i="13" s="1"/>
  <c r="Q9" i="13"/>
  <c r="Q17" i="13"/>
  <c r="L17" i="20"/>
  <c r="L29" i="20" s="1"/>
  <c r="M22" i="20"/>
  <c r="S12" i="20"/>
  <c r="R12" i="20"/>
  <c r="M21" i="20"/>
  <c r="M20" i="20"/>
  <c r="M23" i="20"/>
  <c r="M24" i="20"/>
  <c r="K17" i="20"/>
  <c r="K18" i="20"/>
  <c r="M18" i="20" s="1"/>
  <c r="Q5" i="13"/>
  <c r="AC23" i="13"/>
  <c r="B38" i="13" s="1"/>
  <c r="L25" i="18"/>
  <c r="Q22" i="13"/>
  <c r="V23" i="13"/>
  <c r="B31" i="13" s="1"/>
  <c r="D31" i="13" s="1"/>
  <c r="Y23" i="13"/>
  <c r="B34" i="13" s="1"/>
  <c r="D34" i="13" s="1"/>
  <c r="W23" i="13"/>
  <c r="B32" i="13" s="1"/>
  <c r="D32" i="13" s="1"/>
  <c r="U23" i="13"/>
  <c r="B30" i="13" s="1"/>
  <c r="D30" i="13" s="1"/>
  <c r="Q21" i="13"/>
  <c r="AB23" i="13"/>
  <c r="B37" i="13" s="1"/>
  <c r="AA23" i="13"/>
  <c r="B36" i="13" s="1"/>
  <c r="D36" i="13" s="1"/>
  <c r="Z23" i="13"/>
  <c r="B35" i="13" s="1"/>
  <c r="X23" i="13"/>
  <c r="B33" i="13" s="1"/>
  <c r="D33" i="13" s="1"/>
  <c r="T23" i="13"/>
  <c r="B29" i="13" s="1"/>
  <c r="D29" i="13" s="1"/>
  <c r="S23" i="13"/>
  <c r="B28" i="13" s="1"/>
  <c r="D28" i="13" s="1"/>
  <c r="R23" i="13"/>
  <c r="B27" i="13" s="1"/>
  <c r="Q4" i="13"/>
  <c r="Q20" i="13"/>
  <c r="Q6" i="13"/>
  <c r="Q12" i="13"/>
  <c r="Q14" i="13"/>
  <c r="Q7" i="13"/>
  <c r="Q10" i="13"/>
  <c r="Q3" i="13"/>
  <c r="Q19" i="13"/>
  <c r="Q18" i="13"/>
  <c r="Q11" i="13"/>
  <c r="Q15" i="13"/>
  <c r="O23" i="13"/>
  <c r="D37" i="13"/>
  <c r="D35" i="13"/>
  <c r="D38" i="13"/>
  <c r="Q2" i="13"/>
  <c r="E13" i="15"/>
  <c r="F13" i="15" s="1"/>
  <c r="E12" i="15"/>
  <c r="F12" i="15" s="1"/>
  <c r="D27" i="13" l="1"/>
  <c r="K29" i="20"/>
  <c r="M17" i="20"/>
  <c r="M29" i="20" s="1"/>
  <c r="Q23" i="13"/>
  <c r="B39" i="13"/>
  <c r="D39" i="13"/>
  <c r="D15" i="15"/>
  <c r="F15" i="17"/>
  <c r="D15" i="17"/>
  <c r="B15" i="17"/>
  <c r="B4" i="17"/>
  <c r="D5" i="17"/>
  <c r="D6" i="17"/>
  <c r="D7" i="17"/>
  <c r="D8" i="17"/>
  <c r="D9" i="17"/>
  <c r="D10" i="17"/>
  <c r="D11" i="17"/>
  <c r="D12" i="17"/>
  <c r="D13" i="17"/>
  <c r="D14" i="17"/>
  <c r="D4" i="17"/>
  <c r="E14" i="15"/>
  <c r="F14" i="15" s="1"/>
  <c r="E11" i="15"/>
  <c r="F11" i="15" s="1"/>
  <c r="E10" i="15"/>
  <c r="F10" i="15" s="1"/>
  <c r="E9" i="15"/>
  <c r="F9" i="15" s="1"/>
  <c r="E8" i="15"/>
  <c r="F8" i="15" s="1"/>
  <c r="E7" i="15"/>
  <c r="F7" i="15" s="1"/>
  <c r="E6" i="15"/>
  <c r="F6" i="15" s="1"/>
  <c r="E5" i="15"/>
  <c r="F5" i="15" s="1"/>
  <c r="E4" i="15"/>
  <c r="F4" i="15" s="1"/>
  <c r="E3" i="15"/>
  <c r="E15" i="15" l="1"/>
  <c r="G4" i="17"/>
  <c r="I4" i="17" s="1"/>
  <c r="F3" i="15"/>
  <c r="F15" i="15" s="1"/>
  <c r="B17" i="19"/>
  <c r="F4" i="17"/>
  <c r="G25" i="18"/>
  <c r="H25" i="18" s="1"/>
  <c r="K20" i="18" s="1"/>
  <c r="M20" i="18" s="1"/>
  <c r="G22" i="18"/>
  <c r="G39" i="18"/>
  <c r="G38" i="18"/>
  <c r="G37" i="18"/>
  <c r="H37" i="18" s="1"/>
  <c r="K24" i="18" s="1"/>
  <c r="M24" i="18" s="1"/>
  <c r="G36" i="18"/>
  <c r="G35" i="18"/>
  <c r="G34" i="18"/>
  <c r="H34" i="18" s="1"/>
  <c r="K23" i="18" s="1"/>
  <c r="M23" i="18" s="1"/>
  <c r="G33" i="18"/>
  <c r="G32" i="18"/>
  <c r="G31" i="18"/>
  <c r="G30" i="18"/>
  <c r="G29" i="18"/>
  <c r="G28" i="18"/>
  <c r="G27" i="18"/>
  <c r="G26" i="18"/>
  <c r="G24" i="18"/>
  <c r="G23" i="18"/>
  <c r="G21" i="18"/>
  <c r="G20" i="18"/>
  <c r="G19" i="18"/>
  <c r="H19" i="18" s="1"/>
  <c r="K18" i="18" s="1"/>
  <c r="M18" i="18" s="1"/>
  <c r="G17" i="18"/>
  <c r="G16" i="18"/>
  <c r="G15" i="18"/>
  <c r="G14" i="18"/>
  <c r="G13" i="18"/>
  <c r="G12" i="18"/>
  <c r="G11" i="18"/>
  <c r="G10" i="18"/>
  <c r="G8" i="18"/>
  <c r="G7" i="18"/>
  <c r="G6" i="18"/>
  <c r="G5" i="18"/>
  <c r="G4" i="18"/>
  <c r="E37" i="18"/>
  <c r="F37" i="18" s="1"/>
  <c r="E34" i="18"/>
  <c r="F36" i="18" s="1"/>
  <c r="E31" i="18"/>
  <c r="F32" i="18" s="1"/>
  <c r="E28" i="18"/>
  <c r="F28" i="18" s="1"/>
  <c r="H16" i="18" l="1"/>
  <c r="K17" i="18" s="1"/>
  <c r="M17" i="18" s="1"/>
  <c r="H22" i="18"/>
  <c r="K19" i="18" s="1"/>
  <c r="M19" i="18" s="1"/>
  <c r="H10" i="18"/>
  <c r="K15" i="18" s="1"/>
  <c r="M15" i="18" s="1"/>
  <c r="H28" i="18"/>
  <c r="K21" i="18" s="1"/>
  <c r="M21" i="18" s="1"/>
  <c r="H4" i="18"/>
  <c r="K13" i="18" s="1"/>
  <c r="M13" i="18" s="1"/>
  <c r="H13" i="18"/>
  <c r="K16" i="18" s="1"/>
  <c r="M16" i="18" s="1"/>
  <c r="H31" i="18"/>
  <c r="K22" i="18" s="1"/>
  <c r="M22" i="18" s="1"/>
  <c r="H7" i="18"/>
  <c r="D40" i="18"/>
  <c r="E25" i="18"/>
  <c r="F27" i="18" s="1"/>
  <c r="G40" i="18"/>
  <c r="F34" i="18"/>
  <c r="F38" i="18"/>
  <c r="F35" i="18"/>
  <c r="F33" i="18"/>
  <c r="F29" i="18"/>
  <c r="F30" i="18"/>
  <c r="F39" i="18"/>
  <c r="F31" i="18"/>
  <c r="F26" i="18"/>
  <c r="H40" i="18" l="1"/>
  <c r="K14" i="18"/>
  <c r="M14" i="18" s="1"/>
  <c r="M25" i="18" s="1"/>
  <c r="K25" i="18"/>
  <c r="F25" i="18"/>
  <c r="E16" i="18"/>
  <c r="F16" i="18" s="1"/>
  <c r="E13" i="18"/>
  <c r="F15" i="18" s="1"/>
  <c r="E10" i="18"/>
  <c r="F12" i="18" s="1"/>
  <c r="E7" i="18"/>
  <c r="F7" i="18" s="1"/>
  <c r="E4" i="18"/>
  <c r="F4" i="18" s="1"/>
  <c r="G16" i="17"/>
  <c r="H4" i="17" s="1"/>
  <c r="E16" i="17"/>
  <c r="I15" i="17"/>
  <c r="I14" i="17"/>
  <c r="F14" i="17"/>
  <c r="B14" i="17"/>
  <c r="I13" i="17"/>
  <c r="F13" i="17"/>
  <c r="B13" i="17"/>
  <c r="I12" i="17"/>
  <c r="F12" i="17"/>
  <c r="B12" i="17"/>
  <c r="I11" i="17"/>
  <c r="F11" i="17"/>
  <c r="B11" i="17"/>
  <c r="I10" i="17"/>
  <c r="F10" i="17"/>
  <c r="B10" i="17"/>
  <c r="I9" i="17"/>
  <c r="F9" i="17"/>
  <c r="B9" i="17"/>
  <c r="I8" i="17"/>
  <c r="F8" i="17"/>
  <c r="B8" i="17"/>
  <c r="I7" i="17"/>
  <c r="F7" i="17"/>
  <c r="B7" i="17"/>
  <c r="I6" i="17"/>
  <c r="F6" i="17"/>
  <c r="B6" i="17"/>
  <c r="I5" i="17"/>
  <c r="F5" i="17"/>
  <c r="B5" i="17"/>
  <c r="C16" i="17"/>
  <c r="H16" i="17" l="1"/>
  <c r="F13" i="18"/>
  <c r="F9" i="18"/>
  <c r="F8" i="18"/>
  <c r="F5" i="18"/>
  <c r="F6" i="18"/>
  <c r="F10" i="18"/>
  <c r="F17" i="18"/>
  <c r="F14" i="18"/>
  <c r="F11" i="18"/>
  <c r="F18" i="18"/>
  <c r="E19" i="18"/>
  <c r="E22" i="18"/>
  <c r="F22" i="18" s="1"/>
  <c r="F24" i="18" l="1"/>
  <c r="F23" i="18"/>
  <c r="F21" i="18"/>
  <c r="F20" i="18"/>
  <c r="F19" i="18"/>
  <c r="F40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S133" authorId="0" shapeId="0" xr:uid="{443A187A-19D1-4140-B704-98AE2A011DB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compro 5 rodillos para trabajo especial
</t>
        </r>
      </text>
    </comment>
    <comment ref="R212" authorId="0" shapeId="0" xr:uid="{10F005A0-A581-42D3-BD20-1777BCEA7099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valor de 23,584,683 es con las 41 unidades de riel, osea en total 12,309,638
</t>
        </r>
      </text>
    </comment>
    <comment ref="S212" authorId="0" shapeId="0" xr:uid="{34E1F9A3-13FE-4EA6-BAEA-AA28F8C9738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compro 45 unidades de riel y hubieron insumos de labores espciales como los aisladores y los rodillos
</t>
        </r>
      </text>
    </comment>
    <comment ref="T212" authorId="0" shapeId="0" xr:uid="{630ACF50-5B9C-43A8-B854-C5DE7F06CF2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VALOR ES ALTO DEBIDO A LA COMPRA DE 8 AUTORESCATADORES Y 1 MOTOSIERRA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E10" authorId="0" shapeId="0" xr:uid="{DB7197D0-A931-420C-8CB2-290C9C7030D9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SALDO ANTERIOR DE 24,834,441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NAC2</author>
  </authors>
  <commentList>
    <comment ref="D9" authorId="0" shapeId="0" xr:uid="{549133C4-8FF3-4BAA-A6CA-6B06D5EF9E1D}">
      <text>
        <r>
          <rPr>
            <b/>
            <sz val="9"/>
            <color indexed="81"/>
            <rFont val="Tahoma"/>
            <family val="2"/>
          </rPr>
          <t>NAC2:</t>
        </r>
        <r>
          <rPr>
            <sz val="9"/>
            <color indexed="81"/>
            <rFont val="Tahoma"/>
            <family val="2"/>
          </rPr>
          <t xml:space="preserve">
v/r cambio aceite $4,936,000 en el año</t>
        </r>
      </text>
    </comment>
    <comment ref="D10" authorId="0" shapeId="0" xr:uid="{D56FB74A-9220-45F6-B1FB-B1D227C7E8A3}">
      <text>
        <r>
          <rPr>
            <b/>
            <sz val="9"/>
            <color indexed="81"/>
            <rFont val="Tahoma"/>
            <family val="2"/>
          </rPr>
          <t>NAC2:</t>
        </r>
        <r>
          <rPr>
            <sz val="9"/>
            <color indexed="81"/>
            <rFont val="Tahoma"/>
            <family val="2"/>
          </rPr>
          <t xml:space="preserve">
v/r mantenimiento $6,699,971
</t>
        </r>
      </text>
    </comment>
  </commentList>
</comments>
</file>

<file path=xl/sharedStrings.xml><?xml version="1.0" encoding="utf-8"?>
<sst xmlns="http://schemas.openxmlformats.org/spreadsheetml/2006/main" count="586" uniqueCount="349">
  <si>
    <t>TOTAL</t>
  </si>
  <si>
    <t>JULIO</t>
  </si>
  <si>
    <t>AGOSTO</t>
  </si>
  <si>
    <t>SEPTIEMBRE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</si>
  <si>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</si>
  <si>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</si>
  <si>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</si>
  <si>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</si>
  <si>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</si>
  <si>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</si>
  <si>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</si>
  <si>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</si>
  <si>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OCTUBRE</t>
  </si>
  <si>
    <t>EPP</t>
  </si>
  <si>
    <t>GUANTES CARNAZA</t>
  </si>
  <si>
    <t>FILTROS 7093C</t>
  </si>
  <si>
    <t>PRECIO UNITARIO</t>
  </si>
  <si>
    <t xml:space="preserve">MASCARILLA 3M </t>
  </si>
  <si>
    <t>GUANTES NITRILO</t>
  </si>
  <si>
    <t>PROTECTOR AUDITIVO</t>
  </si>
  <si>
    <t>LAMPARAS KL6</t>
  </si>
  <si>
    <t>CASCOS</t>
  </si>
  <si>
    <t>BARBUQUEJOS 4 PUNTOS</t>
  </si>
  <si>
    <t>TAFILETE DE ROSCA</t>
  </si>
  <si>
    <t>GAFAS NEGRAS</t>
  </si>
  <si>
    <t>GUANTES DE IMPACTO</t>
  </si>
  <si>
    <t>BOTAS DE MATERIAL</t>
  </si>
  <si>
    <t>FILTROS 2091 ROSADOS</t>
  </si>
  <si>
    <t>GAFAS TRANSPARENTES</t>
  </si>
  <si>
    <t>GAFAS DE MALLA</t>
  </si>
  <si>
    <t>INSUMOS</t>
  </si>
  <si>
    <t>AGOSTO EN PESOS</t>
  </si>
  <si>
    <t>ENERO EN PESOS</t>
  </si>
  <si>
    <t>FEBRERO EN PESOS</t>
  </si>
  <si>
    <t>MARZO EN PESOS</t>
  </si>
  <si>
    <t>ABRIL EN PESOS</t>
  </si>
  <si>
    <t>MAYO EN PESOS</t>
  </si>
  <si>
    <t>JUNIO EN PESOS</t>
  </si>
  <si>
    <t>JULIO EN PESOS</t>
  </si>
  <si>
    <t xml:space="preserve">NOVIEMBRE  </t>
  </si>
  <si>
    <t>SEPTIEMBRE EN PESOS</t>
  </si>
  <si>
    <t>OCTUBRE EN PESOS</t>
  </si>
  <si>
    <t>NOVIEMBRE EN PESOS</t>
  </si>
  <si>
    <t>DICIEMBRE EN PESOS</t>
  </si>
  <si>
    <t xml:space="preserve">MES </t>
  </si>
  <si>
    <t>TAPA ODIO DE INSERCION</t>
  </si>
  <si>
    <t>AEROSOL</t>
  </si>
  <si>
    <t>guantes de corte</t>
  </si>
  <si>
    <t>GAFAS PROTECTORAS 3M</t>
  </si>
  <si>
    <t xml:space="preserve">GUANTES DE SOLDADOR </t>
  </si>
  <si>
    <t>MES</t>
  </si>
  <si>
    <t>CONSUMO DIARIO Kw</t>
  </si>
  <si>
    <t>CONSUMO MENSUAL Kw</t>
  </si>
  <si>
    <t xml:space="preserve">VALOR A PAGAR </t>
  </si>
  <si>
    <t>VALOR A PAGAR EN MM</t>
  </si>
  <si>
    <t>PRODUCION  MES TON</t>
  </si>
  <si>
    <t>PRODUCION ANUAL  MES TON</t>
  </si>
  <si>
    <t>COSTO TONELADA VS ENERGIA</t>
  </si>
  <si>
    <t xml:space="preserve">ENERO </t>
  </si>
  <si>
    <t>MINA</t>
  </si>
  <si>
    <t>Unid</t>
  </si>
  <si>
    <t xml:space="preserve">PART. PORCENTUAL </t>
  </si>
  <si>
    <t>Palancas</t>
  </si>
  <si>
    <t xml:space="preserve">PRECIO DE RIEL </t>
  </si>
  <si>
    <t>precio varas</t>
  </si>
  <si>
    <t>TOTAL 2025</t>
  </si>
  <si>
    <t>Octubre</t>
  </si>
  <si>
    <t>Noviembre</t>
  </si>
  <si>
    <t>Diciembre</t>
  </si>
  <si>
    <t>PRECIO PALANCA</t>
  </si>
  <si>
    <t>PRECIO DE TABLA</t>
  </si>
  <si>
    <t>ITEMS</t>
  </si>
  <si>
    <t>V/R COMERCIAL</t>
  </si>
  <si>
    <t>V/R SR ALDEMAR</t>
  </si>
  <si>
    <t>precio Tabla especial</t>
  </si>
  <si>
    <t>precio Tacos</t>
  </si>
  <si>
    <t>VALOR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</si>
  <si>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</si>
  <si>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</si>
  <si>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</si>
  <si>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</si>
  <si>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</si>
  <si>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</si>
  <si>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</si>
  <si>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</si>
  <si>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</si>
  <si>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Tabla</t>
  </si>
  <si>
    <t>Riel</t>
  </si>
  <si>
    <t xml:space="preserve">Palancas </t>
  </si>
  <si>
    <t>Tablas</t>
  </si>
  <si>
    <t>COSTO KW 2025</t>
  </si>
  <si>
    <t>PRODUCCION MES</t>
  </si>
  <si>
    <t xml:space="preserve">PRODUCCION </t>
  </si>
  <si>
    <t>V/R INSUMOS</t>
  </si>
  <si>
    <t>TON</t>
  </si>
  <si>
    <t>V/R * TONELADA</t>
  </si>
  <si>
    <t>TOTALES</t>
  </si>
  <si>
    <t>PRODUCCION</t>
  </si>
  <si>
    <t xml:space="preserve">RESORTE DE SUJECCION PARA MARTILLO 8.5KG </t>
  </si>
  <si>
    <t>abrazadera industrial (500 y 501)</t>
  </si>
  <si>
    <t xml:space="preserve">acople espigo macho 3/4 </t>
  </si>
  <si>
    <t>cinta ducto</t>
  </si>
  <si>
    <t>puntilla vareta</t>
  </si>
  <si>
    <t>hoja de cegueta</t>
  </si>
  <si>
    <t>lima triangular</t>
  </si>
  <si>
    <t>porro</t>
  </si>
  <si>
    <t>varilla de admision m 37</t>
  </si>
  <si>
    <t>pala  minera</t>
  </si>
  <si>
    <t>perno 3/4</t>
  </si>
  <si>
    <t>puntilla 3"</t>
  </si>
  <si>
    <t>puntilla 5"</t>
  </si>
  <si>
    <t>puntilla 6"</t>
  </si>
  <si>
    <t>TEE RAPIDA 3/4 interplast</t>
  </si>
  <si>
    <t xml:space="preserve">unon rapida 3/4 </t>
  </si>
  <si>
    <t>DIFERENCIAL DE CADENA CON PALANCA 3T</t>
  </si>
  <si>
    <t>cinta aislante</t>
  </si>
  <si>
    <t>ducto 18"</t>
  </si>
  <si>
    <t>eclipsas con tornillo</t>
  </si>
  <si>
    <t>manila de 1" mts</t>
  </si>
  <si>
    <t>punta para martillo m37</t>
  </si>
  <si>
    <t>Taco 40 w+</t>
  </si>
  <si>
    <t>BROCA HSS ANSI 9411 X 5/16 IW1124 IRWIN</t>
  </si>
  <si>
    <t xml:space="preserve">BROCA HSS ANSI 9411 X 1/4 IW1120 IRWIN </t>
  </si>
  <si>
    <t xml:space="preserve">BROCA HSS ANSI 9411 X 1/8 IW1112 IRWIN </t>
  </si>
  <si>
    <t>BROCA HSS ANSI 9411 X 3/16 IW1116 IRWIN</t>
  </si>
  <si>
    <t xml:space="preserve">BROCA HSS ANSI 9411 X 5/32 IW1114 IRWIN </t>
  </si>
  <si>
    <t>rodamiento 6207</t>
  </si>
  <si>
    <t>rodamiento 6307</t>
  </si>
  <si>
    <t>rodamiento 6208</t>
  </si>
  <si>
    <t>cilindro la cruz m37</t>
  </si>
  <si>
    <t>union rapida 2"</t>
  </si>
  <si>
    <t>manguera 3/4 petalizada</t>
  </si>
  <si>
    <t>manigueta m37</t>
  </si>
  <si>
    <t>riel 18 libras</t>
  </si>
  <si>
    <t>ducto 14"</t>
  </si>
  <si>
    <t>Silicona gris</t>
  </si>
  <si>
    <t>estopa</t>
  </si>
  <si>
    <t>puntilla 2"</t>
  </si>
  <si>
    <t>guio</t>
  </si>
  <si>
    <t>abrazadera industrial 509 paq</t>
  </si>
  <si>
    <r>
      <rPr>
        <sz val="11"/>
        <rFont val="Arial MT"/>
        <family val="2"/>
      </rPr>
      <t>AISLADORES DE PORCELANA</t>
    </r>
  </si>
  <si>
    <r>
      <rPr>
        <sz val="11"/>
        <rFont val="Arial MT"/>
        <family val="2"/>
      </rPr>
      <t>ARANDELAS 1 1/2 SEGURIDAD</t>
    </r>
  </si>
  <si>
    <r>
      <rPr>
        <sz val="11"/>
        <rFont val="Arial MT"/>
        <family val="2"/>
      </rPr>
      <t>ARANDELAS 3/16</t>
    </r>
  </si>
  <si>
    <r>
      <rPr>
        <sz val="11"/>
        <rFont val="Arial MT"/>
        <family val="2"/>
      </rPr>
      <t>CABLE SOLDADOR PARA MASA</t>
    </r>
  </si>
  <si>
    <r>
      <rPr>
        <sz val="11"/>
        <rFont val="Arial MT"/>
        <family val="2"/>
      </rPr>
      <t>CABLE 2 X 14 ESPECIAL</t>
    </r>
  </si>
  <si>
    <r>
      <rPr>
        <sz val="11"/>
        <rFont val="Arial MT"/>
        <family val="2"/>
      </rPr>
      <t>CINTA DE PELIGRO 500MTS</t>
    </r>
  </si>
  <si>
    <r>
      <rPr>
        <sz val="11"/>
        <rFont val="Arial MT"/>
        <family val="2"/>
      </rPr>
      <t>CINTA REFLECTIVO ROJO- BLANCO</t>
    </r>
  </si>
  <si>
    <r>
      <rPr>
        <sz val="11"/>
        <rFont val="Arial MT"/>
        <family val="2"/>
      </rPr>
      <t>SOLDADURA 7018 1/8</t>
    </r>
  </si>
  <si>
    <r>
      <rPr>
        <sz val="11"/>
        <rFont val="Arial MT"/>
        <family val="2"/>
      </rPr>
      <t>THINNER</t>
    </r>
  </si>
  <si>
    <r>
      <rPr>
        <sz val="11"/>
        <rFont val="Arial MT"/>
        <family val="2"/>
      </rPr>
      <t>BOMBA EXTRACTOR DE LIQUIDO</t>
    </r>
  </si>
  <si>
    <r>
      <rPr>
        <sz val="11"/>
        <rFont val="Arial MT"/>
        <family val="2"/>
      </rPr>
      <t>BISAGRAS LARGAS 3/4</t>
    </r>
  </si>
  <si>
    <r>
      <rPr>
        <sz val="11"/>
        <rFont val="Arial MT"/>
        <family val="2"/>
      </rPr>
      <t>VIDRIOS DE CARETA NRO 11</t>
    </r>
  </si>
  <si>
    <r>
      <rPr>
        <sz val="11"/>
        <rFont val="Arial MT"/>
        <family val="2"/>
      </rPr>
      <t>VIDRIOS DE CARETA NRO 12</t>
    </r>
  </si>
  <si>
    <r>
      <rPr>
        <sz val="11"/>
        <rFont val="Arial MT"/>
        <family val="2"/>
      </rPr>
      <t>PULSADOR DE TIMBRE</t>
    </r>
  </si>
  <si>
    <r>
      <rPr>
        <sz val="11"/>
        <rFont val="Arial MT"/>
        <family val="2"/>
      </rPr>
      <t>AMARRE 40CM</t>
    </r>
  </si>
  <si>
    <r>
      <rPr>
        <sz val="11"/>
        <rFont val="Arial MT"/>
        <family val="2"/>
      </rPr>
      <t>CABLE 2 X 18</t>
    </r>
  </si>
  <si>
    <r>
      <rPr>
        <sz val="11"/>
        <rFont val="Arial MT"/>
        <family val="2"/>
      </rPr>
      <t>TIMBRE INDUSTRIAL</t>
    </r>
  </si>
  <si>
    <r>
      <rPr>
        <sz val="11"/>
        <rFont val="Arial MT"/>
        <family val="2"/>
      </rPr>
      <t>ACEITE MOVIL P/FRENOS PAJARITA</t>
    </r>
  </si>
  <si>
    <r>
      <rPr>
        <sz val="11"/>
        <rFont val="Arial MT"/>
        <family val="2"/>
      </rPr>
      <t>COPA PARA ESPARRAGOS</t>
    </r>
  </si>
  <si>
    <r>
      <rPr>
        <sz val="11"/>
        <rFont val="Arial MT"/>
        <family val="2"/>
      </rPr>
      <t>TORNILLOS 5/8</t>
    </r>
  </si>
  <si>
    <r>
      <rPr>
        <sz val="11"/>
        <rFont val="Arial MT"/>
        <family val="2"/>
      </rPr>
      <t>ACEITE QUEMADO</t>
    </r>
  </si>
  <si>
    <r>
      <rPr>
        <sz val="11"/>
        <rFont val="Arial MT"/>
        <family val="2"/>
      </rPr>
      <t>ESPADA 10' OREGON</t>
    </r>
  </si>
  <si>
    <r>
      <rPr>
        <sz val="11"/>
        <rFont val="Arial MT"/>
        <family val="2"/>
      </rPr>
      <t xml:space="preserve">MANIJA MOTOSIERRA
</t>
    </r>
    <r>
      <rPr>
        <sz val="11"/>
        <rFont val="Arial MT"/>
        <family val="2"/>
      </rPr>
      <t>OREGON</t>
    </r>
  </si>
  <si>
    <r>
      <rPr>
        <sz val="11"/>
        <rFont val="Arial MT"/>
        <family val="2"/>
      </rPr>
      <t>ESPARRAGOS 5/8</t>
    </r>
  </si>
  <si>
    <r>
      <rPr>
        <sz val="11"/>
        <rFont val="Arial MT"/>
        <family val="2"/>
      </rPr>
      <t>FILTRO P/ACEITE ROJO BF 56 3</t>
    </r>
  </si>
  <si>
    <r>
      <rPr>
        <sz val="11"/>
        <rFont val="Arial MT"/>
        <family val="2"/>
      </rPr>
      <t>FILTRO P/COMBUSTIBLE BLANCO A-1212 SP</t>
    </r>
  </si>
  <si>
    <t>VALVULINA 90 API X 5GL</t>
  </si>
  <si>
    <r>
      <rPr>
        <sz val="12"/>
        <rFont val="Arial MT"/>
        <family val="2"/>
      </rPr>
      <t>ACEITE QUEMADO</t>
    </r>
  </si>
  <si>
    <r>
      <rPr>
        <sz val="12"/>
        <rFont val="Arial MT"/>
        <family val="2"/>
      </rPr>
      <t>RESORTE MARTILLO 37</t>
    </r>
  </si>
  <si>
    <r>
      <rPr>
        <sz val="12"/>
        <rFont val="Arial MT"/>
        <family val="2"/>
      </rPr>
      <t>ESFERA MARTILLO 37</t>
    </r>
  </si>
  <si>
    <r>
      <rPr>
        <sz val="12"/>
        <rFont val="Arial MT"/>
        <family val="2"/>
      </rPr>
      <t>BOMBILLOS 20W</t>
    </r>
  </si>
  <si>
    <r>
      <rPr>
        <sz val="12"/>
        <rFont val="Arial MT"/>
        <family val="2"/>
      </rPr>
      <t>CADENA SIERRA NEUMATICA</t>
    </r>
  </si>
  <si>
    <r>
      <rPr>
        <sz val="12"/>
        <rFont val="Arial MT"/>
        <family val="2"/>
      </rPr>
      <t>AGUJA DE CAÑAMO MD</t>
    </r>
  </si>
  <si>
    <r>
      <rPr>
        <sz val="12"/>
        <rFont val="Arial MT"/>
        <family val="2"/>
      </rPr>
      <t>AGUJA DE CAÑAMO GDE</t>
    </r>
  </si>
  <si>
    <r>
      <rPr>
        <sz val="12"/>
        <rFont val="Arial MT"/>
        <family val="2"/>
      </rPr>
      <t>CAÑAMO</t>
    </r>
  </si>
  <si>
    <r>
      <rPr>
        <sz val="12"/>
        <rFont val="Arial MT"/>
        <family val="2"/>
      </rPr>
      <t>ACCIONADOR P/CORNETA</t>
    </r>
  </si>
  <si>
    <r>
      <rPr>
        <sz val="12"/>
        <rFont val="Arial MT"/>
        <family val="2"/>
      </rPr>
      <t>GRILLETE 7/8</t>
    </r>
  </si>
  <si>
    <r>
      <rPr>
        <sz val="12"/>
        <rFont val="Arial MT"/>
        <family val="2"/>
      </rPr>
      <t>TORNILLOS ECLIPSAS/ARANDELAS/TUERCAS</t>
    </r>
  </si>
  <si>
    <r>
      <rPr>
        <sz val="12"/>
        <rFont val="Arial MT"/>
        <family val="2"/>
      </rPr>
      <t>FRESA TUSTENO RECTO</t>
    </r>
  </si>
  <si>
    <r>
      <rPr>
        <sz val="12"/>
        <rFont val="Arial MT"/>
        <family val="2"/>
      </rPr>
      <t>FRESA TUSTENO CONICA</t>
    </r>
  </si>
  <si>
    <t>llave expansiva de 10"</t>
  </si>
  <si>
    <t>hombre solo</t>
  </si>
  <si>
    <t>aceite hidraulico marca mobil</t>
  </si>
  <si>
    <t>llave de cadena 22"</t>
  </si>
  <si>
    <t>recarga de extintores 10 libras cada uno</t>
  </si>
  <si>
    <t>cintas rojas aislantes</t>
  </si>
  <si>
    <t>cintas amarillas aislantes</t>
  </si>
  <si>
    <t>terminal de ojo ponchable 2 awg</t>
  </si>
  <si>
    <t>llave bristol 6mm</t>
  </si>
  <si>
    <t>hoja de bistury</t>
  </si>
  <si>
    <t>empaque perforadora</t>
  </si>
  <si>
    <t>cable de timbre</t>
  </si>
  <si>
    <t>cadena espada sierra neumatica oregon</t>
  </si>
  <si>
    <t>tensor cadena espada de sierra neumatica</t>
  </si>
  <si>
    <t>azuela</t>
  </si>
  <si>
    <t>cinta teflon</t>
  </si>
  <si>
    <t>acople espigo hembra</t>
  </si>
  <si>
    <t xml:space="preserve">SOLDADURA WEST ARCO 7018 X 1/8 *5 KG </t>
  </si>
  <si>
    <t>puntilla 4" vareta</t>
  </si>
  <si>
    <t>PICO MINERO EN VARILLA 7/8</t>
  </si>
  <si>
    <t>ZAPAPICA HERRAGRO 5 LB</t>
  </si>
  <si>
    <t>ACOPLE MACHO ALUMINIO 2</t>
  </si>
  <si>
    <t>PUNTILLA  1 X 500GR</t>
  </si>
  <si>
    <t>PUNTILLA CABALLO 4 X KILO</t>
  </si>
  <si>
    <t>FLEXOMETRO LUFKIN 8MTS</t>
  </si>
  <si>
    <t>CALCULO CONSUMO ELECTRICO VS PRODUCCIÓN 2026</t>
  </si>
  <si>
    <t xml:space="preserve">TOTAL UNID AÑO </t>
  </si>
  <si>
    <t xml:space="preserve">TOTAL V/R AÑO </t>
  </si>
  <si>
    <t>TOTAL MES</t>
  </si>
  <si>
    <t>BOTAS CAÑA ALTA</t>
  </si>
  <si>
    <t>VARAS DE 4 MTRS</t>
  </si>
  <si>
    <t>VALOR COMERCIAL</t>
  </si>
  <si>
    <t>botella de oxigeno</t>
  </si>
  <si>
    <t>pie de rey</t>
  </si>
  <si>
    <t>traga luz de camion sst</t>
  </si>
  <si>
    <t xml:space="preserve">ARANDELA PLANA 3/8 </t>
  </si>
  <si>
    <t xml:space="preserve">ARANDELA PLANA 7/16 </t>
  </si>
  <si>
    <t xml:space="preserve">ARANDELA PLANA 1/2 </t>
  </si>
  <si>
    <t xml:space="preserve">ARANDELA PLANA 5/8 </t>
  </si>
  <si>
    <t xml:space="preserve">ARANDELA PLANA 3/4 </t>
  </si>
  <si>
    <t>ARANDELA PLANA 5/16</t>
  </si>
  <si>
    <t xml:space="preserve">discos de corte 7" carbo premier </t>
  </si>
  <si>
    <t>mouse ergonomico</t>
  </si>
  <si>
    <t>union 200 C</t>
  </si>
  <si>
    <t>calibrador de rosca</t>
  </si>
  <si>
    <t>loctite 515</t>
  </si>
  <si>
    <t>contactor con  bobina 220 motor 15 hp</t>
  </si>
  <si>
    <t>copa larga 1 1/4 cuadrante de 1/2</t>
  </si>
  <si>
    <t>tabrarosca loctite</t>
  </si>
  <si>
    <t>piedra de esmeril grano 36</t>
  </si>
  <si>
    <t>rodillo hierro 14 cm</t>
  </si>
  <si>
    <t xml:space="preserve">linterna peq alcalina de </t>
  </si>
  <si>
    <t>pilas alcalinas</t>
  </si>
  <si>
    <t>HOMBRERAS</t>
  </si>
  <si>
    <t>ITEM</t>
  </si>
  <si>
    <t xml:space="preserve">FILTRO BF 7951 </t>
  </si>
  <si>
    <t xml:space="preserve">FILTRO BF 7965 </t>
  </si>
  <si>
    <t>FILTRO B 7350</t>
  </si>
  <si>
    <t>FILTRO F8109</t>
  </si>
  <si>
    <t>FILTRO DA 9109</t>
  </si>
  <si>
    <t>LLANTAS DELANTERAS MARCA GOODYEAR</t>
  </si>
  <si>
    <t>CUCHILLA</t>
  </si>
  <si>
    <t>DESCRICION</t>
  </si>
  <si>
    <t>COMBUSTIBLE</t>
  </si>
  <si>
    <t>LLANTAS</t>
  </si>
  <si>
    <t>CAMBIO ACEITE</t>
  </si>
  <si>
    <t>MANTENIMIENTO GRAL</t>
  </si>
  <si>
    <t>PATIEROS</t>
  </si>
  <si>
    <t>CARGA PRESTACION SOCIALES OPERADOR</t>
  </si>
  <si>
    <t>SALARIO PATIEROS</t>
  </si>
  <si>
    <t>COSTO DEL CORTE MADERA</t>
  </si>
  <si>
    <t>SALARIO OPERADOR</t>
  </si>
  <si>
    <t>CARGA PRESTACIONAL</t>
  </si>
  <si>
    <t>RESTAURANTE</t>
  </si>
  <si>
    <t>OPERADOR PAJARITA</t>
  </si>
  <si>
    <t>PALACA ESP</t>
  </si>
  <si>
    <t>TABLA</t>
  </si>
  <si>
    <t>TOTAL CONSUMO</t>
  </si>
  <si>
    <t>V/R HORA</t>
  </si>
  <si>
    <t>TOTAL COSTO CORTE MADERA MINA</t>
  </si>
  <si>
    <t>SALARIO OPERADOR PAJARITA + RESTAURANTE</t>
  </si>
  <si>
    <t>SALARIO PATIEROS + RESTAURANTE</t>
  </si>
  <si>
    <t>VALOR CORTE MADERA FEBRERO</t>
  </si>
  <si>
    <t>ALQUILER PAJARITA</t>
  </si>
  <si>
    <t>V/R TOTAL MES</t>
  </si>
  <si>
    <t>CARGA PRESTACION SOCIALES PATIEROS</t>
  </si>
  <si>
    <t>clavos de riel</t>
  </si>
  <si>
    <t>valvula sellomatic</t>
  </si>
  <si>
    <t>racor</t>
  </si>
  <si>
    <t>diafragmas bomba</t>
  </si>
  <si>
    <t>gas limpia 100 unidades</t>
  </si>
  <si>
    <t xml:space="preserve">GASA ESTERIL X 50 UDS </t>
  </si>
  <si>
    <t>ESPARADRAPO 4"</t>
  </si>
  <si>
    <t>VENDA 2 X 5 YARDAS</t>
  </si>
  <si>
    <t>VENDA 4 X 5 YARDAS</t>
  </si>
  <si>
    <t>VENDA 5 X 5 YARDAS</t>
  </si>
  <si>
    <t>SOLUCION SALINA X 250  cc</t>
  </si>
  <si>
    <t>RESCATE O INMOVILIDAD</t>
  </si>
  <si>
    <t>MASCARILLA PARA RCP</t>
  </si>
  <si>
    <t>SIERRA MINERA</t>
  </si>
  <si>
    <t>PERNO 1/2</t>
  </si>
  <si>
    <t>varilla de media</t>
  </si>
  <si>
    <t>empate</t>
  </si>
  <si>
    <t>alambre x kilos</t>
  </si>
  <si>
    <t>racher de media</t>
  </si>
  <si>
    <t>lima redonda</t>
  </si>
  <si>
    <t>palas semi carboneras</t>
  </si>
  <si>
    <t>candado 60 mm</t>
  </si>
  <si>
    <t>costales</t>
  </si>
  <si>
    <t>tester</t>
  </si>
  <si>
    <t>rj45</t>
  </si>
  <si>
    <t>rj11</t>
  </si>
  <si>
    <t xml:space="preserve">click de motosierra con arandela </t>
  </si>
  <si>
    <t>REFIGRIGERANTE</t>
  </si>
  <si>
    <t>alicates</t>
  </si>
  <si>
    <t>cinta autofundente</t>
  </si>
  <si>
    <t>clavija 110 domestica</t>
  </si>
  <si>
    <t>clavija industrial</t>
  </si>
  <si>
    <t>pinza de electrodos</t>
  </si>
  <si>
    <t>motosierra</t>
  </si>
  <si>
    <t>autorescatadores</t>
  </si>
  <si>
    <t>grasa</t>
  </si>
  <si>
    <t>juego de trox</t>
  </si>
  <si>
    <t>manila 3/4 x 150 mts</t>
  </si>
  <si>
    <t>potenciometro</t>
  </si>
  <si>
    <t>selectores</t>
  </si>
  <si>
    <t xml:space="preserve">aceite hidraulico </t>
  </si>
  <si>
    <t>comida para peces</t>
  </si>
  <si>
    <t>corta frio</t>
  </si>
  <si>
    <t>cegueta</t>
  </si>
  <si>
    <t>puntilla 1"</t>
  </si>
  <si>
    <t xml:space="preserve">bola de admision 8,5  </t>
  </si>
  <si>
    <t>abrazadera de correa</t>
  </si>
  <si>
    <t>pin 14</t>
  </si>
  <si>
    <t>pin 16</t>
  </si>
  <si>
    <t>destornilladores dielectrico</t>
  </si>
  <si>
    <t>poma 2"</t>
  </si>
  <si>
    <t>aceite 2 tiempos</t>
  </si>
  <si>
    <t>pines para martillo</t>
  </si>
  <si>
    <t>varilla perforadora</t>
  </si>
  <si>
    <t>manila 10 mm</t>
  </si>
  <si>
    <t>brocha 3"</t>
  </si>
  <si>
    <t>brocha 4"</t>
  </si>
  <si>
    <t>nivel de gota 9"</t>
  </si>
  <si>
    <t xml:space="preserve">llave de tubo </t>
  </si>
  <si>
    <t>breaker de 100 amperios</t>
  </si>
  <si>
    <t>semicodo 4"</t>
  </si>
  <si>
    <t>disco de corte 4,5</t>
  </si>
  <si>
    <t>PINZA PORTA MASA JACKSON 300W</t>
  </si>
  <si>
    <t>SOLDADURA 7018 5/32</t>
  </si>
  <si>
    <t>TERMINAL OJO PONHABLE
1/0</t>
  </si>
  <si>
    <t>guaya 3/8</t>
  </si>
  <si>
    <t>despinador de cadena</t>
  </si>
  <si>
    <t>serrucho</t>
  </si>
  <si>
    <t>arandela pulgada</t>
  </si>
  <si>
    <t>piston martillo m37</t>
  </si>
  <si>
    <t>varilla corrugada  3/4  6 mts</t>
  </si>
  <si>
    <t>angulos 2"*3-16</t>
  </si>
  <si>
    <t>angulo 1/2"*3-16</t>
  </si>
  <si>
    <t>tubo zuela</t>
  </si>
  <si>
    <t>rodamiento 6212</t>
  </si>
  <si>
    <t>varilla roscada 3/4</t>
  </si>
  <si>
    <t>polea</t>
  </si>
  <si>
    <t>tuerca ordinaria  3/4</t>
  </si>
  <si>
    <t xml:space="preserve">telefono </t>
  </si>
  <si>
    <t>pegacol baldosas</t>
  </si>
  <si>
    <t>martillo 37</t>
  </si>
  <si>
    <t>manguera 3/4 flexible</t>
  </si>
  <si>
    <t>Tacos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</si>
</sst>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#,##0.0"/>
    <numFmt numFmtId="166" formatCode="&quot;$&quot;\ #,##0.00"/>
    <numFmt numFmtId="167" formatCode="#,##0_ ;\-#,##0\ 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Lato"/>
      <family val="2"/>
    </font>
    <font>
      <b/>
      <sz val="12"/>
      <color rgb="FF000000"/>
      <name val="Lato"/>
      <family val="2"/>
    </font>
    <font>
      <b/>
      <sz val="12"/>
      <color theme="1" tint="0.34998626667073579"/>
      <name val="Lato"/>
      <family val="2"/>
    </font>
    <font>
      <sz val="10"/>
      <color rgb="FF000000"/>
      <name val="Arial"/>
      <family val="2"/>
    </font>
    <font>
      <b/>
      <sz val="12"/>
      <name val="Lato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6"/>
      <name val="Lato"/>
      <family val="2"/>
    </font>
    <font>
      <b/>
      <sz val="12"/>
      <color theme="1" tint="0.34998626667073579"/>
      <name val="Arial Black"/>
      <family val="2"/>
    </font>
    <font>
      <b/>
      <sz val="12"/>
      <name val="Arial Black"/>
      <family val="2"/>
    </font>
    <font>
      <sz val="11"/>
      <name val="Arial MT"/>
    </font>
    <font>
      <sz val="11"/>
      <name val="Arial MT"/>
      <family val="2"/>
    </font>
    <font>
      <sz val="11"/>
      <color rgb="FF000000"/>
      <name val="Arial MT"/>
      <family val="2"/>
    </font>
    <font>
      <sz val="12"/>
      <name val="Arial MT"/>
      <family val="2"/>
    </font>
    <font>
      <sz val="12"/>
      <color rgb="FF000000"/>
      <name val="Arial MT"/>
      <family val="2"/>
    </font>
    <font>
      <sz val="12"/>
      <name val="Arial MT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08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B6D7A8"/>
      </patternFill>
    </fill>
    <fill>
      <patternFill patternType="solid">
        <fgColor theme="8" tint="0.39997558519241921"/>
        <bgColor rgb="FFBCE4E5"/>
      </patternFill>
    </fill>
    <fill>
      <patternFill patternType="solid">
        <fgColor rgb="FFF4F4F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0" tint="-0.14999847407452621"/>
      </right>
      <top style="medium">
        <color indexed="64"/>
      </top>
      <bottom/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indexed="64"/>
      </top>
      <bottom/>
      <diagonal/>
    </border>
    <border>
      <left style="medium">
        <color theme="0" tint="-0.1499984740745262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44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6" fillId="0" borderId="0"/>
  </cellStyleXfs>
  <cellXfs count="248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1" xfId="0" applyNumberFormat="1" applyBorder="1"/>
    <xf numFmtId="0" fontId="1" fillId="0" borderId="1" xfId="0" applyFont="1" applyBorder="1" applyAlignment="1">
      <alignment horizontal="center" wrapText="1"/>
    </xf>
    <xf numFmtId="164" fontId="1" fillId="4" borderId="1" xfId="1" applyNumberFormat="1" applyFont="1" applyFill="1" applyBorder="1" applyAlignment="1">
      <alignment horizontal="center"/>
    </xf>
    <xf numFmtId="164" fontId="0" fillId="4" borderId="1" xfId="1" applyNumberFormat="1" applyFont="1" applyFill="1" applyBorder="1" applyAlignment="1">
      <alignment horizontal="center"/>
    </xf>
    <xf numFmtId="164" fontId="0" fillId="4" borderId="1" xfId="1" applyNumberFormat="1" applyFont="1" applyFill="1" applyBorder="1" applyAlignment="1">
      <alignment horizontal="center" vertical="center"/>
    </xf>
    <xf numFmtId="164" fontId="0" fillId="4" borderId="0" xfId="1" applyNumberFormat="1" applyFont="1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164" fontId="0" fillId="0" borderId="3" xfId="0" applyNumberFormat="1" applyBorder="1"/>
    <xf numFmtId="164" fontId="1" fillId="3" borderId="1" xfId="1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0" borderId="4" xfId="0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0" xfId="0" applyFill="1"/>
    <xf numFmtId="0" fontId="1" fillId="0" borderId="1" xfId="0" applyFont="1" applyBorder="1" applyAlignment="1">
      <alignment horizontal="center"/>
    </xf>
    <xf numFmtId="0" fontId="7" fillId="0" borderId="0" xfId="3" applyFont="1"/>
    <xf numFmtId="0" fontId="8" fillId="0" borderId="0" xfId="3" applyFont="1"/>
    <xf numFmtId="0" fontId="7" fillId="0" borderId="0" xfId="3" applyFont="1" applyAlignment="1">
      <alignment horizontal="center" vertical="center"/>
    </xf>
    <xf numFmtId="166" fontId="7" fillId="0" borderId="0" xfId="4" applyNumberFormat="1" applyFont="1" applyAlignment="1">
      <alignment horizontal="center" vertical="center"/>
    </xf>
    <xf numFmtId="44" fontId="7" fillId="0" borderId="0" xfId="4" applyFont="1" applyAlignment="1">
      <alignment horizontal="center" vertical="center"/>
    </xf>
    <xf numFmtId="44" fontId="7" fillId="0" borderId="0" xfId="3" applyNumberFormat="1" applyFont="1" applyAlignment="1">
      <alignment horizontal="center" vertical="center"/>
    </xf>
    <xf numFmtId="3" fontId="7" fillId="0" borderId="0" xfId="3" applyNumberFormat="1" applyFont="1" applyAlignment="1">
      <alignment horizontal="center" vertical="center"/>
    </xf>
    <xf numFmtId="9" fontId="0" fillId="5" borderId="1" xfId="5" applyFont="1" applyFill="1" applyBorder="1" applyAlignment="1">
      <alignment horizontal="center"/>
    </xf>
    <xf numFmtId="164" fontId="0" fillId="5" borderId="0" xfId="1" applyNumberFormat="1" applyFont="1" applyFill="1" applyBorder="1" applyAlignment="1">
      <alignment horizontal="center"/>
    </xf>
    <xf numFmtId="164" fontId="1" fillId="5" borderId="0" xfId="1" applyNumberFormat="1" applyFont="1" applyFill="1" applyBorder="1"/>
    <xf numFmtId="0" fontId="14" fillId="5" borderId="0" xfId="0" applyFont="1" applyFill="1" applyAlignment="1">
      <alignment horizontal="center" vertical="center" wrapText="1"/>
    </xf>
    <xf numFmtId="164" fontId="0" fillId="5" borderId="1" xfId="1" applyNumberFormat="1" applyFont="1" applyFill="1" applyBorder="1"/>
    <xf numFmtId="164" fontId="0" fillId="5" borderId="11" xfId="1" applyNumberFormat="1" applyFont="1" applyFill="1" applyBorder="1"/>
    <xf numFmtId="164" fontId="0" fillId="5" borderId="13" xfId="1" applyNumberFormat="1" applyFont="1" applyFill="1" applyBorder="1"/>
    <xf numFmtId="164" fontId="0" fillId="5" borderId="14" xfId="1" applyNumberFormat="1" applyFont="1" applyFill="1" applyBorder="1"/>
    <xf numFmtId="164" fontId="0" fillId="5" borderId="3" xfId="1" applyNumberFormat="1" applyFont="1" applyFill="1" applyBorder="1"/>
    <xf numFmtId="164" fontId="0" fillId="5" borderId="16" xfId="1" applyNumberFormat="1" applyFont="1" applyFill="1" applyBorder="1"/>
    <xf numFmtId="164" fontId="0" fillId="5" borderId="5" xfId="1" applyNumberFormat="1" applyFont="1" applyFill="1" applyBorder="1"/>
    <xf numFmtId="164" fontId="0" fillId="5" borderId="18" xfId="1" applyNumberFormat="1" applyFont="1" applyFill="1" applyBorder="1"/>
    <xf numFmtId="0" fontId="1" fillId="5" borderId="20" xfId="0" applyFont="1" applyFill="1" applyBorder="1"/>
    <xf numFmtId="0" fontId="1" fillId="5" borderId="21" xfId="0" applyFont="1" applyFill="1" applyBorder="1" applyAlignment="1">
      <alignment wrapText="1"/>
    </xf>
    <xf numFmtId="0" fontId="15" fillId="5" borderId="4" xfId="0" applyFont="1" applyFill="1" applyBorder="1" applyAlignment="1">
      <alignment vertical="center"/>
    </xf>
    <xf numFmtId="0" fontId="0" fillId="5" borderId="6" xfId="0" applyFill="1" applyBorder="1"/>
    <xf numFmtId="0" fontId="1" fillId="5" borderId="25" xfId="0" applyFont="1" applyFill="1" applyBorder="1"/>
    <xf numFmtId="0" fontId="14" fillId="5" borderId="26" xfId="0" applyFont="1" applyFill="1" applyBorder="1" applyAlignment="1">
      <alignment vertical="center"/>
    </xf>
    <xf numFmtId="0" fontId="1" fillId="5" borderId="27" xfId="0" applyFont="1" applyFill="1" applyBorder="1"/>
    <xf numFmtId="0" fontId="14" fillId="5" borderId="27" xfId="0" applyFont="1" applyFill="1" applyBorder="1" applyAlignment="1">
      <alignment horizontal="center" vertical="center" wrapText="1"/>
    </xf>
    <xf numFmtId="0" fontId="15" fillId="5" borderId="28" xfId="0" applyFont="1" applyFill="1" applyBorder="1" applyAlignment="1">
      <alignment vertical="center"/>
    </xf>
    <xf numFmtId="1" fontId="0" fillId="5" borderId="8" xfId="0" applyNumberFormat="1" applyFill="1" applyBorder="1"/>
    <xf numFmtId="9" fontId="0" fillId="5" borderId="8" xfId="5" applyFont="1" applyFill="1" applyBorder="1" applyAlignment="1">
      <alignment horizontal="center"/>
    </xf>
    <xf numFmtId="0" fontId="15" fillId="5" borderId="29" xfId="0" applyFont="1" applyFill="1" applyBorder="1" applyAlignment="1">
      <alignment vertical="center"/>
    </xf>
    <xf numFmtId="9" fontId="0" fillId="5" borderId="13" xfId="5" applyFont="1" applyFill="1" applyBorder="1" applyAlignment="1">
      <alignment horizontal="center"/>
    </xf>
    <xf numFmtId="0" fontId="14" fillId="5" borderId="30" xfId="0" applyFont="1" applyFill="1" applyBorder="1" applyAlignment="1">
      <alignment vertical="center"/>
    </xf>
    <xf numFmtId="1" fontId="1" fillId="5" borderId="31" xfId="0" applyNumberFormat="1" applyFont="1" applyFill="1" applyBorder="1"/>
    <xf numFmtId="0" fontId="16" fillId="0" borderId="0" xfId="6"/>
    <xf numFmtId="0" fontId="17" fillId="0" borderId="6" xfId="6" applyFont="1" applyBorder="1" applyAlignment="1">
      <alignment horizontal="center"/>
    </xf>
    <xf numFmtId="0" fontId="16" fillId="0" borderId="17" xfId="6" applyBorder="1"/>
    <xf numFmtId="2" fontId="16" fillId="0" borderId="18" xfId="6" applyNumberFormat="1" applyBorder="1"/>
    <xf numFmtId="0" fontId="16" fillId="0" borderId="10" xfId="6" applyBorder="1"/>
    <xf numFmtId="2" fontId="16" fillId="0" borderId="11" xfId="6" applyNumberFormat="1" applyBorder="1"/>
    <xf numFmtId="0" fontId="16" fillId="0" borderId="15" xfId="6" applyBorder="1"/>
    <xf numFmtId="2" fontId="16" fillId="0" borderId="16" xfId="6" applyNumberFormat="1" applyBorder="1"/>
    <xf numFmtId="0" fontId="18" fillId="0" borderId="19" xfId="6" applyFont="1" applyBorder="1"/>
    <xf numFmtId="0" fontId="18" fillId="0" borderId="21" xfId="6" applyFont="1" applyBorder="1"/>
    <xf numFmtId="3" fontId="9" fillId="0" borderId="1" xfId="3" applyNumberFormat="1" applyFont="1" applyBorder="1" applyAlignment="1">
      <alignment horizontal="center" vertical="center"/>
    </xf>
    <xf numFmtId="3" fontId="11" fillId="0" borderId="1" xfId="3" applyNumberFormat="1" applyFont="1" applyBorder="1" applyAlignment="1">
      <alignment horizontal="center" vertical="center"/>
    </xf>
    <xf numFmtId="165" fontId="11" fillId="0" borderId="1" xfId="3" applyNumberFormat="1" applyFont="1" applyBorder="1" applyAlignment="1">
      <alignment horizontal="center" vertical="center"/>
    </xf>
    <xf numFmtId="164" fontId="11" fillId="0" borderId="1" xfId="4" applyNumberFormat="1" applyFont="1" applyFill="1" applyBorder="1" applyAlignment="1">
      <alignment horizontal="center" vertical="center"/>
    </xf>
    <xf numFmtId="3" fontId="20" fillId="0" borderId="1" xfId="3" applyNumberFormat="1" applyFont="1" applyBorder="1" applyAlignment="1">
      <alignment horizontal="center" vertical="center"/>
    </xf>
    <xf numFmtId="0" fontId="11" fillId="9" borderId="32" xfId="3" applyFont="1" applyFill="1" applyBorder="1" applyAlignment="1">
      <alignment horizontal="center" vertical="center" wrapText="1"/>
    </xf>
    <xf numFmtId="0" fontId="11" fillId="9" borderId="33" xfId="3" applyFont="1" applyFill="1" applyBorder="1" applyAlignment="1">
      <alignment horizontal="center" vertical="center" wrapText="1"/>
    </xf>
    <xf numFmtId="0" fontId="11" fillId="9" borderId="34" xfId="3" applyFont="1" applyFill="1" applyBorder="1" applyAlignment="1">
      <alignment horizontal="center" vertical="center" wrapText="1"/>
    </xf>
    <xf numFmtId="4" fontId="11" fillId="8" borderId="1" xfId="3" applyNumberFormat="1" applyFont="1" applyFill="1" applyBorder="1" applyAlignment="1">
      <alignment horizontal="center" vertical="center"/>
    </xf>
    <xf numFmtId="0" fontId="21" fillId="7" borderId="1" xfId="3" applyFont="1" applyFill="1" applyBorder="1" applyAlignment="1">
      <alignment horizontal="center" vertical="center"/>
    </xf>
    <xf numFmtId="0" fontId="8" fillId="7" borderId="1" xfId="3" applyFont="1" applyFill="1" applyBorder="1" applyAlignment="1">
      <alignment horizontal="center" vertical="center"/>
    </xf>
    <xf numFmtId="3" fontId="11" fillId="8" borderId="1" xfId="3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164" fontId="0" fillId="5" borderId="0" xfId="1" applyNumberFormat="1" applyFont="1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21" xfId="0" applyFont="1" applyFill="1" applyBorder="1"/>
    <xf numFmtId="0" fontId="14" fillId="5" borderId="37" xfId="0" applyFont="1" applyFill="1" applyBorder="1" applyAlignment="1">
      <alignment wrapText="1"/>
    </xf>
    <xf numFmtId="0" fontId="0" fillId="5" borderId="17" xfId="0" applyFill="1" applyBorder="1" applyAlignment="1">
      <alignment horizontal="center"/>
    </xf>
    <xf numFmtId="2" fontId="0" fillId="5" borderId="5" xfId="0" applyNumberFormat="1" applyFill="1" applyBorder="1"/>
    <xf numFmtId="164" fontId="0" fillId="5" borderId="40" xfId="1" applyNumberFormat="1" applyFont="1" applyFill="1" applyBorder="1"/>
    <xf numFmtId="0" fontId="0" fillId="5" borderId="10" xfId="0" applyFill="1" applyBorder="1" applyAlignment="1">
      <alignment horizontal="center"/>
    </xf>
    <xf numFmtId="2" fontId="0" fillId="5" borderId="1" xfId="0" applyNumberFormat="1" applyFill="1" applyBorder="1"/>
    <xf numFmtId="164" fontId="0" fillId="5" borderId="38" xfId="1" applyNumberFormat="1" applyFont="1" applyFill="1" applyBorder="1"/>
    <xf numFmtId="0" fontId="0" fillId="5" borderId="15" xfId="0" applyFill="1" applyBorder="1" applyAlignment="1">
      <alignment horizontal="center"/>
    </xf>
    <xf numFmtId="2" fontId="0" fillId="5" borderId="3" xfId="0" applyNumberFormat="1" applyFill="1" applyBorder="1"/>
    <xf numFmtId="164" fontId="0" fillId="5" borderId="39" xfId="1" applyNumberFormat="1" applyFont="1" applyFill="1" applyBorder="1"/>
    <xf numFmtId="164" fontId="1" fillId="5" borderId="20" xfId="0" applyNumberFormat="1" applyFont="1" applyFill="1" applyBorder="1" applyAlignment="1">
      <alignment horizontal="center"/>
    </xf>
    <xf numFmtId="164" fontId="1" fillId="5" borderId="21" xfId="0" applyNumberFormat="1" applyFont="1" applyFill="1" applyBorder="1" applyAlignment="1">
      <alignment horizontal="center"/>
    </xf>
    <xf numFmtId="2" fontId="0" fillId="5" borderId="11" xfId="0" applyNumberFormat="1" applyFill="1" applyBorder="1"/>
    <xf numFmtId="164" fontId="0" fillId="5" borderId="9" xfId="1" applyNumberFormat="1" applyFont="1" applyFill="1" applyBorder="1"/>
    <xf numFmtId="2" fontId="0" fillId="5" borderId="16" xfId="0" applyNumberFormat="1" applyFill="1" applyBorder="1"/>
    <xf numFmtId="2" fontId="0" fillId="5" borderId="18" xfId="0" applyNumberFormat="1" applyFill="1" applyBorder="1"/>
    <xf numFmtId="0" fontId="0" fillId="5" borderId="0" xfId="0" applyFill="1" applyAlignment="1">
      <alignment horizontal="left"/>
    </xf>
    <xf numFmtId="0" fontId="1" fillId="5" borderId="35" xfId="0" applyFont="1" applyFill="1" applyBorder="1" applyAlignment="1">
      <alignment horizontal="left"/>
    </xf>
    <xf numFmtId="0" fontId="1" fillId="5" borderId="36" xfId="0" applyFont="1" applyFill="1" applyBorder="1"/>
    <xf numFmtId="0" fontId="0" fillId="5" borderId="7" xfId="0" applyFill="1" applyBorder="1"/>
    <xf numFmtId="6" fontId="0" fillId="5" borderId="8" xfId="0" applyNumberFormat="1" applyFill="1" applyBorder="1" applyAlignment="1">
      <alignment horizontal="left"/>
    </xf>
    <xf numFmtId="2" fontId="0" fillId="5" borderId="8" xfId="0" applyNumberFormat="1" applyFill="1" applyBorder="1"/>
    <xf numFmtId="0" fontId="0" fillId="5" borderId="10" xfId="0" applyFill="1" applyBorder="1"/>
    <xf numFmtId="6" fontId="0" fillId="5" borderId="1" xfId="0" applyNumberFormat="1" applyFill="1" applyBorder="1" applyAlignment="1">
      <alignment horizontal="left"/>
    </xf>
    <xf numFmtId="6" fontId="0" fillId="5" borderId="1" xfId="1" applyNumberFormat="1" applyFont="1" applyFill="1" applyBorder="1" applyAlignment="1">
      <alignment horizontal="left"/>
    </xf>
    <xf numFmtId="0" fontId="0" fillId="5" borderId="15" xfId="0" applyFill="1" applyBorder="1"/>
    <xf numFmtId="6" fontId="0" fillId="5" borderId="3" xfId="0" applyNumberFormat="1" applyFill="1" applyBorder="1" applyAlignment="1">
      <alignment horizontal="left"/>
    </xf>
    <xf numFmtId="6" fontId="0" fillId="5" borderId="6" xfId="0" applyNumberForma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164" fontId="1" fillId="3" borderId="4" xfId="1" applyNumberFormat="1" applyFont="1" applyFill="1" applyBorder="1" applyAlignment="1">
      <alignment horizontal="center"/>
    </xf>
    <xf numFmtId="164" fontId="0" fillId="3" borderId="4" xfId="1" applyNumberFormat="1" applyFont="1" applyFill="1" applyBorder="1" applyAlignment="1">
      <alignment horizontal="center"/>
    </xf>
    <xf numFmtId="0" fontId="22" fillId="0" borderId="41" xfId="3" applyFont="1" applyBorder="1" applyAlignment="1">
      <alignment horizontal="left" vertical="top" wrapText="1"/>
    </xf>
    <xf numFmtId="1" fontId="24" fillId="0" borderId="42" xfId="3" applyNumberFormat="1" applyFont="1" applyBorder="1" applyAlignment="1">
      <alignment horizontal="center" vertical="top" shrinkToFit="1"/>
    </xf>
    <xf numFmtId="164" fontId="24" fillId="4" borderId="1" xfId="1" applyNumberFormat="1" applyFont="1" applyFill="1" applyBorder="1" applyAlignment="1">
      <alignment horizontal="right" vertical="top" shrinkToFit="1"/>
    </xf>
    <xf numFmtId="0" fontId="23" fillId="0" borderId="41" xfId="3" applyFont="1" applyBorder="1" applyAlignment="1">
      <alignment horizontal="left" vertical="top" wrapText="1"/>
    </xf>
    <xf numFmtId="0" fontId="6" fillId="0" borderId="41" xfId="3" applyBorder="1" applyAlignment="1">
      <alignment horizontal="left" vertical="top" wrapText="1"/>
    </xf>
    <xf numFmtId="0" fontId="22" fillId="0" borderId="43" xfId="3" applyFont="1" applyBorder="1" applyAlignment="1">
      <alignment horizontal="left" vertical="top" wrapText="1"/>
    </xf>
    <xf numFmtId="1" fontId="24" fillId="0" borderId="44" xfId="3" applyNumberFormat="1" applyFont="1" applyBorder="1" applyAlignment="1">
      <alignment horizontal="center" vertical="top" shrinkToFit="1"/>
    </xf>
    <xf numFmtId="0" fontId="22" fillId="5" borderId="45" xfId="3" applyFont="1" applyFill="1" applyBorder="1" applyAlignment="1">
      <alignment horizontal="left" vertical="top" wrapText="1"/>
    </xf>
    <xf numFmtId="0" fontId="25" fillId="5" borderId="1" xfId="6" applyFont="1" applyFill="1" applyBorder="1" applyAlignment="1">
      <alignment horizontal="left" vertical="top" wrapText="1"/>
    </xf>
    <xf numFmtId="1" fontId="26" fillId="0" borderId="1" xfId="6" applyNumberFormat="1" applyFont="1" applyBorder="1" applyAlignment="1">
      <alignment horizontal="center" vertical="center" shrinkToFit="1"/>
    </xf>
    <xf numFmtId="164" fontId="26" fillId="4" borderId="1" xfId="1" applyNumberFormat="1" applyFont="1" applyFill="1" applyBorder="1" applyAlignment="1">
      <alignment horizontal="right" vertical="top" shrinkToFit="1"/>
    </xf>
    <xf numFmtId="0" fontId="27" fillId="5" borderId="1" xfId="6" applyFont="1" applyFill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1" fontId="28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vertical="top" shrinkToFit="1"/>
    </xf>
    <xf numFmtId="0" fontId="5" fillId="10" borderId="1" xfId="0" applyFont="1" applyFill="1" applyBorder="1" applyAlignment="1">
      <alignment vertical="top" wrapText="1"/>
    </xf>
    <xf numFmtId="1" fontId="28" fillId="10" borderId="1" xfId="0" applyNumberFormat="1" applyFont="1" applyFill="1" applyBorder="1" applyAlignment="1">
      <alignment horizontal="center" vertical="center" shrinkToFit="1"/>
    </xf>
    <xf numFmtId="1" fontId="28" fillId="10" borderId="1" xfId="0" applyNumberFormat="1" applyFont="1" applyFill="1" applyBorder="1" applyAlignment="1">
      <alignment vertical="top" shrinkToFit="1"/>
    </xf>
    <xf numFmtId="164" fontId="0" fillId="4" borderId="1" xfId="1" applyNumberFormat="1" applyFont="1" applyFill="1" applyBorder="1" applyAlignment="1">
      <alignment horizontal="left" vertical="top"/>
    </xf>
    <xf numFmtId="164" fontId="0" fillId="5" borderId="1" xfId="1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4" fontId="9" fillId="0" borderId="1" xfId="3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164" fontId="0" fillId="2" borderId="1" xfId="1" applyNumberFormat="1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left" vertical="center" wrapText="1"/>
    </xf>
    <xf numFmtId="164" fontId="0" fillId="12" borderId="1" xfId="1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left" vertical="center"/>
    </xf>
    <xf numFmtId="0" fontId="0" fillId="5" borderId="0" xfId="0" applyFill="1" applyAlignment="1">
      <alignment vertical="center"/>
    </xf>
    <xf numFmtId="0" fontId="0" fillId="5" borderId="1" xfId="0" applyFill="1" applyBorder="1"/>
    <xf numFmtId="0" fontId="5" fillId="5" borderId="1" xfId="0" applyFont="1" applyFill="1" applyBorder="1" applyAlignment="1">
      <alignment horizontal="left"/>
    </xf>
    <xf numFmtId="167" fontId="0" fillId="2" borderId="1" xfId="1" applyNumberFormat="1" applyFont="1" applyFill="1" applyBorder="1" applyAlignment="1">
      <alignment horizontal="center"/>
    </xf>
    <xf numFmtId="6" fontId="0" fillId="11" borderId="1" xfId="0" applyNumberFormat="1" applyFill="1" applyBorder="1" applyAlignment="1">
      <alignment horizontal="left"/>
    </xf>
    <xf numFmtId="6" fontId="0" fillId="5" borderId="1" xfId="0" applyNumberFormat="1" applyFill="1" applyBorder="1" applyAlignment="1">
      <alignment horizontal="center"/>
    </xf>
    <xf numFmtId="6" fontId="0" fillId="5" borderId="1" xfId="0" applyNumberFormat="1" applyFill="1" applyBorder="1"/>
    <xf numFmtId="6" fontId="5" fillId="5" borderId="1" xfId="0" applyNumberFormat="1" applyFont="1" applyFill="1" applyBorder="1"/>
    <xf numFmtId="167" fontId="0" fillId="2" borderId="3" xfId="1" applyNumberFormat="1" applyFont="1" applyFill="1" applyBorder="1" applyAlignment="1">
      <alignment horizontal="center"/>
    </xf>
    <xf numFmtId="164" fontId="0" fillId="12" borderId="3" xfId="1" applyNumberFormat="1" applyFont="1" applyFill="1" applyBorder="1" applyAlignment="1">
      <alignment horizontal="center"/>
    </xf>
    <xf numFmtId="0" fontId="1" fillId="5" borderId="19" xfId="0" applyFont="1" applyFill="1" applyBorder="1" applyAlignment="1">
      <alignment horizontal="right"/>
    </xf>
    <xf numFmtId="0" fontId="0" fillId="5" borderId="20" xfId="0" applyFill="1" applyBorder="1"/>
    <xf numFmtId="0" fontId="0" fillId="5" borderId="20" xfId="0" applyFill="1" applyBorder="1" applyAlignment="1">
      <alignment horizontal="center"/>
    </xf>
    <xf numFmtId="167" fontId="0" fillId="5" borderId="20" xfId="0" applyNumberFormat="1" applyFill="1" applyBorder="1"/>
    <xf numFmtId="44" fontId="0" fillId="5" borderId="20" xfId="1" applyFont="1" applyFill="1" applyBorder="1" applyAlignment="1">
      <alignment horizontal="center"/>
    </xf>
    <xf numFmtId="164" fontId="0" fillId="5" borderId="20" xfId="1" applyNumberFormat="1" applyFont="1" applyFill="1" applyBorder="1" applyAlignment="1">
      <alignment horizontal="center"/>
    </xf>
    <xf numFmtId="6" fontId="1" fillId="5" borderId="20" xfId="0" applyNumberFormat="1" applyFont="1" applyFill="1" applyBorder="1" applyAlignment="1">
      <alignment horizontal="center"/>
    </xf>
    <xf numFmtId="6" fontId="1" fillId="5" borderId="46" xfId="0" applyNumberFormat="1" applyFont="1" applyFill="1" applyBorder="1" applyAlignment="1">
      <alignment horizontal="center"/>
    </xf>
    <xf numFmtId="6" fontId="1" fillId="5" borderId="0" xfId="0" applyNumberFormat="1" applyFont="1" applyFill="1" applyAlignment="1">
      <alignment horizontal="center"/>
    </xf>
    <xf numFmtId="44" fontId="0" fillId="5" borderId="0" xfId="1" applyFont="1" applyFill="1"/>
    <xf numFmtId="164" fontId="0" fillId="5" borderId="0" xfId="1" applyNumberFormat="1" applyFont="1" applyFill="1"/>
    <xf numFmtId="164" fontId="0" fillId="5" borderId="0" xfId="1" applyNumberFormat="1" applyFont="1" applyFill="1" applyBorder="1" applyAlignment="1">
      <alignment horizontal="center" vertical="center"/>
    </xf>
    <xf numFmtId="164" fontId="1" fillId="5" borderId="0" xfId="1" applyNumberFormat="1" applyFont="1" applyFill="1" applyBorder="1" applyAlignment="1">
      <alignment horizontal="right"/>
    </xf>
    <xf numFmtId="44" fontId="0" fillId="0" borderId="0" xfId="1" applyFont="1"/>
    <xf numFmtId="164" fontId="0" fillId="0" borderId="0" xfId="1" applyNumberFormat="1" applyFont="1"/>
    <xf numFmtId="164" fontId="0" fillId="5" borderId="0" xfId="2" applyNumberFormat="1" applyFont="1" applyFill="1" applyBorder="1" applyAlignment="1">
      <alignment horizontal="center"/>
    </xf>
    <xf numFmtId="0" fontId="14" fillId="5" borderId="47" xfId="0" applyFont="1" applyFill="1" applyBorder="1" applyAlignment="1">
      <alignment horizontal="center" vertical="center" wrapText="1"/>
    </xf>
    <xf numFmtId="164" fontId="0" fillId="5" borderId="48" xfId="1" applyNumberFormat="1" applyFont="1" applyFill="1" applyBorder="1" applyAlignment="1">
      <alignment horizontal="center"/>
    </xf>
    <xf numFmtId="164" fontId="0" fillId="5" borderId="2" xfId="1" applyNumberFormat="1" applyFont="1" applyFill="1" applyBorder="1" applyAlignment="1">
      <alignment horizontal="center"/>
    </xf>
    <xf numFmtId="164" fontId="0" fillId="5" borderId="49" xfId="1" applyNumberFormat="1" applyFont="1" applyFill="1" applyBorder="1" applyAlignment="1">
      <alignment horizontal="center"/>
    </xf>
    <xf numFmtId="164" fontId="1" fillId="5" borderId="50" xfId="1" applyNumberFormat="1" applyFont="1" applyFill="1" applyBorder="1"/>
    <xf numFmtId="164" fontId="1" fillId="5" borderId="6" xfId="1" applyNumberFormat="1" applyFont="1" applyFill="1" applyBorder="1"/>
    <xf numFmtId="0" fontId="14" fillId="5" borderId="6" xfId="0" applyFont="1" applyFill="1" applyBorder="1" applyAlignment="1">
      <alignment horizontal="center" vertical="center" wrapText="1"/>
    </xf>
    <xf numFmtId="164" fontId="0" fillId="4" borderId="2" xfId="1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3" borderId="0" xfId="1" applyNumberFormat="1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0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44" fontId="0" fillId="5" borderId="0" xfId="1" applyFont="1" applyFill="1" applyAlignment="1">
      <alignment horizontal="center"/>
    </xf>
    <xf numFmtId="44" fontId="0" fillId="5" borderId="0" xfId="1" applyFont="1" applyFill="1" applyAlignment="1">
      <alignment horizontal="left"/>
    </xf>
    <xf numFmtId="0" fontId="1" fillId="5" borderId="7" xfId="0" applyFont="1" applyFill="1" applyBorder="1"/>
    <xf numFmtId="0" fontId="1" fillId="5" borderId="8" xfId="0" applyFont="1" applyFill="1" applyBorder="1" applyAlignment="1">
      <alignment horizontal="left"/>
    </xf>
    <xf numFmtId="164" fontId="1" fillId="5" borderId="9" xfId="1" applyNumberFormat="1" applyFont="1" applyFill="1" applyBorder="1" applyAlignment="1">
      <alignment horizontal="center"/>
    </xf>
    <xf numFmtId="44" fontId="0" fillId="5" borderId="10" xfId="1" applyFont="1" applyFill="1" applyBorder="1" applyAlignment="1">
      <alignment horizontal="left"/>
    </xf>
    <xf numFmtId="164" fontId="0" fillId="5" borderId="11" xfId="1" applyNumberFormat="1" applyFont="1" applyFill="1" applyBorder="1" applyAlignment="1">
      <alignment horizontal="center"/>
    </xf>
    <xf numFmtId="44" fontId="1" fillId="5" borderId="10" xfId="1" applyFont="1" applyFill="1" applyBorder="1" applyAlignment="1">
      <alignment horizontal="left"/>
    </xf>
    <xf numFmtId="164" fontId="1" fillId="5" borderId="11" xfId="1" applyNumberFormat="1" applyFont="1" applyFill="1" applyBorder="1" applyAlignment="1">
      <alignment horizontal="center"/>
    </xf>
    <xf numFmtId="164" fontId="0" fillId="5" borderId="14" xfId="1" applyNumberFormat="1" applyFont="1" applyFill="1" applyBorder="1" applyAlignment="1">
      <alignment horizontal="center"/>
    </xf>
    <xf numFmtId="44" fontId="1" fillId="5" borderId="12" xfId="1" applyFont="1" applyFill="1" applyBorder="1" applyAlignment="1">
      <alignment horizontal="left"/>
    </xf>
    <xf numFmtId="164" fontId="1" fillId="5" borderId="14" xfId="1" applyNumberFormat="1" applyFont="1" applyFill="1" applyBorder="1" applyAlignment="1">
      <alignment horizontal="center"/>
    </xf>
    <xf numFmtId="0" fontId="1" fillId="5" borderId="13" xfId="0" applyFont="1" applyFill="1" applyBorder="1" applyAlignment="1">
      <alignment horizontal="left"/>
    </xf>
    <xf numFmtId="44" fontId="0" fillId="5" borderId="1" xfId="1" applyFont="1" applyFill="1" applyBorder="1" applyAlignment="1">
      <alignment horizontal="left"/>
    </xf>
    <xf numFmtId="44" fontId="1" fillId="5" borderId="1" xfId="1" applyFont="1" applyFill="1" applyBorder="1" applyAlignment="1">
      <alignment horizontal="left"/>
    </xf>
    <xf numFmtId="164" fontId="1" fillId="5" borderId="1" xfId="1" applyNumberFormat="1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1" fillId="5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19" fillId="6" borderId="0" xfId="3" applyFont="1" applyFill="1" applyAlignment="1">
      <alignment horizontal="center" vertical="center" wrapText="1"/>
    </xf>
    <xf numFmtId="3" fontId="9" fillId="0" borderId="1" xfId="3" applyNumberFormat="1" applyFont="1" applyBorder="1" applyAlignment="1">
      <alignment horizontal="center" vertical="center"/>
    </xf>
    <xf numFmtId="0" fontId="0" fillId="5" borderId="10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0" fontId="1" fillId="5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0" fillId="5" borderId="17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5" borderId="22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1" fontId="0" fillId="5" borderId="8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4" fontId="0" fillId="5" borderId="22" xfId="1" applyNumberFormat="1" applyFont="1" applyFill="1" applyBorder="1" applyAlignment="1">
      <alignment horizontal="center"/>
    </xf>
    <xf numFmtId="164" fontId="0" fillId="5" borderId="23" xfId="1" applyNumberFormat="1" applyFont="1" applyFill="1" applyBorder="1" applyAlignment="1">
      <alignment horizontal="center"/>
    </xf>
    <xf numFmtId="164" fontId="0" fillId="5" borderId="24" xfId="1" applyNumberFormat="1" applyFont="1" applyFill="1" applyBorder="1" applyAlignment="1">
      <alignment horizontal="center"/>
    </xf>
    <xf numFmtId="0" fontId="0" fillId="5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1" fontId="0" fillId="5" borderId="8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" fontId="0" fillId="5" borderId="13" xfId="0" applyNumberFormat="1" applyFill="1" applyBorder="1" applyAlignment="1">
      <alignment horizontal="center" vertical="center"/>
    </xf>
    <xf numFmtId="0" fontId="1" fillId="5" borderId="52" xfId="0" applyFont="1" applyFill="1" applyBorder="1" applyAlignment="1">
      <alignment horizontal="center"/>
    </xf>
    <xf numFmtId="0" fontId="1" fillId="5" borderId="53" xfId="0" applyFont="1" applyFill="1" applyBorder="1" applyAlignment="1">
      <alignment horizontal="center"/>
    </xf>
    <xf numFmtId="0" fontId="1" fillId="5" borderId="54" xfId="0" applyFont="1" applyFill="1" applyBorder="1" applyAlignment="1">
      <alignment horizontal="center"/>
    </xf>
    <xf numFmtId="0" fontId="1" fillId="5" borderId="55" xfId="0" applyFont="1" applyFill="1" applyBorder="1" applyAlignment="1">
      <alignment horizontal="center"/>
    </xf>
    <xf numFmtId="0" fontId="1" fillId="5" borderId="51" xfId="0" applyFont="1" applyFill="1" applyBorder="1" applyAlignment="1">
      <alignment horizontal="center"/>
    </xf>
    <xf numFmtId="0" fontId="1" fillId="5" borderId="56" xfId="0" applyFont="1" applyFill="1" applyBorder="1" applyAlignment="1">
      <alignment horizontal="center"/>
    </xf>
    <xf numFmtId="44" fontId="1" fillId="5" borderId="7" xfId="1" applyFont="1" applyFill="1" applyBorder="1" applyAlignment="1">
      <alignment horizontal="center"/>
    </xf>
    <xf numFmtId="44" fontId="1" fillId="5" borderId="9" xfId="1" applyFont="1" applyFill="1" applyBorder="1" applyAlignment="1">
      <alignment horizontal="center"/>
    </xf>
    <xf numFmtId="44" fontId="1" fillId="5" borderId="1" xfId="1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</cellXfs>
  <cellStyles count="7">
    <cellStyle name="Moneda" xfId="1" builtinId="4"/>
    <cellStyle name="Moneda 2" xfId="2" xr:uid="{C770C6B3-E903-439F-8BCA-28EBBBE41DFF}"/>
    <cellStyle name="Moneda 3" xfId="4" xr:uid="{030D72AF-B44F-48A4-B38B-97EBBA1A8CC9}"/>
    <cellStyle name="Normal" xfId="0" builtinId="0"/>
    <cellStyle name="Normal 2" xfId="3" xr:uid="{B19629E0-2E58-4DAF-B964-CA3E3AF29DFB}"/>
    <cellStyle name="Normal 3" xfId="6" xr:uid="{B138C4A4-74E5-4A9C-981D-EB9812AFAA3E}"/>
    <cellStyle name="Porcentaje" xfId="5" builtinId="5"/>
  </cellStyles>
  <dxfs count="0"/>
  <tableStyles count="0" defaultTableStyle="TableStyleMedium2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 ACUMULADA'!$B$4</c:f>
              <c:strCache>
                <c:ptCount val="1"/>
                <c:pt idx="0">
                  <c:v>PRODUCCION 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 ACUMULADA'!$A$5:$A$16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'PRODUC ACUMULADA'!$B$5:$B$16</c:f>
              <c:numCache>
                <c:formatCode>0.00</c:formatCode>
                <c:ptCount val="12"/>
                <c:pt idx="0">
                  <c:v>1698.66</c:v>
                </c:pt>
                <c:pt idx="1">
                  <c:v>1830.15</c:v>
                </c:pt>
                <c:pt idx="2">
                  <c:v>1898.77</c:v>
                </c:pt>
                <c:pt idx="3">
                  <c:v>1800.91</c:v>
                </c:pt>
                <c:pt idx="4">
                  <c:v>1964.1099999999997</c:v>
                </c:pt>
                <c:pt idx="5">
                  <c:v>926.96999999999991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B-4F0F-82E9-36E2DF97AF0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-908330432"/>
        <c:axId val="-908335872"/>
      </c:barChart>
      <c:catAx>
        <c:axId val="-9083304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908335872"/>
        <c:crosses val="autoZero"/>
        <c:auto val="1"/>
        <c:lblAlgn val="ctr"/>
        <c:lblOffset val="100"/>
        <c:noMultiLvlLbl val="0"/>
      </c:catAx>
      <c:valAx>
        <c:axId val="-908335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90833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CONSUMO DOTACION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'COSTOS EPP'!$A$27:$A$38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'COSTOS EPP'!$B$27:$B$38</c:f>
              <c:numCache>
                <c:formatCode>"$"#,##0_);[Red]\("$"#,##0\)</c:formatCode>
                <c:ptCount val="12"/>
                <c:pt idx="0">
                  <c:v>1645000</c:v>
                </c:pt>
                <c:pt idx="1">
                  <c:v>3818000</c:v>
                </c:pt>
                <c:pt idx="2">
                  <c:v>7751000</c:v>
                </c:pt>
                <c:pt idx="3">
                  <c:v>7743200</c:v>
                </c:pt>
                <c:pt idx="4">
                  <c:v>1095800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F-4A1B-BEF0-BFE324B33D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14065839"/>
        <c:axId val="2014043279"/>
      </c:barChart>
      <c:catAx>
        <c:axId val="201406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14043279"/>
        <c:crosses val="autoZero"/>
        <c:auto val="1"/>
        <c:lblAlgn val="ctr"/>
        <c:lblOffset val="100"/>
        <c:noMultiLvlLbl val="0"/>
      </c:catAx>
      <c:valAx>
        <c:axId val="201404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1406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 TONELADA DOTACION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4.7232343596085115E-2"/>
          <c:y val="0.18556126820908311"/>
          <c:w val="0.94110856814461674"/>
          <c:h val="0.60150058363527181"/>
        </c:manualLayout>
      </c:layout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'COSTOS EPP'!$A$27:$A$38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'COSTOS EPP'!$D$27:$D$38</c:f>
              <c:numCache>
                <c:formatCode>_-"$"\ * #,##0_-;\-"$"\ * #,##0_-;_-"$"\ * "-"??_-;_-@_-</c:formatCode>
                <c:ptCount val="12"/>
                <c:pt idx="0">
                  <c:v>968.41039407532992</c:v>
                </c:pt>
                <c:pt idx="1">
                  <c:v>2086.1678004535147</c:v>
                </c:pt>
                <c:pt idx="2">
                  <c:v>4082.1163174054782</c:v>
                </c:pt>
                <c:pt idx="3">
                  <c:v>4299.6040890438717</c:v>
                </c:pt>
                <c:pt idx="4">
                  <c:v>557.91172592166436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6F5-4A35-ACB8-169DB987D19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56543856"/>
        <c:axId val="656546736"/>
      </c:lineChart>
      <c:catAx>
        <c:axId val="65654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6546736"/>
        <c:crosses val="autoZero"/>
        <c:auto val="1"/>
        <c:lblAlgn val="ctr"/>
        <c:lblOffset val="100"/>
        <c:tickMarkSkip val="1"/>
        <c:noMultiLvlLbl val="0"/>
      </c:catAx>
      <c:valAx>
        <c:axId val="656546736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656543856"/>
        <c:crosses val="autoZero"/>
        <c:crossBetween val="between"/>
      </c:valAx>
      <c:spPr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 TONELADA DOTACION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4.7232343596085115E-2"/>
          <c:y val="0.18556126820908311"/>
          <c:w val="0.94110856814461674"/>
          <c:h val="0.60150058363527181"/>
        </c:manualLayout>
      </c:layout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'COSTOS EPP'!$B$27:$B$38</c:f>
              <c:numCache>
                <c:formatCode>"$"#,##0_);[Red]\("$"#,##0\)</c:formatCode>
                <c:ptCount val="12"/>
                <c:pt idx="0">
                  <c:v>1645000</c:v>
                </c:pt>
                <c:pt idx="1">
                  <c:v>3818000</c:v>
                </c:pt>
                <c:pt idx="2">
                  <c:v>7751000</c:v>
                </c:pt>
                <c:pt idx="3">
                  <c:v>7743200</c:v>
                </c:pt>
                <c:pt idx="4">
                  <c:v>1095800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45A-4002-A7D0-B4FD82BE3F21}"/>
            </c:ext>
          </c:extLst>
        </c:ser>
        <c:ser>
          <c:idx val="1"/>
          <c:order val="1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rgbClr val="4472C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'COSTOS EPP'!$D$27:$D$38</c:f>
              <c:numCache>
                <c:formatCode>_-"$"\ * #,##0_-;\-"$"\ * #,##0_-;_-"$"\ * "-"??_-;_-@_-</c:formatCode>
                <c:ptCount val="12"/>
                <c:pt idx="0">
                  <c:v>968.41039407532992</c:v>
                </c:pt>
                <c:pt idx="1">
                  <c:v>2086.1678004535147</c:v>
                </c:pt>
                <c:pt idx="2">
                  <c:v>4082.1163174054782</c:v>
                </c:pt>
                <c:pt idx="3">
                  <c:v>4299.6040890438717</c:v>
                </c:pt>
                <c:pt idx="4">
                  <c:v>557.91172592166436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D2-42A4-A1ED-7F331BFC1D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56543856"/>
        <c:axId val="656546736"/>
      </c:lineChart>
      <c:catAx>
        <c:axId val="65654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6546736"/>
        <c:crosses val="autoZero"/>
        <c:auto val="1"/>
        <c:lblAlgn val="ctr"/>
        <c:lblOffset val="100"/>
        <c:tickMarkSkip val="1"/>
        <c:noMultiLvlLbl val="0"/>
      </c:catAx>
      <c:valAx>
        <c:axId val="656546736"/>
        <c:scaling>
          <c:orientation val="minMax"/>
        </c:scaling>
        <c:delete val="1"/>
        <c:axPos val="l"/>
        <c:numFmt formatCode="&quot;$&quot;#,##0_);[Red]\(&quot;$&quot;#,##0\)" sourceLinked="1"/>
        <c:majorTickMark val="none"/>
        <c:minorTickMark val="none"/>
        <c:tickLblPos val="nextTo"/>
        <c:crossAx val="656543856"/>
        <c:crosses val="autoZero"/>
        <c:crossBetween val="between"/>
      </c:valAx>
      <c:spPr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 TONELADA INSUMOS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4.7232343596085115E-2"/>
          <c:y val="0.18556126820908311"/>
          <c:w val="0.94110856814461674"/>
          <c:h val="0.60150058363527181"/>
        </c:manualLayout>
      </c:layout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'COSTOS INSUMOS '!$J$215:$J$224</c:f>
              <c:strCache>
                <c:ptCount val="10"/>
                <c:pt idx="0">
                  <c:v>MES 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SEPTIEMBRE</c:v>
                </c:pt>
              </c:strCache>
            </c:strRef>
          </c:cat>
          <c:val>
            <c:numRef>
              <c:f>'COSTOS INSUMOS '!$M$215:$M$224</c:f>
              <c:numCache>
                <c:formatCode>_-"$"\ * #,##0_-;\-"$"\ * #,##0_-;_-"$"\ * "-"??_-;_-@_-</c:formatCode>
                <c:ptCount val="10"/>
                <c:pt idx="0" formatCode="General">
                  <c:v>0</c:v>
                </c:pt>
                <c:pt idx="1">
                  <c:v>13884.260534774468</c:v>
                </c:pt>
                <c:pt idx="2">
                  <c:v>11014.458377728601</c:v>
                </c:pt>
                <c:pt idx="3">
                  <c:v>10995.134218467745</c:v>
                </c:pt>
                <c:pt idx="4">
                  <c:v>7949.0241044805125</c:v>
                </c:pt>
                <c:pt idx="5">
                  <c:v>9998.9938954539211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C6-4F5F-8976-944DB9608F3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56543856"/>
        <c:axId val="656546736"/>
      </c:lineChart>
      <c:catAx>
        <c:axId val="65654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6546736"/>
        <c:crosses val="autoZero"/>
        <c:auto val="1"/>
        <c:lblAlgn val="ctr"/>
        <c:lblOffset val="100"/>
        <c:tickMarkSkip val="1"/>
        <c:noMultiLvlLbl val="0"/>
      </c:catAx>
      <c:valAx>
        <c:axId val="6565467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6543856"/>
        <c:crosses val="autoZero"/>
        <c:crossBetween val="between"/>
      </c:valAx>
      <c:spPr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CONSOLIDADO CONSUMO INSUMOS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0397880768881994"/>
          <c:y val="6.6711594747920669E-2"/>
          <c:w val="0.88062473722979218"/>
          <c:h val="0.90602508926241665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'[4]COSTOS INSUMOS '!$K$201:$K$212</c:f>
              <c:numCache>
                <c:formatCode>General</c:formatCode>
                <c:ptCount val="12"/>
                <c:pt idx="0">
                  <c:v>23584638</c:v>
                </c:pt>
                <c:pt idx="1">
                  <c:v>20158111</c:v>
                </c:pt>
                <c:pt idx="2">
                  <c:v>20877231</c:v>
                </c:pt>
                <c:pt idx="3">
                  <c:v>14065477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'[4]COSTOS INSUMOS '!$J$201:$J$212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FE1-48F4-951E-2C245B522B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0633551"/>
        <c:axId val="693321887"/>
      </c:barChart>
      <c:catAx>
        <c:axId val="76063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321887"/>
        <c:crosses val="autoZero"/>
        <c:auto val="1"/>
        <c:lblAlgn val="ctr"/>
        <c:lblOffset val="100"/>
        <c:noMultiLvlLbl val="0"/>
      </c:catAx>
      <c:valAx>
        <c:axId val="69332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063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 baseline="0">
                <a:solidFill>
                  <a:sysClr val="windowText" lastClr="000000"/>
                </a:solidFill>
              </a:rPr>
              <a:t>COSTO ENERGIA VS PRODUCCION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'ENERGIA 2026'!$F$3</c:f>
              <c:strCache>
                <c:ptCount val="1"/>
                <c:pt idx="0">
                  <c:v>VALOR A PAGAR EN MM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'ENERGIA 2026'!$A$4:$A$15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'ENERGIA 2026'!$F$4:$F$15</c:f>
              <c:numCache>
                <c:formatCode>#,##0</c:formatCode>
                <c:ptCount val="12"/>
                <c:pt idx="0">
                  <c:v>2960.3229999999999</c:v>
                </c:pt>
                <c:pt idx="1">
                  <c:v>2936.828</c:v>
                </c:pt>
                <c:pt idx="2">
                  <c:v>3831.585</c:v>
                </c:pt>
                <c:pt idx="3">
                  <c:v>3689.375</c:v>
                </c:pt>
                <c:pt idx="4">
                  <c:v>3150.2689999999998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F-48FF-814E-DA42DCFE3C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5344479"/>
        <c:axId val="1445365599"/>
      </c:barChart>
      <c:lineChart>
        <c:grouping val="stacked"/>
        <c:varyColors val="0"/>
        <c:ser>
          <c:idx val="1"/>
          <c:order val="1"/>
          <c:tx>
            <c:strRef>
              <c:f>'ENERGIA 2026'!$G$3</c:f>
              <c:strCache>
                <c:ptCount val="1"/>
                <c:pt idx="0">
                  <c:v>PRODUCION  MES TON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'ENERGIA 2026'!$A$4:$A$15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'ENERGIA 2026'!$G$4:$G$15</c:f>
              <c:numCache>
                <c:formatCode>#,##0.00</c:formatCode>
                <c:ptCount val="12"/>
                <c:pt idx="0">
                  <c:v>1698.66</c:v>
                </c:pt>
                <c:pt idx="1">
                  <c:v>1830.15</c:v>
                </c:pt>
                <c:pt idx="2">
                  <c:v>1898.77</c:v>
                </c:pt>
                <c:pt idx="3">
                  <c:v>1800.91</c:v>
                </c:pt>
                <c:pt idx="4">
                  <c:v>1964.1099999999997</c:v>
                </c:pt>
                <c:pt idx="5">
                  <c:v>926.96999999999991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7F-48FF-814E-DA42DCFE3C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45344479"/>
        <c:axId val="1445365599"/>
      </c:lineChart>
      <c:catAx>
        <c:axId val="144534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5365599"/>
        <c:crosses val="autoZero"/>
        <c:auto val="1"/>
        <c:lblAlgn val="ctr"/>
        <c:lblOffset val="100"/>
        <c:noMultiLvlLbl val="0"/>
      </c:catAx>
      <c:valAx>
        <c:axId val="1445365599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4534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 baseline="0">
                <a:solidFill>
                  <a:sysClr val="windowText" lastClr="000000"/>
                </a:solidFill>
              </a:rPr>
              <a:t>CONSUMO KW VS PRODUCCION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'ENERGIA 2026'!$G$3</c:f>
              <c:strCache>
                <c:ptCount val="1"/>
                <c:pt idx="0">
                  <c:v>PRODUCION  MES TON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'ENERGIA 2026'!$A$4:$A$15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'ENERGIA 2026'!$G$4:$G$15</c:f>
              <c:numCache>
                <c:formatCode>#,##0.00</c:formatCode>
                <c:ptCount val="12"/>
                <c:pt idx="0">
                  <c:v>1698.66</c:v>
                </c:pt>
                <c:pt idx="1">
                  <c:v>1830.15</c:v>
                </c:pt>
                <c:pt idx="2">
                  <c:v>1898.77</c:v>
                </c:pt>
                <c:pt idx="3">
                  <c:v>1800.91</c:v>
                </c:pt>
                <c:pt idx="4">
                  <c:v>1964.1099999999997</c:v>
                </c:pt>
                <c:pt idx="5">
                  <c:v>926.96999999999991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1-496D-B695-6005E975B0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50515071"/>
        <c:axId val="1450512671"/>
      </c:barChart>
      <c:lineChart>
        <c:grouping val="stacked"/>
        <c:varyColors val="0"/>
        <c:ser>
          <c:idx val="0"/>
          <c:order val="0"/>
          <c:tx>
            <c:strRef>
              <c:f>'ENERGIA 2026'!$C$3</c:f>
              <c:strCache>
                <c:ptCount val="1"/>
                <c:pt idx="0">
                  <c:v>CONSUMO MENSUAL Kw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'ENERGIA 2026'!$A$4:$A$15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'ENERGIA 2026'!$C$4:$C$15</c:f>
              <c:numCache>
                <c:formatCode>#,##0</c:formatCode>
                <c:ptCount val="12"/>
                <c:pt idx="0">
                  <c:v>28260</c:v>
                </c:pt>
                <c:pt idx="1">
                  <c:v>29750</c:v>
                </c:pt>
                <c:pt idx="2">
                  <c:v>37142</c:v>
                </c:pt>
                <c:pt idx="3">
                  <c:v>33517</c:v>
                </c:pt>
                <c:pt idx="4">
                  <c:v>31155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81-496D-B695-6005E975B0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50515071"/>
        <c:axId val="1450512671"/>
      </c:lineChart>
      <c:catAx>
        <c:axId val="145051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0512671"/>
        <c:crosses val="autoZero"/>
        <c:auto val="1"/>
        <c:lblAlgn val="ctr"/>
        <c:lblOffset val="100"/>
        <c:noMultiLvlLbl val="0"/>
      </c:catAx>
      <c:valAx>
        <c:axId val="1450512671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450515071"/>
        <c:crosses val="autoZero"/>
        <c:crossBetween val="between"/>
      </c:valAx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 TONELADA ENERGIA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4.7232343596085115E-2"/>
          <c:y val="0.18556126820908311"/>
          <c:w val="0.94110856814461674"/>
          <c:h val="0.60150058363527181"/>
        </c:manualLayout>
      </c:layout>
      <c:lineChart>
        <c:grouping val="standard"/>
        <c:varyColors val="0"/>
        <c:ser>
          <c:idx val="0"/>
          <c:order val="0"/>
          <c:tx>
            <c:strRef>
              <c:f>'ENERGIA 2026'!$I$3</c:f>
              <c:strCache>
                <c:ptCount val="1"/>
                <c:pt idx="0">
                  <c:v>COSTO TONELADA VS ENERGIA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'ENERGIA 2026'!$A$4:$A$15</c:f>
              <c:strCache>
                <c:ptCount val="12"/>
                <c:pt idx="0">
                  <c:v>ENERO 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'ENERGIA 2026'!$I$4:$I$15</c:f>
              <c:numCache>
                <c:formatCode>#,##0</c:formatCode>
                <c:ptCount val="12"/>
                <c:pt idx="0">
                  <c:v>17427.401598907374</c:v>
                </c:pt>
                <c:pt idx="1">
                  <c:v>16046.925115427697</c:v>
                </c:pt>
                <c:pt idx="2">
                  <c:v>20179.300283867979</c:v>
                </c:pt>
                <c:pt idx="3">
                  <c:v>20486.170880277194</c:v>
                </c:pt>
                <c:pt idx="4">
                  <c:v>16039.16786738014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CB-4C29-9EE6-63684969D0B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56543856"/>
        <c:axId val="656546736"/>
      </c:lineChart>
      <c:catAx>
        <c:axId val="65654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6546736"/>
        <c:crosses val="autoZero"/>
        <c:auto val="1"/>
        <c:lblAlgn val="ctr"/>
        <c:lblOffset val="100"/>
        <c:tickMarkSkip val="1"/>
        <c:noMultiLvlLbl val="0"/>
      </c:catAx>
      <c:valAx>
        <c:axId val="65654673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65654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Participación porcentual</a:t>
            </a:r>
            <a:r>
              <a:rPr lang="en-US" sz="1200" b="1" baseline="0">
                <a:solidFill>
                  <a:schemeClr val="tx1"/>
                </a:solidFill>
              </a:rPr>
              <a:t> (%) consumo de madera x operación año 2026</a:t>
            </a:r>
          </a:p>
          <a:p>
            <a:pPr>
              <a:defRPr sz="1200" b="1">
                <a:solidFill>
                  <a:schemeClr val="tx1"/>
                </a:solidFill>
              </a:defRPr>
            </a:pPr>
            <a:endParaRPr lang="en-US" sz="1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7704822232076201"/>
          <c:y val="0.20887637214799232"/>
          <c:w val="0.8018913887552116"/>
          <c:h val="0.716635768542173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MADERA!$D$3:$F$3</c:f>
              <c:strCache>
                <c:ptCount val="1"/>
                <c:pt idx="0">
                  <c:v>Unid PART. PORCENTUAL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MADERA!$B$4:$C$39</c:f>
              <c:multiLvlStrCache>
                <c:ptCount val="36"/>
                <c:lvl>
                  <c:pt idx="0">
                    <c:v>Palancas</c:v>
                  </c:pt>
                  <c:pt idx="1">
                    <c:v>Tabla</c:v>
                  </c:pt>
                  <c:pt idx="2">
                    <c:v>Riel</c:v>
                  </c:pt>
                  <c:pt idx="3">
                    <c:v>Palancas</c:v>
                  </c:pt>
                  <c:pt idx="4">
                    <c:v>Tabla</c:v>
                  </c:pt>
                  <c:pt idx="5">
                    <c:v>VARAS DE 4 MTRS</c:v>
                  </c:pt>
                  <c:pt idx="6">
                    <c:v>Palancas </c:v>
                  </c:pt>
                  <c:pt idx="7">
                    <c:v>Tablas</c:v>
                  </c:pt>
                  <c:pt idx="8">
                    <c:v>Riel</c:v>
                  </c:pt>
                  <c:pt idx="9">
                    <c:v>Palancas </c:v>
                  </c:pt>
                  <c:pt idx="10">
                    <c:v>Tablas</c:v>
                  </c:pt>
                  <c:pt idx="11">
                    <c:v>Riel</c:v>
                  </c:pt>
                  <c:pt idx="12">
                    <c:v>Palancas </c:v>
                  </c:pt>
                  <c:pt idx="13">
                    <c:v>Tablas</c:v>
                  </c:pt>
                  <c:pt idx="14">
                    <c:v>Tacos</c:v>
                  </c:pt>
                  <c:pt idx="15">
                    <c:v>Palancas </c:v>
                  </c:pt>
                  <c:pt idx="16">
                    <c:v>Tablas</c:v>
                  </c:pt>
                  <c:pt idx="17">
                    <c:v>Riel</c:v>
                  </c:pt>
                  <c:pt idx="18">
                    <c:v>Palancas </c:v>
                  </c:pt>
                  <c:pt idx="19">
                    <c:v>Tablas</c:v>
                  </c:pt>
                  <c:pt idx="20">
                    <c:v>Riel</c:v>
                  </c:pt>
                  <c:pt idx="21">
                    <c:v>Palancas </c:v>
                  </c:pt>
                  <c:pt idx="22">
                    <c:v>Tablas</c:v>
                  </c:pt>
                  <c:pt idx="23">
                    <c:v>Riel</c:v>
                  </c:pt>
                  <c:pt idx="24">
                    <c:v>Palancas </c:v>
                  </c:pt>
                  <c:pt idx="25">
                    <c:v>Tablas</c:v>
                  </c:pt>
                  <c:pt idx="26">
                    <c:v>Riel</c:v>
                  </c:pt>
                  <c:pt idx="27">
                    <c:v>Palancas </c:v>
                  </c:pt>
                  <c:pt idx="28">
                    <c:v>Tablas</c:v>
                  </c:pt>
                  <c:pt idx="29">
                    <c:v>Riel</c:v>
                  </c:pt>
                  <c:pt idx="30">
                    <c:v>Palancas </c:v>
                  </c:pt>
                  <c:pt idx="31">
                    <c:v>Tablas</c:v>
                  </c:pt>
                  <c:pt idx="32">
                    <c:v>Riel</c:v>
                  </c:pt>
                  <c:pt idx="33">
                    <c:v>Palancas </c:v>
                  </c:pt>
                  <c:pt idx="34">
                    <c:v>Tablas</c:v>
                  </c:pt>
                  <c:pt idx="35">
                    <c:v>Riel</c:v>
                  </c:pt>
                </c:lvl>
                <c:lvl>
                  <c:pt idx="0">
                    <c:v>Enero</c:v>
                  </c:pt>
                  <c:pt idx="3">
                    <c:v>Febrero</c:v>
                  </c:pt>
                  <c:pt idx="6">
                    <c:v>Marzo</c:v>
                  </c:pt>
                  <c:pt idx="9">
                    <c:v>Abril</c:v>
                  </c:pt>
                  <c:pt idx="12">
                    <c:v>Mayo</c:v>
                  </c:pt>
                  <c:pt idx="15">
                    <c:v>Junio</c:v>
                  </c:pt>
                  <c:pt idx="18">
                    <c:v>Julio</c:v>
                  </c:pt>
                  <c:pt idx="21">
                    <c:v>Agosto</c:v>
                  </c:pt>
                  <c:pt idx="24">
                    <c:v>Septiembre</c:v>
                  </c:pt>
                  <c:pt idx="27">
                    <c:v>Octubre</c:v>
                  </c:pt>
                  <c:pt idx="30">
                    <c:v>Noviembre</c:v>
                  </c:pt>
                  <c:pt idx="33">
                    <c:v>Diciembre</c:v>
                  </c:pt>
                </c:lvl>
              </c:multiLvlStrCache>
            </c:multiLvlStrRef>
          </c:cat>
          <c:val>
            <c:numRef>
              <c:f>MADERA!$F$4:$F$39</c:f>
              <c:numCache>
                <c:formatCode>0%</c:formatCode>
                <c:ptCount val="36"/>
                <c:pt idx="0">
                  <c:v>0.38648897058823528</c:v>
                </c:pt>
                <c:pt idx="1">
                  <c:v>0.61351102941176472</c:v>
                </c:pt>
                <c:pt idx="2">
                  <c:v>0</c:v>
                </c:pt>
                <c:pt idx="3">
                  <c:v>0.47789115646258501</c:v>
                </c:pt>
                <c:pt idx="4">
                  <c:v>0.5212585034013606</c:v>
                </c:pt>
                <c:pt idx="5">
                  <c:v>8.5034013605442174E-4</c:v>
                </c:pt>
                <c:pt idx="6">
                  <c:v>0.41174270755422587</c:v>
                </c:pt>
                <c:pt idx="7">
                  <c:v>0.58825729244577407</c:v>
                </c:pt>
                <c:pt idx="8">
                  <c:v>0</c:v>
                </c:pt>
                <c:pt idx="9">
                  <c:v>0.4069314641744548</c:v>
                </c:pt>
                <c:pt idx="10">
                  <c:v>0.5930685358255452</c:v>
                </c:pt>
                <c:pt idx="11">
                  <c:v>0</c:v>
                </c:pt>
                <c:pt idx="12">
                  <c:v>0.40212373037857801</c:v>
                </c:pt>
                <c:pt idx="13">
                  <c:v>0.56325023084025849</c:v>
                </c:pt>
                <c:pt idx="14">
                  <c:v>3.4626038781163437E-2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9-495B-851D-9A0BCCE970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253744"/>
        <c:axId val="6254288"/>
      </c:barChart>
      <c:catAx>
        <c:axId val="6253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>
                    <a:solidFill>
                      <a:schemeClr val="tx1"/>
                    </a:solidFill>
                  </a:rPr>
                  <a:t>Mina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54288"/>
        <c:crosses val="autoZero"/>
        <c:auto val="1"/>
        <c:lblAlgn val="ctr"/>
        <c:lblOffset val="100"/>
        <c:noMultiLvlLbl val="0"/>
      </c:catAx>
      <c:valAx>
        <c:axId val="625428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625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Consumo</a:t>
            </a:r>
            <a:r>
              <a:rPr lang="en-US" sz="1200" b="1" baseline="0">
                <a:solidFill>
                  <a:schemeClr val="tx1"/>
                </a:solidFill>
              </a:rPr>
              <a:t> de madera (</a:t>
            </a:r>
            <a:r>
              <a:rPr lang="en-US" sz="1200" b="1">
                <a:solidFill>
                  <a:schemeClr val="tx1"/>
                </a:solidFill>
              </a:rPr>
              <a:t>mt3) x operación año 2026</a:t>
            </a:r>
          </a:p>
          <a:p>
            <a:pPr>
              <a:defRPr sz="1200" b="1">
                <a:solidFill>
                  <a:schemeClr val="tx1"/>
                </a:solidFill>
              </a:defRPr>
            </a:pPr>
            <a:endParaRPr lang="en-US" sz="1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2550755742758413"/>
          <c:y val="0.17091612000915796"/>
          <c:w val="0.83170275245162406"/>
          <c:h val="0.757946027732706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MADERA!$D$3</c:f>
              <c:strCache>
                <c:ptCount val="1"/>
                <c:pt idx="0">
                  <c:v>Unid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MADERA!$B$4:$C$39</c:f>
              <c:multiLvlStrCache>
                <c:ptCount val="36"/>
                <c:lvl>
                  <c:pt idx="0">
                    <c:v>Palancas</c:v>
                  </c:pt>
                  <c:pt idx="1">
                    <c:v>Tabla</c:v>
                  </c:pt>
                  <c:pt idx="2">
                    <c:v>Riel</c:v>
                  </c:pt>
                  <c:pt idx="3">
                    <c:v>Palancas</c:v>
                  </c:pt>
                  <c:pt idx="4">
                    <c:v>Tabla</c:v>
                  </c:pt>
                  <c:pt idx="5">
                    <c:v>VARAS DE 4 MTRS</c:v>
                  </c:pt>
                  <c:pt idx="6">
                    <c:v>Palancas </c:v>
                  </c:pt>
                  <c:pt idx="7">
                    <c:v>Tablas</c:v>
                  </c:pt>
                  <c:pt idx="8">
                    <c:v>Riel</c:v>
                  </c:pt>
                  <c:pt idx="9">
                    <c:v>Palancas </c:v>
                  </c:pt>
                  <c:pt idx="10">
                    <c:v>Tablas</c:v>
                  </c:pt>
                  <c:pt idx="11">
                    <c:v>Riel</c:v>
                  </c:pt>
                  <c:pt idx="12">
                    <c:v>Palancas </c:v>
                  </c:pt>
                  <c:pt idx="13">
                    <c:v>Tablas</c:v>
                  </c:pt>
                  <c:pt idx="14">
                    <c:v>Tacos</c:v>
                  </c:pt>
                  <c:pt idx="15">
                    <c:v>Palancas </c:v>
                  </c:pt>
                  <c:pt idx="16">
                    <c:v>Tablas</c:v>
                  </c:pt>
                  <c:pt idx="17">
                    <c:v>Riel</c:v>
                  </c:pt>
                  <c:pt idx="18">
                    <c:v>Palancas </c:v>
                  </c:pt>
                  <c:pt idx="19">
                    <c:v>Tablas</c:v>
                  </c:pt>
                  <c:pt idx="20">
                    <c:v>Riel</c:v>
                  </c:pt>
                  <c:pt idx="21">
                    <c:v>Palancas </c:v>
                  </c:pt>
                  <c:pt idx="22">
                    <c:v>Tablas</c:v>
                  </c:pt>
                  <c:pt idx="23">
                    <c:v>Riel</c:v>
                  </c:pt>
                  <c:pt idx="24">
                    <c:v>Palancas </c:v>
                  </c:pt>
                  <c:pt idx="25">
                    <c:v>Tablas</c:v>
                  </c:pt>
                  <c:pt idx="26">
                    <c:v>Riel</c:v>
                  </c:pt>
                  <c:pt idx="27">
                    <c:v>Palancas </c:v>
                  </c:pt>
                  <c:pt idx="28">
                    <c:v>Tablas</c:v>
                  </c:pt>
                  <c:pt idx="29">
                    <c:v>Riel</c:v>
                  </c:pt>
                  <c:pt idx="30">
                    <c:v>Palancas </c:v>
                  </c:pt>
                  <c:pt idx="31">
                    <c:v>Tablas</c:v>
                  </c:pt>
                  <c:pt idx="32">
                    <c:v>Riel</c:v>
                  </c:pt>
                  <c:pt idx="33">
                    <c:v>Palancas </c:v>
                  </c:pt>
                  <c:pt idx="34">
                    <c:v>Tablas</c:v>
                  </c:pt>
                  <c:pt idx="35">
                    <c:v>Riel</c:v>
                  </c:pt>
                </c:lvl>
                <c:lvl>
                  <c:pt idx="0">
                    <c:v>Enero</c:v>
                  </c:pt>
                  <c:pt idx="3">
                    <c:v>Febrero</c:v>
                  </c:pt>
                  <c:pt idx="6">
                    <c:v>Marzo</c:v>
                  </c:pt>
                  <c:pt idx="9">
                    <c:v>Abril</c:v>
                  </c:pt>
                  <c:pt idx="12">
                    <c:v>Mayo</c:v>
                  </c:pt>
                  <c:pt idx="15">
                    <c:v>Junio</c:v>
                  </c:pt>
                  <c:pt idx="18">
                    <c:v>Julio</c:v>
                  </c:pt>
                  <c:pt idx="21">
                    <c:v>Agosto</c:v>
                  </c:pt>
                  <c:pt idx="24">
                    <c:v>Septiembre</c:v>
                  </c:pt>
                  <c:pt idx="27">
                    <c:v>Octubre</c:v>
                  </c:pt>
                  <c:pt idx="30">
                    <c:v>Noviembre</c:v>
                  </c:pt>
                  <c:pt idx="33">
                    <c:v>Diciembre</c:v>
                  </c:pt>
                </c:lvl>
              </c:multiLvlStrCache>
            </c:multiLvlStrRef>
          </c:cat>
          <c:val>
            <c:numRef>
              <c:f>MADERA!$D$4:$D$39</c:f>
              <c:numCache>
                <c:formatCode>0</c:formatCode>
                <c:ptCount val="36"/>
                <c:pt idx="0">
                  <c:v>841</c:v>
                </c:pt>
                <c:pt idx="1">
                  <c:v>1335</c:v>
                </c:pt>
                <c:pt idx="2">
                  <c:v>0</c:v>
                </c:pt>
                <c:pt idx="3">
                  <c:v>1124</c:v>
                </c:pt>
                <c:pt idx="4">
                  <c:v>1226</c:v>
                </c:pt>
                <c:pt idx="5">
                  <c:v>2</c:v>
                </c:pt>
                <c:pt idx="6">
                  <c:v>1101</c:v>
                </c:pt>
                <c:pt idx="7">
                  <c:v>1573</c:v>
                </c:pt>
                <c:pt idx="8">
                  <c:v>0</c:v>
                </c:pt>
                <c:pt idx="9">
                  <c:v>1045</c:v>
                </c:pt>
                <c:pt idx="10">
                  <c:v>1523</c:v>
                </c:pt>
                <c:pt idx="11">
                  <c:v>0</c:v>
                </c:pt>
                <c:pt idx="12">
                  <c:v>871</c:v>
                </c:pt>
                <c:pt idx="13">
                  <c:v>1220</c:v>
                </c:pt>
                <c:pt idx="14">
                  <c:v>75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3E-4D58-97F0-D23C939FC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55376"/>
        <c:axId val="6255920"/>
      </c:barChart>
      <c:catAx>
        <c:axId val="625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55920"/>
        <c:crosses val="autoZero"/>
        <c:auto val="1"/>
        <c:lblAlgn val="ctr"/>
        <c:lblOffset val="100"/>
        <c:noMultiLvlLbl val="0"/>
      </c:catAx>
      <c:valAx>
        <c:axId val="6255920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6255376"/>
        <c:crosses val="autoZero"/>
        <c:crossBetween val="between"/>
      </c:valAx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baseline="0">
                <a:solidFill>
                  <a:schemeClr val="tx1"/>
                </a:solidFill>
              </a:rPr>
              <a:t>CONSUMO DE MADERA Y SU COSTO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0984080236981962E-2"/>
          <c:y val="5.4464017197495905E-2"/>
          <c:w val="0.88721615101493845"/>
          <c:h val="0.81983594993051556"/>
        </c:manualLayout>
      </c:layout>
      <c:barChart>
        <c:barDir val="col"/>
        <c:grouping val="stacked"/>
        <c:varyColors val="0"/>
        <c:ser>
          <c:idx val="1"/>
          <c:order val="1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MADERA!$B$4:$C$39</c:f>
              <c:multiLvlStrCache>
                <c:ptCount val="36"/>
                <c:lvl>
                  <c:pt idx="0">
                    <c:v>Palancas</c:v>
                  </c:pt>
                  <c:pt idx="1">
                    <c:v>Tabla</c:v>
                  </c:pt>
                  <c:pt idx="2">
                    <c:v>Riel</c:v>
                  </c:pt>
                  <c:pt idx="3">
                    <c:v>Palancas</c:v>
                  </c:pt>
                  <c:pt idx="4">
                    <c:v>Tabla</c:v>
                  </c:pt>
                  <c:pt idx="5">
                    <c:v>VARAS DE 4 MTRS</c:v>
                  </c:pt>
                  <c:pt idx="6">
                    <c:v>Palancas </c:v>
                  </c:pt>
                  <c:pt idx="7">
                    <c:v>Tablas</c:v>
                  </c:pt>
                  <c:pt idx="8">
                    <c:v>Riel</c:v>
                  </c:pt>
                  <c:pt idx="9">
                    <c:v>Palancas </c:v>
                  </c:pt>
                  <c:pt idx="10">
                    <c:v>Tablas</c:v>
                  </c:pt>
                  <c:pt idx="11">
                    <c:v>Riel</c:v>
                  </c:pt>
                  <c:pt idx="12">
                    <c:v>Palancas </c:v>
                  </c:pt>
                  <c:pt idx="13">
                    <c:v>Tablas</c:v>
                  </c:pt>
                  <c:pt idx="14">
                    <c:v>Tacos</c:v>
                  </c:pt>
                  <c:pt idx="15">
                    <c:v>Palancas </c:v>
                  </c:pt>
                  <c:pt idx="16">
                    <c:v>Tablas</c:v>
                  </c:pt>
                  <c:pt idx="17">
                    <c:v>Riel</c:v>
                  </c:pt>
                  <c:pt idx="18">
                    <c:v>Palancas </c:v>
                  </c:pt>
                  <c:pt idx="19">
                    <c:v>Tablas</c:v>
                  </c:pt>
                  <c:pt idx="20">
                    <c:v>Riel</c:v>
                  </c:pt>
                  <c:pt idx="21">
                    <c:v>Palancas </c:v>
                  </c:pt>
                  <c:pt idx="22">
                    <c:v>Tablas</c:v>
                  </c:pt>
                  <c:pt idx="23">
                    <c:v>Riel</c:v>
                  </c:pt>
                  <c:pt idx="24">
                    <c:v>Palancas </c:v>
                  </c:pt>
                  <c:pt idx="25">
                    <c:v>Tablas</c:v>
                  </c:pt>
                  <c:pt idx="26">
                    <c:v>Riel</c:v>
                  </c:pt>
                  <c:pt idx="27">
                    <c:v>Palancas </c:v>
                  </c:pt>
                  <c:pt idx="28">
                    <c:v>Tablas</c:v>
                  </c:pt>
                  <c:pt idx="29">
                    <c:v>Riel</c:v>
                  </c:pt>
                  <c:pt idx="30">
                    <c:v>Palancas </c:v>
                  </c:pt>
                  <c:pt idx="31">
                    <c:v>Tablas</c:v>
                  </c:pt>
                  <c:pt idx="32">
                    <c:v>Riel</c:v>
                  </c:pt>
                  <c:pt idx="33">
                    <c:v>Palancas </c:v>
                  </c:pt>
                  <c:pt idx="34">
                    <c:v>Tablas</c:v>
                  </c:pt>
                  <c:pt idx="35">
                    <c:v>Riel</c:v>
                  </c:pt>
                </c:lvl>
                <c:lvl>
                  <c:pt idx="0">
                    <c:v>Enero</c:v>
                  </c:pt>
                  <c:pt idx="3">
                    <c:v>Febrero</c:v>
                  </c:pt>
                  <c:pt idx="6">
                    <c:v>Marzo</c:v>
                  </c:pt>
                  <c:pt idx="9">
                    <c:v>Abril</c:v>
                  </c:pt>
                  <c:pt idx="12">
                    <c:v>Mayo</c:v>
                  </c:pt>
                  <c:pt idx="15">
                    <c:v>Junio</c:v>
                  </c:pt>
                  <c:pt idx="18">
                    <c:v>Julio</c:v>
                  </c:pt>
                  <c:pt idx="21">
                    <c:v>Agosto</c:v>
                  </c:pt>
                  <c:pt idx="24">
                    <c:v>Septiembre</c:v>
                  </c:pt>
                  <c:pt idx="27">
                    <c:v>Octubre</c:v>
                  </c:pt>
                  <c:pt idx="30">
                    <c:v>Noviembre</c:v>
                  </c:pt>
                  <c:pt idx="33">
                    <c:v>Diciembre</c:v>
                  </c:pt>
                </c:lvl>
              </c:multiLvlStrCache>
            </c:multiLvlStrRef>
          </c:cat>
          <c:val>
            <c:numRef>
              <c:f>MADERA!$G$4:$G$39</c:f>
              <c:numCache>
                <c:formatCode>_-"$"\ * #,##0_-;\-"$"\ * #,##0_-;_-"$"\ * "-"??_-;_-@_-</c:formatCode>
                <c:ptCount val="36"/>
                <c:pt idx="0">
                  <c:v>21866000</c:v>
                </c:pt>
                <c:pt idx="1">
                  <c:v>13350000</c:v>
                </c:pt>
                <c:pt idx="2">
                  <c:v>0</c:v>
                </c:pt>
                <c:pt idx="3">
                  <c:v>29224000</c:v>
                </c:pt>
                <c:pt idx="4">
                  <c:v>12260000</c:v>
                </c:pt>
                <c:pt idx="5">
                  <c:v>48000</c:v>
                </c:pt>
                <c:pt idx="6">
                  <c:v>28626000</c:v>
                </c:pt>
                <c:pt idx="7">
                  <c:v>15730000</c:v>
                </c:pt>
                <c:pt idx="8">
                  <c:v>0</c:v>
                </c:pt>
                <c:pt idx="9">
                  <c:v>27170000</c:v>
                </c:pt>
                <c:pt idx="10">
                  <c:v>15230000</c:v>
                </c:pt>
                <c:pt idx="11">
                  <c:v>0</c:v>
                </c:pt>
                <c:pt idx="12">
                  <c:v>22646000</c:v>
                </c:pt>
                <c:pt idx="13">
                  <c:v>12200000</c:v>
                </c:pt>
                <c:pt idx="14">
                  <c:v>150000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B-4C7D-93C7-0AA589B6E1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34681519"/>
        <c:axId val="234698319"/>
      </c:barChart>
      <c:lineChart>
        <c:grouping val="stacked"/>
        <c:varyColors val="0"/>
        <c:ser>
          <c:idx val="0"/>
          <c:order val="0"/>
          <c:tx>
            <c:v>UNIDAD</c:v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MADERA!$B$4:$C$24</c:f>
              <c:multiLvlStrCache>
                <c:ptCount val="21"/>
                <c:lvl>
                  <c:pt idx="0">
                    <c:v>Palancas</c:v>
                  </c:pt>
                  <c:pt idx="1">
                    <c:v>Tabla</c:v>
                  </c:pt>
                  <c:pt idx="2">
                    <c:v>Riel</c:v>
                  </c:pt>
                  <c:pt idx="3">
                    <c:v>Palancas</c:v>
                  </c:pt>
                  <c:pt idx="4">
                    <c:v>Tabla</c:v>
                  </c:pt>
                  <c:pt idx="5">
                    <c:v>VARAS DE 4 MTRS</c:v>
                  </c:pt>
                  <c:pt idx="6">
                    <c:v>Palancas </c:v>
                  </c:pt>
                  <c:pt idx="7">
                    <c:v>Tablas</c:v>
                  </c:pt>
                  <c:pt idx="8">
                    <c:v>Riel</c:v>
                  </c:pt>
                  <c:pt idx="9">
                    <c:v>Palancas </c:v>
                  </c:pt>
                  <c:pt idx="10">
                    <c:v>Tablas</c:v>
                  </c:pt>
                  <c:pt idx="11">
                    <c:v>Riel</c:v>
                  </c:pt>
                  <c:pt idx="12">
                    <c:v>Palancas </c:v>
                  </c:pt>
                  <c:pt idx="13">
                    <c:v>Tablas</c:v>
                  </c:pt>
                  <c:pt idx="14">
                    <c:v>Tacos</c:v>
                  </c:pt>
                  <c:pt idx="15">
                    <c:v>Palancas </c:v>
                  </c:pt>
                  <c:pt idx="16">
                    <c:v>Tablas</c:v>
                  </c:pt>
                  <c:pt idx="17">
                    <c:v>Riel</c:v>
                  </c:pt>
                  <c:pt idx="18">
                    <c:v>Palancas </c:v>
                  </c:pt>
                  <c:pt idx="19">
                    <c:v>Tablas</c:v>
                  </c:pt>
                  <c:pt idx="20">
                    <c:v>Riel</c:v>
                  </c:pt>
                </c:lvl>
                <c:lvl>
                  <c:pt idx="0">
                    <c:v>Enero</c:v>
                  </c:pt>
                  <c:pt idx="3">
                    <c:v>Febrero</c:v>
                  </c:pt>
                  <c:pt idx="6">
                    <c:v>Marzo</c:v>
                  </c:pt>
                  <c:pt idx="9">
                    <c:v>Abril</c:v>
                  </c:pt>
                  <c:pt idx="12">
                    <c:v>Mayo</c:v>
                  </c:pt>
                  <c:pt idx="15">
                    <c:v>Junio</c:v>
                  </c:pt>
                  <c:pt idx="18">
                    <c:v>Julio</c:v>
                  </c:pt>
                </c:lvl>
              </c:multiLvlStrCache>
            </c:multiLvlStrRef>
          </c:cat>
          <c:val>
            <c:numRef>
              <c:f>MADERA!$D$4:$D$24</c:f>
              <c:numCache>
                <c:formatCode>0</c:formatCode>
                <c:ptCount val="21"/>
                <c:pt idx="0">
                  <c:v>841</c:v>
                </c:pt>
                <c:pt idx="1">
                  <c:v>1335</c:v>
                </c:pt>
                <c:pt idx="2">
                  <c:v>0</c:v>
                </c:pt>
                <c:pt idx="3">
                  <c:v>1124</c:v>
                </c:pt>
                <c:pt idx="4">
                  <c:v>1226</c:v>
                </c:pt>
                <c:pt idx="5">
                  <c:v>2</c:v>
                </c:pt>
                <c:pt idx="6">
                  <c:v>1101</c:v>
                </c:pt>
                <c:pt idx="7">
                  <c:v>1573</c:v>
                </c:pt>
                <c:pt idx="8">
                  <c:v>0</c:v>
                </c:pt>
                <c:pt idx="9">
                  <c:v>1045</c:v>
                </c:pt>
                <c:pt idx="10">
                  <c:v>1523</c:v>
                </c:pt>
                <c:pt idx="11">
                  <c:v>0</c:v>
                </c:pt>
                <c:pt idx="12">
                  <c:v>871</c:v>
                </c:pt>
                <c:pt idx="13">
                  <c:v>1220</c:v>
                </c:pt>
                <c:pt idx="14">
                  <c:v>75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9B-4C7D-93C7-0AA589B6E1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34687759"/>
        <c:axId val="234681999"/>
      </c:lineChart>
      <c:catAx>
        <c:axId val="23468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4698319"/>
        <c:crosses val="autoZero"/>
        <c:auto val="1"/>
        <c:lblAlgn val="ctr"/>
        <c:lblOffset val="100"/>
        <c:noMultiLvlLbl val="0"/>
      </c:catAx>
      <c:valAx>
        <c:axId val="234698319"/>
        <c:scaling>
          <c:orientation val="minMax"/>
        </c:scaling>
        <c:delete val="0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4681519"/>
        <c:crosses val="autoZero"/>
        <c:crossBetween val="between"/>
      </c:valAx>
      <c:valAx>
        <c:axId val="234681999"/>
        <c:scaling>
          <c:orientation val="minMax"/>
        </c:scaling>
        <c:delete val="0"/>
        <c:axPos val="r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34687759"/>
        <c:crosses val="max"/>
        <c:crossBetween val="between"/>
      </c:valAx>
      <c:catAx>
        <c:axId val="2346877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34681999"/>
        <c:crosses val="autoZero"/>
        <c:auto val="1"/>
        <c:lblAlgn val="ctr"/>
        <c:lblOffset val="100"/>
        <c:noMultiLvlLbl val="0"/>
      </c:catAx>
      <c:spPr>
        <a:solidFill>
          <a:schemeClr val="accent5">
            <a:lumMod val="40000"/>
            <a:lumOff val="60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 TONELADA MADERA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4.7232343596085115E-2"/>
          <c:y val="0.18556126820908311"/>
          <c:w val="0.94110856814461674"/>
          <c:h val="0.60150058363527181"/>
        </c:manualLayout>
      </c:layout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MADERA!$K$13:$K$24</c:f>
              <c:numCache>
                <c:formatCode>_-"$"\ * #,##0_-;\-"$"\ * #,##0_-;_-"$"\ * "-"??_-;_-@_-</c:formatCode>
                <c:ptCount val="12"/>
                <c:pt idx="0">
                  <c:v>35216000</c:v>
                </c:pt>
                <c:pt idx="1">
                  <c:v>41532000</c:v>
                </c:pt>
                <c:pt idx="2">
                  <c:v>44356000</c:v>
                </c:pt>
                <c:pt idx="3">
                  <c:v>42400000</c:v>
                </c:pt>
                <c:pt idx="4">
                  <c:v>34996000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00-4FC3-8564-6F3D4EC1C512}"/>
            </c:ext>
          </c:extLst>
        </c:ser>
        <c:ser>
          <c:idx val="1"/>
          <c:order val="1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rgbClr val="4472C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MADERA!$M$13:$M$24</c:f>
              <c:numCache>
                <c:formatCode>_-"$"\ * #,##0_-;\-"$"\ * #,##0_-;_-"$"\ * "-"??_-;_-@_-</c:formatCode>
                <c:ptCount val="12"/>
                <c:pt idx="0">
                  <c:v>20731.635524472229</c:v>
                </c:pt>
                <c:pt idx="1">
                  <c:v>22693.221867060074</c:v>
                </c:pt>
                <c:pt idx="2">
                  <c:v>23360.385934052043</c:v>
                </c:pt>
                <c:pt idx="3">
                  <c:v>23543.652931018205</c:v>
                </c:pt>
                <c:pt idx="4">
                  <c:v>17817.739332318459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00-4FC3-8564-6F3D4EC1C5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56543856"/>
        <c:axId val="656546736"/>
      </c:lineChart>
      <c:catAx>
        <c:axId val="65654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6546736"/>
        <c:crosses val="autoZero"/>
        <c:auto val="1"/>
        <c:lblAlgn val="ctr"/>
        <c:lblOffset val="100"/>
        <c:tickMarkSkip val="1"/>
        <c:noMultiLvlLbl val="0"/>
      </c:catAx>
      <c:valAx>
        <c:axId val="656546736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65654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CONSOLIDADO CONSUMO MADERA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0397880768881994"/>
          <c:y val="6.6711594747920669E-2"/>
          <c:w val="0.88062473722979218"/>
          <c:h val="0.90602508926241665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MADERA!$K$13:$K$24</c:f>
              <c:numCache>
                <c:formatCode>_-"$"\ * #,##0_-;\-"$"\ * #,##0_-;_-"$"\ * "-"??_-;_-@_-</c:formatCode>
                <c:ptCount val="12"/>
                <c:pt idx="0">
                  <c:v>35216000</c:v>
                </c:pt>
                <c:pt idx="1">
                  <c:v>41532000</c:v>
                </c:pt>
                <c:pt idx="2">
                  <c:v>44356000</c:v>
                </c:pt>
                <c:pt idx="3">
                  <c:v>42400000</c:v>
                </c:pt>
                <c:pt idx="4">
                  <c:v>34996000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C-4A4D-8AED-60687C10E7D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0633551"/>
        <c:axId val="693321887"/>
      </c:barChart>
      <c:catAx>
        <c:axId val="76063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321887"/>
        <c:crosses val="autoZero"/>
        <c:auto val="1"/>
        <c:lblAlgn val="ctr"/>
        <c:lblOffset val="100"/>
        <c:noMultiLvlLbl val="0"/>
      </c:catAx>
      <c:valAx>
        <c:axId val="69332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063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 TONELADA COMBUSTIBLE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4.7232343596085115E-2"/>
          <c:y val="0.18556126820908311"/>
          <c:w val="0.94110856814461674"/>
          <c:h val="0.60150058363527181"/>
        </c:manualLayout>
      </c:layout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COMBUSTIBLE!$C$3:$C$14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COMBUSTIBLE!$F$3:$F$14</c:f>
              <c:numCache>
                <c:formatCode>_-"$"\ * #,##0_-;\-"$"\ * #,##0_-;_-"$"\ * "-"??_-;_-@_-</c:formatCode>
                <c:ptCount val="12"/>
                <c:pt idx="0">
                  <c:v>2019.9003920737521</c:v>
                </c:pt>
                <c:pt idx="1">
                  <c:v>6849.5926563396442</c:v>
                </c:pt>
                <c:pt idx="2">
                  <c:v>2359.8519041274089</c:v>
                </c:pt>
                <c:pt idx="3">
                  <c:v>2559.4538316739868</c:v>
                </c:pt>
                <c:pt idx="4">
                  <c:v>5904.4350876478411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C9-48BA-BDD7-83ABF725FF2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56543856"/>
        <c:axId val="656546736"/>
      </c:lineChart>
      <c:catAx>
        <c:axId val="65654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6546736"/>
        <c:crosses val="autoZero"/>
        <c:auto val="1"/>
        <c:lblAlgn val="ctr"/>
        <c:lblOffset val="100"/>
        <c:tickMarkSkip val="1"/>
        <c:noMultiLvlLbl val="0"/>
      </c:catAx>
      <c:valAx>
        <c:axId val="656546736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656543856"/>
        <c:crosses val="autoZero"/>
        <c:crossBetween val="between"/>
      </c:valAx>
      <c:spPr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COMBUSTIBLE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COMBUSTIBLE!$D$2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COMBUSTIBLE!$C$3:$C$14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COMBUSTIBLE!$D$3:$D$14</c:f>
              <c:numCache>
                <c:formatCode>_-"$"\ * #,##0_-;\-"$"\ * #,##0_-;_-"$"\ * "-"??_-;_-@_-</c:formatCode>
                <c:ptCount val="12"/>
                <c:pt idx="0">
                  <c:v>3431124</c:v>
                </c:pt>
                <c:pt idx="1">
                  <c:v>12535782</c:v>
                </c:pt>
                <c:pt idx="2">
                  <c:v>4480816</c:v>
                </c:pt>
                <c:pt idx="3">
                  <c:v>4609346</c:v>
                </c:pt>
                <c:pt idx="4">
                  <c:v>11596960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9-429E-94BA-33D1013CE3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60604847"/>
        <c:axId val="760607759"/>
      </c:barChart>
      <c:catAx>
        <c:axId val="76060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0607759"/>
        <c:crosses val="autoZero"/>
        <c:auto val="1"/>
        <c:lblAlgn val="ctr"/>
        <c:lblOffset val="100"/>
        <c:noMultiLvlLbl val="0"/>
      </c:catAx>
      <c:valAx>
        <c:axId val="76060775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76060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accent5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CONSOLIDADO CONSUMO INSUMOS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0397880768881994"/>
          <c:y val="6.6711594747920669E-2"/>
          <c:w val="0.88062473722979218"/>
          <c:h val="0.90602508926241665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PAJARITA!$J$17:$J$28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PAJARITA!$K$17:$K$28</c:f>
              <c:numCache>
                <c:formatCode>_-"$"\ * #,##0_-;\-"$"\ * #,##0_-;_-"$"\ * "-"??_-;_-@_-</c:formatCode>
                <c:ptCount val="12"/>
                <c:pt idx="0">
                  <c:v>1200000</c:v>
                </c:pt>
                <c:pt idx="1">
                  <c:v>6008352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6-4E50-B924-08244677456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0633551"/>
        <c:axId val="693321887"/>
      </c:barChart>
      <c:catAx>
        <c:axId val="76063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3321887"/>
        <c:crosses val="autoZero"/>
        <c:auto val="1"/>
        <c:lblAlgn val="ctr"/>
        <c:lblOffset val="100"/>
        <c:noMultiLvlLbl val="0"/>
      </c:catAx>
      <c:valAx>
        <c:axId val="69332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063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 TONELADA INSUMOS PAJARITA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4.7232343596085115E-2"/>
          <c:y val="0.18556126820908311"/>
          <c:w val="0.94110856814461674"/>
          <c:h val="0.60150058363527181"/>
        </c:manualLayout>
      </c:layout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PAJARITA!$J$17:$J$28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PAJARITA!$M$17:$M$28</c:f>
              <c:numCache>
                <c:formatCode>_-"$"\ * #,##0_-;\-"$"\ * #,##0_-;_-"$"\ * "-"??_-;_-@_-</c:formatCode>
                <c:ptCount val="12"/>
                <c:pt idx="0">
                  <c:v>706.43919324644128</c:v>
                </c:pt>
                <c:pt idx="1">
                  <c:v>3282.9833620195063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57-418A-8659-EE42E458E8A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56543856"/>
        <c:axId val="656546736"/>
      </c:lineChart>
      <c:catAx>
        <c:axId val="65654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6546736"/>
        <c:crosses val="autoZero"/>
        <c:auto val="1"/>
        <c:lblAlgn val="ctr"/>
        <c:lblOffset val="100"/>
        <c:tickMarkSkip val="1"/>
        <c:noMultiLvlLbl val="0"/>
      </c:catAx>
      <c:valAx>
        <c:axId val="656546736"/>
        <c:scaling>
          <c:orientation val="minMax"/>
        </c:scaling>
        <c:delete val="1"/>
        <c:axPos val="l"/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656543856"/>
        <c:crosses val="autoZero"/>
        <c:crossBetween val="between"/>
      </c:valAx>
      <c:spPr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png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238126</xdr:colOff>
      <xdr:row>0</xdr:row>
      <xdr:rowOff>114299</xdr:rowOff>
    </xdr:from>
    <xdr:to>
      <xdr:col>9</xdr:col>
      <xdr:colOff>514350</xdr:colOff>
      <xdr:row>29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198E19-A371-4A5F-BDBA-035883A44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99447</xdr:colOff>
      <xdr:row>24</xdr:row>
      <xdr:rowOff>196695</xdr:rowOff>
    </xdr:from>
    <xdr:to>
      <xdr:col>18</xdr:col>
      <xdr:colOff>314120</xdr:colOff>
      <xdr:row>52</xdr:row>
      <xdr:rowOff>47830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5F8286-A2EF-3542-1D5D-4AD4CD3BB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194596</xdr:rowOff>
    </xdr:from>
    <xdr:to>
      <xdr:col>6</xdr:col>
      <xdr:colOff>501854</xdr:colOff>
      <xdr:row>65</xdr:row>
      <xdr:rowOff>184354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32433C-BD50-43CC-AA66-F25BAC720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194596</xdr:rowOff>
    </xdr:from>
    <xdr:to>
      <xdr:col>6</xdr:col>
      <xdr:colOff>501854</xdr:colOff>
      <xdr:row>65</xdr:row>
      <xdr:rowOff>184354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47D2034-82CA-4BCF-80A0-47FC55889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913064</xdr:colOff>
      <xdr:row>229</xdr:row>
      <xdr:rowOff>35427</xdr:rowOff>
    </xdr:from>
    <xdr:to>
      <xdr:col>12</xdr:col>
      <xdr:colOff>848227</xdr:colOff>
      <xdr:row>259</xdr:row>
      <xdr:rowOff>144379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4B7EC55-25D9-40FF-9948-787A86A20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668754</xdr:colOff>
      <xdr:row>214</xdr:row>
      <xdr:rowOff>392695</xdr:rowOff>
    </xdr:from>
    <xdr:to>
      <xdr:col>22</xdr:col>
      <xdr:colOff>141706</xdr:colOff>
      <xdr:row>259</xdr:row>
      <xdr:rowOff>116974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D27A20-B53A-4FA0-84B9-A1B9744725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510540</xdr:colOff>
      <xdr:row>0</xdr:row>
      <xdr:rowOff>15240</xdr:rowOff>
    </xdr:from>
    <xdr:to>
      <xdr:col>0</xdr:col>
      <xdr:colOff>1912620</xdr:colOff>
      <xdr:row>0</xdr:row>
      <xdr:rowOff>516709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B1F0A1-131C-4AAB-9E2C-A0075CB5A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540" y="15240"/>
          <a:ext cx="1402080" cy="501469"/>
        </a:xfrm>
        <a:prstGeom prst="rect">
          <a:avLst/>
        </a:prstGeom>
      </xdr:spPr>
    </xdr:pic>
    <xdr:clientData/>
  </xdr:twoCellAnchor>
  <xdr:twoCellAnchor editAs="oneCell">
    <xdr:from>
      <xdr:col>6</xdr:col>
      <xdr:colOff>1402081</xdr:colOff>
      <xdr:row>0</xdr:row>
      <xdr:rowOff>60960</xdr:rowOff>
    </xdr:from>
    <xdr:to>
      <xdr:col>7</xdr:col>
      <xdr:colOff>1150621</xdr:colOff>
      <xdr:row>0</xdr:row>
      <xdr:rowOff>562429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5CA2CC-9E79-4E47-9A08-4F1D001E9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4581" y="60960"/>
          <a:ext cx="1396365" cy="501469"/>
        </a:xfrm>
        <a:prstGeom prst="rect">
          <a:avLst/>
        </a:prstGeom>
      </xdr:spPr>
    </xdr:pic>
    <xdr:clientData/>
  </xdr:twoCellAnchor>
  <xdr:twoCellAnchor>
    <xdr:from>
      <xdr:col>6</xdr:col>
      <xdr:colOff>914399</xdr:colOff>
      <xdr:row>16</xdr:row>
      <xdr:rowOff>123825</xdr:rowOff>
    </xdr:from>
    <xdr:to>
      <xdr:col>13</xdr:col>
      <xdr:colOff>809625</xdr:colOff>
      <xdr:row>36</xdr:row>
      <xdr:rowOff>22860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C8CDE37-9C3F-4788-B416-92CD15910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822959</xdr:colOff>
      <xdr:row>16</xdr:row>
      <xdr:rowOff>175260</xdr:rowOff>
    </xdr:from>
    <xdr:to>
      <xdr:col>6</xdr:col>
      <xdr:colOff>257174</xdr:colOff>
      <xdr:row>35</xdr:row>
      <xdr:rowOff>161925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940FEEC-228F-492D-A7BE-072610E3D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668655</xdr:colOff>
      <xdr:row>38</xdr:row>
      <xdr:rowOff>47625</xdr:rowOff>
    </xdr:from>
    <xdr:to>
      <xdr:col>6</xdr:col>
      <xdr:colOff>1409700</xdr:colOff>
      <xdr:row>60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BFA58CF-96E5-4257-8376-121081E3B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185735</xdr:colOff>
      <xdr:row>53</xdr:row>
      <xdr:rowOff>23812</xdr:rowOff>
    </xdr:from>
    <xdr:to>
      <xdr:col>28</xdr:col>
      <xdr:colOff>166687</xdr:colOff>
      <xdr:row>92</xdr:row>
      <xdr:rowOff>35719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EFD1E9-3D2C-4ED5-B40F-FC0C9BA51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676271</xdr:colOff>
      <xdr:row>53</xdr:row>
      <xdr:rowOff>47624</xdr:rowOff>
    </xdr:from>
    <xdr:to>
      <xdr:col>39</xdr:col>
      <xdr:colOff>297655</xdr:colOff>
      <xdr:row>91</xdr:row>
      <xdr:rowOff>130967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249A534-2D0E-4365-B00C-AC5298342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402432</xdr:colOff>
      <xdr:row>51</xdr:row>
      <xdr:rowOff>30953</xdr:rowOff>
    </xdr:from>
    <xdr:to>
      <xdr:col>15</xdr:col>
      <xdr:colOff>345282</xdr:colOff>
      <xdr:row>100</xdr:row>
      <xdr:rowOff>178592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3D384E8-922F-4D9A-8D5B-F385D351A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15</xdr:col>
      <xdr:colOff>200501</xdr:colOff>
      <xdr:row>43</xdr:row>
      <xdr:rowOff>147637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8EF7B72-538A-4C57-B7DD-B87F9A524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595312</xdr:colOff>
      <xdr:row>12</xdr:row>
      <xdr:rowOff>142875</xdr:rowOff>
    </xdr:from>
    <xdr:to>
      <xdr:col>27</xdr:col>
      <xdr:colOff>461964</xdr:colOff>
      <xdr:row>48</xdr:row>
      <xdr:rowOff>101602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379B5E4-C34E-47A5-B055-1DCD42108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25400</xdr:rowOff>
    </xdr:from>
    <xdr:to>
      <xdr:col>9</xdr:col>
      <xdr:colOff>457200</xdr:colOff>
      <xdr:row>46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1D6EE76-295F-400A-A016-567459B491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390524</xdr:colOff>
      <xdr:row>1</xdr:row>
      <xdr:rowOff>176211</xdr:rowOff>
    </xdr:from>
    <xdr:to>
      <xdr:col>15</xdr:col>
      <xdr:colOff>333375</xdr:colOff>
      <xdr:row>25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F09D8F7-4F39-558B-9F30-EF4BDE2C5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628648</xdr:colOff>
      <xdr:row>13</xdr:row>
      <xdr:rowOff>31748</xdr:rowOff>
    </xdr:from>
    <xdr:to>
      <xdr:col>22</xdr:col>
      <xdr:colOff>101600</xdr:colOff>
      <xdr:row>56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4C7C83-4317-4B6E-8D3C-97C8140CB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622300</xdr:colOff>
      <xdr:row>30</xdr:row>
      <xdr:rowOff>25400</xdr:rowOff>
    </xdr:from>
    <xdr:to>
      <xdr:col>13</xdr:col>
      <xdr:colOff>457200</xdr:colOff>
      <xdr:row>60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3F380C6-40EA-4583-97A4-EBB119DDE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tabilidapc\siiwis\Users\CONTABILIDAD\Downloads\NOMINA%20TRANSPORTES%20Y%20CARBONES%20METALURGICO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FACTURACION/PRODUCCION%20SOCHA/2026/31_01_26%20PRODUCCCION%20MINA%20COSTA%20RIC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FACTURACION/PRODUCCION%20SOCHA/2026/31_03_26%20PRODUCCCION%20MINA%20COSTA%20RIC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GTOS%20MINA/SOCHA/COSTOS/2026/Abril/31_04_26%20COSTOS%20DE%20CONSUMO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/COEXCCOL%20SAS/COEXCCOL%20SAS/FACTURACION/PRODUCCION%20SOCHA/2026/30_05_26%20PRODUCCCION%20MINA%20COSTA%20RI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Básicos"/>
      <sheetName val="Calculos"/>
      <sheetName val="Nomina"/>
      <sheetName val="Hoja1"/>
    </sheetNames>
    <sheetDataSet>
      <sheetData sheetId="0">
        <row r="5">
          <cell r="B5">
            <v>566700</v>
          </cell>
        </row>
        <row r="6">
          <cell r="B6">
            <v>67800</v>
          </cell>
        </row>
        <row r="9">
          <cell r="B9">
            <v>0.01</v>
          </cell>
          <cell r="F9">
            <v>6.9599999999999995E-2</v>
          </cell>
        </row>
        <row r="10">
          <cell r="B10">
            <v>1.4999999999999999E-2</v>
          </cell>
        </row>
        <row r="11">
          <cell r="B11">
            <v>0.02</v>
          </cell>
          <cell r="F11">
            <v>26049</v>
          </cell>
        </row>
        <row r="15">
          <cell r="B15">
            <v>0.04</v>
          </cell>
          <cell r="C15">
            <v>8.5000000000000006E-2</v>
          </cell>
          <cell r="F15">
            <v>0</v>
          </cell>
        </row>
        <row r="16">
          <cell r="B16">
            <v>0.04</v>
          </cell>
          <cell r="C16">
            <v>0.12</v>
          </cell>
          <cell r="F16">
            <v>0</v>
          </cell>
        </row>
        <row r="19">
          <cell r="B19">
            <v>8.3333333333333343E-2</v>
          </cell>
        </row>
        <row r="20">
          <cell r="B20">
            <v>8.3333333333333343E-2</v>
          </cell>
        </row>
        <row r="21">
          <cell r="B21">
            <v>4.1666666666666671E-2</v>
          </cell>
        </row>
        <row r="22">
          <cell r="B22">
            <v>0.01</v>
          </cell>
        </row>
        <row r="26">
          <cell r="B26">
            <v>0.01</v>
          </cell>
        </row>
        <row r="27">
          <cell r="B27">
            <v>1.2E-2</v>
          </cell>
        </row>
        <row r="28">
          <cell r="B28">
            <v>1.4E-2</v>
          </cell>
        </row>
        <row r="29">
          <cell r="B29">
            <v>1.6E-2</v>
          </cell>
        </row>
        <row r="30">
          <cell r="B30">
            <v>1.7999999999999999E-2</v>
          </cell>
        </row>
        <row r="31">
          <cell r="B31">
            <v>0.02</v>
          </cell>
        </row>
      </sheetData>
      <sheetData sheetId="1">
        <row r="4">
          <cell r="B4">
            <v>0</v>
          </cell>
        </row>
      </sheetData>
      <sheetData sheetId="2">
        <row r="8">
          <cell r="A8" t="str">
            <v>GRANDAS PINZON WILFER- TEP-077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Report ENERO"/>
      <sheetName val="Daily Report FEBRERO"/>
      <sheetName val="Daily Report MARZO"/>
      <sheetName val="Daily Report ABRIL"/>
      <sheetName val="Daily Report MAYO"/>
      <sheetName val="Daily Report JUNIO "/>
      <sheetName val="Daily Report JULIO"/>
      <sheetName val="Daily Report AGOSTO"/>
      <sheetName val="Daily Report SEPTIEMBRE"/>
      <sheetName val="Daily Report OCTUBRE"/>
      <sheetName val="Daily Report NOVIEMBRE"/>
      <sheetName val="Daily Report DICIEMBRE"/>
      <sheetName val="PRODUC ACUMULADA"/>
      <sheetName val="PRECIO PROMEDIO ANDRES"/>
      <sheetName val="FACTURACION ANDRES"/>
      <sheetName val="PRECIO PROMEDIO ACERIAS"/>
      <sheetName val="FACTURACION ACERIAS"/>
      <sheetName val="PRECIOS 2024-2025"/>
      <sheetName val="IMPUESTO 1% CONTINGENC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B5">
            <v>1698.66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Report ENERO"/>
      <sheetName val="Daily Report FEBRERO"/>
      <sheetName val="Daily Report MARZO"/>
      <sheetName val="Daily Report ABRIL"/>
      <sheetName val="Daily Report MAYO"/>
      <sheetName val="Daily Report JUNIO "/>
      <sheetName val="Daily Report JULIO"/>
      <sheetName val="Daily Report AGOSTO"/>
      <sheetName val="Daily Report SEPTIEMBRE"/>
      <sheetName val="Daily Report OCTUBRE"/>
      <sheetName val="Daily Report NOVIEMBRE"/>
      <sheetName val="Daily Report DICIEMBRE"/>
      <sheetName val="PRODUC ACUMULADA"/>
      <sheetName val="PRECIO PROMEDIO ANDRES"/>
      <sheetName val="FACTURACION ANDRES"/>
      <sheetName val="PRECIO PROMEDIO ACERIAS"/>
      <sheetName val="FACTURACION ACERIAS"/>
      <sheetName val="PRECIOS 2024-2025"/>
      <sheetName val="IMPUESTO 1% CONTINGENCIA"/>
      <sheetName val="FACTURACION ACERIAS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">
          <cell r="B7">
            <v>1898.77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 ACUMULADA"/>
      <sheetName val="COSTOS EPP"/>
      <sheetName val="COSTOS INSUMOS "/>
      <sheetName val="ENERGIA 2026"/>
      <sheetName val="MADERA"/>
      <sheetName val="COMBUSTIBLE"/>
      <sheetName val="PAJARITA"/>
      <sheetName val="CALCULO MADERA"/>
    </sheetNames>
    <sheetDataSet>
      <sheetData sheetId="0">
        <row r="5">
          <cell r="B5">
            <v>1698.66</v>
          </cell>
        </row>
        <row r="6">
          <cell r="B6">
            <v>1830.15</v>
          </cell>
        </row>
      </sheetData>
      <sheetData sheetId="1" refreshError="1"/>
      <sheetData sheetId="2">
        <row r="201">
          <cell r="J201" t="str">
            <v>ENERO</v>
          </cell>
          <cell r="K201">
            <v>23584638</v>
          </cell>
        </row>
        <row r="202">
          <cell r="J202" t="str">
            <v>FEBRERO</v>
          </cell>
          <cell r="K202">
            <v>20158111</v>
          </cell>
        </row>
        <row r="203">
          <cell r="J203" t="str">
            <v>MARZO</v>
          </cell>
          <cell r="K203">
            <v>20877231</v>
          </cell>
        </row>
        <row r="204">
          <cell r="J204" t="str">
            <v>ABRIL</v>
          </cell>
          <cell r="K204">
            <v>14065477</v>
          </cell>
        </row>
        <row r="205">
          <cell r="J205" t="str">
            <v>MAYO</v>
          </cell>
          <cell r="K205">
            <v>0</v>
          </cell>
        </row>
        <row r="206">
          <cell r="J206" t="str">
            <v>JUNIO</v>
          </cell>
          <cell r="K206">
            <v>0</v>
          </cell>
        </row>
        <row r="207">
          <cell r="J207" t="str">
            <v>JULIO</v>
          </cell>
          <cell r="K207">
            <v>0</v>
          </cell>
        </row>
        <row r="208">
          <cell r="J208" t="str">
            <v>AGOSTO</v>
          </cell>
          <cell r="K208">
            <v>0</v>
          </cell>
        </row>
        <row r="209">
          <cell r="J209" t="str">
            <v>SEPTIEMBRE</v>
          </cell>
          <cell r="K209">
            <v>0</v>
          </cell>
        </row>
        <row r="210">
          <cell r="J210" t="str">
            <v>OCTUBRE</v>
          </cell>
          <cell r="K210">
            <v>0</v>
          </cell>
        </row>
        <row r="211">
          <cell r="J211" t="str">
            <v>NOVIEMBRE</v>
          </cell>
          <cell r="K211">
            <v>0</v>
          </cell>
        </row>
        <row r="212">
          <cell r="J212" t="str">
            <v>DICIEMBRE</v>
          </cell>
          <cell r="K212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Report ENERO"/>
      <sheetName val="Daily Report FEBRERO"/>
      <sheetName val="Daily Report MARZO"/>
      <sheetName val="Daily Report ABRIL"/>
      <sheetName val="Daily Report MAYO"/>
      <sheetName val="Daily Report JUNIO "/>
      <sheetName val="Daily Report JULIO"/>
      <sheetName val="Daily Report AGOSTO"/>
      <sheetName val="Daily Report SEPTIEMBRE"/>
      <sheetName val="Daily Report OCTUBRE"/>
      <sheetName val="Daily Report NOVIEMBRE"/>
      <sheetName val="Daily Report DICIEMBRE"/>
      <sheetName val="PRODUC ACUMULADA"/>
      <sheetName val="PRECIO PROMEDIO ANDRES"/>
      <sheetName val="FACTURACION ANDRES"/>
      <sheetName val="PRECIO PROMEDIO ACERIAS"/>
      <sheetName val="FACTURACION ACERIAS"/>
      <sheetName val="PRECIOS 2024-2025"/>
      <sheetName val="IMPUESTO 1% CONTINGENCIA"/>
      <sheetName val="FACTURACION ACERIAS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9">
          <cell r="B9">
            <v>1964.1099999999997</v>
          </cell>
        </row>
        <row r="10">
          <cell r="B10">
            <v>926.96999999999991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2525-9FD2-4C0E-AAF0-57568DD9E090}">
  <sheetPr>
    <tabColor rgb="FF92D050"/>
  </sheetPr>
  <dimension ref="A2:B17"/>
  <sheetViews>
    <sheetView tabSelected="1" workbookViewId="0">
      <selection activeCell="H37" sqref="H37"/>
    </sheetView>
  </sheetViews>
  <sheetFormatPr baseColWidth="10" defaultRowHeight="12.75"/>
  <cols>
    <col min="1" max="1" width="14.7109375" style="60" customWidth="1"/>
    <col min="2" max="2" width="14.28515625" style="60" customWidth="1"/>
    <col min="3" max="16384" width="11.42578125" style="60"/>
  </cols>
  <sheetData>
    <row r="2" spans="1:2">
      <c r="A2" s="60" t="s">
        <v>91</v>
      </c>
    </row>
    <row r="3" spans="1:2" ht="13.5" thickBot="1"/>
    <row r="4" spans="1:2" ht="13.5" thickBot="1">
      <c r="A4" s="61" t="s">
        <v>50</v>
      </c>
      <c r="B4" s="61" t="s">
        <v>92</v>
      </c>
    </row>
    <row r="5" spans="1:2">
      <c r="A5" s="62" t="s">
        <v>6</v>
      </c>
      <c r="B5" s="63">
        <f>+'[2]PRODUC ACUMULADA'!$B$5</f>
        <v>1698.66</v>
      </c>
    </row>
    <row r="6" spans="1:2">
      <c r="A6" s="64" t="s">
        <v>7</v>
      </c>
      <c r="B6" s="65">
        <v>1830.15</v>
      </c>
    </row>
    <row r="7" spans="1:2">
      <c r="A7" s="64" t="s">
        <v>8</v>
      </c>
      <c r="B7" s="65">
        <f>+'[3]PRODUC ACUMULADA'!$B$7</f>
        <v>1898.77</v>
      </c>
    </row>
    <row r="8" spans="1:2">
      <c r="A8" s="64" t="s">
        <v>9</v>
      </c>
      <c r="B8" s="65">
        <v>1800.91</v>
      </c>
    </row>
    <row r="9" spans="1:2">
      <c r="A9" s="64" t="s">
        <v>10</v>
      </c>
      <c r="B9" s="65">
        <f>+'[5]PRODUC ACUMULADA'!$B$9</f>
        <v>1964.1099999999997</v>
      </c>
    </row>
    <row r="10" spans="1:2">
      <c r="A10" s="64" t="s">
        <v>11</v>
      </c>
      <c r="B10" s="65">
        <f>+'[5]PRODUC ACUMULADA'!$B$10</f>
        <v>926.96999999999991</v>
      </c>
    </row>
    <row r="11" spans="1:2">
      <c r="A11" s="64" t="s">
        <v>1</v>
      </c>
      <c r="B11" s="65">
        <f>+'[5]PRODUC ACUMULADA'!$B$11</f>
        <v>0</v>
      </c>
    </row>
    <row r="12" spans="1:2">
      <c r="A12" s="64" t="s">
        <v>2</v>
      </c>
      <c r="B12" s="65">
        <f>+'[5]PRODUC ACUMULADA'!$B$12</f>
        <v>0</v>
      </c>
    </row>
    <row r="13" spans="1:2">
      <c r="A13" s="64" t="s">
        <v>3</v>
      </c>
      <c r="B13" s="65">
        <f>+'[5]PRODUC ACUMULADA'!$B$13</f>
        <v>0</v>
      </c>
    </row>
    <row r="14" spans="1:2">
      <c r="A14" s="64" t="s">
        <v>12</v>
      </c>
      <c r="B14" s="65">
        <f>+'[5]PRODUC ACUMULADA'!$B$14</f>
        <v>0</v>
      </c>
    </row>
    <row r="15" spans="1:2">
      <c r="A15" s="64" t="s">
        <v>4</v>
      </c>
      <c r="B15" s="65">
        <f>+'[5]PRODUC ACUMULADA'!$B$15</f>
        <v>0</v>
      </c>
    </row>
    <row r="16" spans="1:2" ht="13.5" thickBot="1">
      <c r="A16" s="66" t="s">
        <v>5</v>
      </c>
      <c r="B16" s="67">
        <f>+'[5]PRODUC ACUMULADA'!$B$16</f>
        <v>0</v>
      </c>
    </row>
    <row r="17" spans="1:2" ht="15.75" thickBot="1">
      <c r="A17" s="68" t="s">
        <v>0</v>
      </c>
      <c r="B17" s="69">
        <f>SUM(B5:B16)</f>
        <v>10119.569999999998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7FD80-00B2-4B98-9F68-3AB775602ECA}">
  <dimension ref="A1:AI1486"/>
  <sheetViews>
    <sheetView zoomScale="93" zoomScaleNormal="93" workbookViewId="0">
      <pane ySplit="1" topLeftCell="A20" activePane="bottomLeft" state="frozen"/>
      <selection pane="bottomLeft" activeCell="K18" sqref="K18"/>
    </sheetView>
  </sheetViews>
  <sheetFormatPr baseColWidth="10" defaultRowHeight="15"/>
  <cols>
    <col min="1" max="1" width="29.42578125" customWidth="1"/>
    <col min="2" max="2" width="12.140625" style="2" customWidth="1"/>
    <col min="3" max="3" width="8.7109375" customWidth="1"/>
    <col min="4" max="4" width="12.7109375" customWidth="1"/>
    <col min="5" max="5" width="11.85546875" customWidth="1"/>
    <col min="6" max="7" width="8.42578125" customWidth="1"/>
    <col min="8" max="8" width="9.42578125" customWidth="1"/>
    <col min="9" max="9" width="6.28515625" customWidth="1"/>
    <col min="10" max="10" width="12.28515625" customWidth="1"/>
    <col min="11" max="11" width="7.28515625" customWidth="1"/>
    <col min="12" max="12" width="11.42578125" customWidth="1"/>
    <col min="13" max="13" width="11.5703125" customWidth="1"/>
    <col min="14" max="14" width="11.28515625" customWidth="1"/>
    <col min="15" max="15" width="13.85546875" customWidth="1"/>
    <col min="16" max="16" width="15.28515625" style="174" customWidth="1"/>
    <col min="17" max="17" width="17.42578125" style="175" customWidth="1"/>
    <col min="18" max="18" width="11.42578125" style="3" customWidth="1"/>
    <col min="19" max="19" width="12.140625" style="3" customWidth="1"/>
    <col min="20" max="21" width="14" style="3" customWidth="1"/>
    <col min="22" max="22" width="11.42578125" style="3" customWidth="1"/>
    <col min="23" max="23" width="11.42578125" customWidth="1"/>
    <col min="24" max="25" width="14" style="3" customWidth="1"/>
    <col min="26" max="26" width="13" customWidth="1"/>
    <col min="27" max="27" width="14.42578125" customWidth="1"/>
    <col min="28" max="28" width="16.5703125" style="16" customWidth="1"/>
    <col min="29" max="29" width="13.5703125" style="21" customWidth="1"/>
    <col min="30" max="30" width="13.7109375" customWidth="1"/>
    <col min="31" max="35" width="11.42578125" style="24"/>
  </cols>
  <sheetData>
    <row r="1" spans="1:29" s="151" customFormat="1" ht="35.25" customHeight="1">
      <c r="A1" s="143" t="s">
        <v>13</v>
      </c>
      <c r="B1" s="144" t="s">
        <v>16</v>
      </c>
      <c r="C1" s="143" t="s">
        <v>6</v>
      </c>
      <c r="D1" s="143" t="s">
        <v>7</v>
      </c>
      <c r="E1" s="145" t="s">
        <v>8</v>
      </c>
      <c r="F1" s="143" t="s">
        <v>9</v>
      </c>
      <c r="G1" s="143" t="s">
        <v>10</v>
      </c>
      <c r="H1" s="143" t="s">
        <v>11</v>
      </c>
      <c r="I1" s="143" t="s">
        <v>1</v>
      </c>
      <c r="J1" s="145" t="s">
        <v>2</v>
      </c>
      <c r="K1" s="145" t="s">
        <v>3</v>
      </c>
      <c r="L1" s="145" t="s">
        <v>12</v>
      </c>
      <c r="M1" s="145" t="s">
        <v>4</v>
      </c>
      <c r="N1" s="146" t="s">
        <v>5</v>
      </c>
      <c r="O1" s="147" t="s">
        <v>206</v>
      </c>
      <c r="P1" s="148" t="s">
        <v>16</v>
      </c>
      <c r="Q1" s="149" t="s">
        <v>207</v>
      </c>
      <c r="R1" s="143" t="s">
        <v>6</v>
      </c>
      <c r="S1" s="143" t="s">
        <v>7</v>
      </c>
      <c r="T1" s="150" t="s">
        <v>8</v>
      </c>
      <c r="U1" s="143" t="s">
        <v>9</v>
      </c>
      <c r="V1" s="143" t="s">
        <v>10</v>
      </c>
      <c r="W1" s="143" t="s">
        <v>11</v>
      </c>
      <c r="X1" s="143" t="s">
        <v>1</v>
      </c>
      <c r="Y1" s="145" t="s">
        <v>2</v>
      </c>
      <c r="Z1" s="145" t="s">
        <v>3</v>
      </c>
      <c r="AA1" s="145" t="s">
        <v>12</v>
      </c>
      <c r="AB1" s="145" t="s">
        <v>4</v>
      </c>
      <c r="AC1" s="146" t="s">
        <v>5</v>
      </c>
    </row>
    <row r="2" spans="1:29" s="24" customFormat="1">
      <c r="A2" s="152" t="s">
        <v>14</v>
      </c>
      <c r="B2" s="111">
        <v>9200</v>
      </c>
      <c r="C2" s="116">
        <v>6</v>
      </c>
      <c r="D2" s="116">
        <v>12</v>
      </c>
      <c r="E2" s="116">
        <v>24</v>
      </c>
      <c r="F2" s="208">
        <v>24</v>
      </c>
      <c r="G2" s="211">
        <v>12</v>
      </c>
      <c r="H2" s="116">
        <v>0</v>
      </c>
      <c r="I2" s="116">
        <v>0</v>
      </c>
      <c r="J2" s="116">
        <v>0</v>
      </c>
      <c r="K2" s="116">
        <v>0</v>
      </c>
      <c r="L2" s="116">
        <v>0</v>
      </c>
      <c r="M2" s="116">
        <v>0</v>
      </c>
      <c r="N2" s="153"/>
      <c r="O2" s="154">
        <f>+C2+D2+E2+F2+G2+H2+I2+J2+K2+L2+M2+N2</f>
        <v>78</v>
      </c>
      <c r="P2" s="155">
        <f>+B2</f>
        <v>9200</v>
      </c>
      <c r="Q2" s="149">
        <f>+O2*P2</f>
        <v>717600</v>
      </c>
      <c r="R2" s="156">
        <f>+C2*P2</f>
        <v>55200</v>
      </c>
      <c r="S2" s="156">
        <f t="shared" ref="S2:S22" si="0">B2*D2</f>
        <v>110400</v>
      </c>
      <c r="T2" s="156">
        <f>B2*E2</f>
        <v>220800</v>
      </c>
      <c r="U2" s="156">
        <f>B2*F2</f>
        <v>220800</v>
      </c>
      <c r="V2" s="156">
        <f>B2*G2</f>
        <v>110400</v>
      </c>
      <c r="W2" s="156">
        <f>B2*H2</f>
        <v>0</v>
      </c>
      <c r="X2" s="156">
        <f>B2*I2</f>
        <v>0</v>
      </c>
      <c r="Y2" s="156">
        <f>J2*B2</f>
        <v>0</v>
      </c>
      <c r="Z2" s="156">
        <f>B2*K2</f>
        <v>0</v>
      </c>
      <c r="AA2" s="157">
        <f>B2*L2</f>
        <v>0</v>
      </c>
      <c r="AB2" s="156">
        <f>M2*B2</f>
        <v>0</v>
      </c>
      <c r="AC2" s="158">
        <f>B2*N2</f>
        <v>0</v>
      </c>
    </row>
    <row r="3" spans="1:29" s="24" customFormat="1">
      <c r="A3" s="152" t="s">
        <v>23</v>
      </c>
      <c r="B3" s="111">
        <v>14000</v>
      </c>
      <c r="C3" s="116">
        <v>0</v>
      </c>
      <c r="D3" s="116">
        <v>0</v>
      </c>
      <c r="E3" s="116">
        <v>7</v>
      </c>
      <c r="F3" s="208">
        <v>23</v>
      </c>
      <c r="G3" s="211">
        <v>0</v>
      </c>
      <c r="H3" s="116">
        <v>0</v>
      </c>
      <c r="I3" s="116">
        <v>0</v>
      </c>
      <c r="J3" s="116">
        <v>0</v>
      </c>
      <c r="K3" s="116">
        <v>0</v>
      </c>
      <c r="L3" s="116">
        <v>0</v>
      </c>
      <c r="M3" s="116">
        <v>0</v>
      </c>
      <c r="N3" s="116">
        <v>0</v>
      </c>
      <c r="O3" s="154">
        <f t="shared" ref="O3:O22" si="1">+C3+D3+E3+F3+G3+H3+I3+J3+K3+L3+M3+N3</f>
        <v>30</v>
      </c>
      <c r="P3" s="155">
        <f t="shared" ref="P3:P22" si="2">+B3</f>
        <v>14000</v>
      </c>
      <c r="Q3" s="149">
        <f t="shared" ref="Q3:Q22" si="3">+O3*P3</f>
        <v>420000</v>
      </c>
      <c r="R3" s="156">
        <f t="shared" ref="R3:R22" si="4">+C3*P3</f>
        <v>0</v>
      </c>
      <c r="S3" s="156">
        <f t="shared" si="0"/>
        <v>0</v>
      </c>
      <c r="T3" s="156">
        <f t="shared" ref="T3:T22" si="5">B3*E3</f>
        <v>98000</v>
      </c>
      <c r="U3" s="156">
        <f t="shared" ref="U3:U22" si="6">B3*F3</f>
        <v>322000</v>
      </c>
      <c r="V3" s="156">
        <f t="shared" ref="V3:V22" si="7">B3*G3</f>
        <v>0</v>
      </c>
      <c r="W3" s="156">
        <f t="shared" ref="W3:W22" si="8">B3*H3</f>
        <v>0</v>
      </c>
      <c r="X3" s="156">
        <f t="shared" ref="X3:X22" si="9">B3*I3</f>
        <v>0</v>
      </c>
      <c r="Y3" s="156">
        <f t="shared" ref="Y3:Y22" si="10">J3*B3</f>
        <v>0</v>
      </c>
      <c r="Z3" s="156">
        <f t="shared" ref="Z3:Z22" si="11">B3*K3</f>
        <v>0</v>
      </c>
      <c r="AA3" s="157">
        <f t="shared" ref="AA3:AA22" si="12">B3*L3</f>
        <v>0</v>
      </c>
      <c r="AB3" s="156">
        <f t="shared" ref="AB3:AB22" si="13">M3*B3</f>
        <v>0</v>
      </c>
      <c r="AC3" s="158">
        <f t="shared" ref="AC3:AC22" si="14">B3*N3</f>
        <v>0</v>
      </c>
    </row>
    <row r="4" spans="1:29" s="24" customFormat="1">
      <c r="A4" s="152" t="s">
        <v>15</v>
      </c>
      <c r="B4" s="111">
        <v>63000</v>
      </c>
      <c r="C4" s="116">
        <v>12</v>
      </c>
      <c r="D4" s="116">
        <v>17</v>
      </c>
      <c r="E4" s="116">
        <f>27+16</f>
        <v>43</v>
      </c>
      <c r="F4" s="208">
        <v>34</v>
      </c>
      <c r="G4" s="211">
        <v>2</v>
      </c>
      <c r="H4" s="116">
        <v>0</v>
      </c>
      <c r="I4" s="116">
        <v>0</v>
      </c>
      <c r="J4" s="116">
        <v>0</v>
      </c>
      <c r="K4" s="116">
        <v>0</v>
      </c>
      <c r="L4" s="116">
        <v>0</v>
      </c>
      <c r="M4" s="116">
        <v>0</v>
      </c>
      <c r="N4" s="116">
        <v>0</v>
      </c>
      <c r="O4" s="154">
        <f t="shared" si="1"/>
        <v>108</v>
      </c>
      <c r="P4" s="155">
        <f t="shared" si="2"/>
        <v>63000</v>
      </c>
      <c r="Q4" s="149">
        <f t="shared" si="3"/>
        <v>6804000</v>
      </c>
      <c r="R4" s="156">
        <f t="shared" si="4"/>
        <v>756000</v>
      </c>
      <c r="S4" s="156">
        <f t="shared" si="0"/>
        <v>1071000</v>
      </c>
      <c r="T4" s="156">
        <f t="shared" si="5"/>
        <v>2709000</v>
      </c>
      <c r="U4" s="156">
        <f t="shared" si="6"/>
        <v>2142000</v>
      </c>
      <c r="V4" s="156">
        <f t="shared" si="7"/>
        <v>126000</v>
      </c>
      <c r="W4" s="156">
        <f t="shared" si="8"/>
        <v>0</v>
      </c>
      <c r="X4" s="156">
        <f t="shared" si="9"/>
        <v>0</v>
      </c>
      <c r="Y4" s="156">
        <f t="shared" si="10"/>
        <v>0</v>
      </c>
      <c r="Z4" s="156">
        <f t="shared" si="11"/>
        <v>0</v>
      </c>
      <c r="AA4" s="157">
        <f t="shared" si="12"/>
        <v>0</v>
      </c>
      <c r="AB4" s="156">
        <f t="shared" si="13"/>
        <v>0</v>
      </c>
      <c r="AC4" s="158">
        <f t="shared" si="14"/>
        <v>0</v>
      </c>
    </row>
    <row r="5" spans="1:29" s="24" customFormat="1">
      <c r="A5" s="152" t="s">
        <v>18</v>
      </c>
      <c r="B5" s="111">
        <v>5500</v>
      </c>
      <c r="C5" s="116">
        <v>0</v>
      </c>
      <c r="D5" s="116">
        <v>6</v>
      </c>
      <c r="E5" s="116">
        <v>0</v>
      </c>
      <c r="F5" s="208">
        <v>12</v>
      </c>
      <c r="G5" s="211">
        <v>0</v>
      </c>
      <c r="H5" s="116">
        <v>0</v>
      </c>
      <c r="I5" s="116">
        <v>0</v>
      </c>
      <c r="J5" s="116">
        <v>0</v>
      </c>
      <c r="K5" s="116">
        <v>0</v>
      </c>
      <c r="L5" s="116">
        <v>0</v>
      </c>
      <c r="M5" s="116">
        <v>0</v>
      </c>
      <c r="N5" s="116">
        <v>0</v>
      </c>
      <c r="O5" s="154">
        <f t="shared" si="1"/>
        <v>18</v>
      </c>
      <c r="P5" s="155">
        <f t="shared" si="2"/>
        <v>5500</v>
      </c>
      <c r="Q5" s="149">
        <f t="shared" si="3"/>
        <v>99000</v>
      </c>
      <c r="R5" s="156">
        <f t="shared" si="4"/>
        <v>0</v>
      </c>
      <c r="S5" s="156">
        <f t="shared" si="0"/>
        <v>33000</v>
      </c>
      <c r="T5" s="156">
        <f t="shared" si="5"/>
        <v>0</v>
      </c>
      <c r="U5" s="156">
        <f t="shared" si="6"/>
        <v>66000</v>
      </c>
      <c r="V5" s="156">
        <f t="shared" si="7"/>
        <v>0</v>
      </c>
      <c r="W5" s="156">
        <f t="shared" si="8"/>
        <v>0</v>
      </c>
      <c r="X5" s="156">
        <f t="shared" si="9"/>
        <v>0</v>
      </c>
      <c r="Y5" s="156">
        <f t="shared" si="10"/>
        <v>0</v>
      </c>
      <c r="Z5" s="156">
        <f t="shared" si="11"/>
        <v>0</v>
      </c>
      <c r="AA5" s="157">
        <f t="shared" si="12"/>
        <v>0</v>
      </c>
      <c r="AB5" s="156">
        <f t="shared" si="13"/>
        <v>0</v>
      </c>
      <c r="AC5" s="158">
        <f t="shared" si="14"/>
        <v>0</v>
      </c>
    </row>
    <row r="6" spans="1:29" s="24" customFormat="1">
      <c r="A6" s="152" t="s">
        <v>19</v>
      </c>
      <c r="B6" s="111">
        <v>39000</v>
      </c>
      <c r="C6" s="116">
        <v>0</v>
      </c>
      <c r="D6" s="116">
        <v>6</v>
      </c>
      <c r="E6" s="116">
        <v>12</v>
      </c>
      <c r="F6" s="208">
        <v>0</v>
      </c>
      <c r="G6" s="211">
        <v>0</v>
      </c>
      <c r="H6" s="116">
        <v>0</v>
      </c>
      <c r="I6" s="116">
        <v>0</v>
      </c>
      <c r="J6" s="116">
        <v>0</v>
      </c>
      <c r="K6" s="116">
        <v>0</v>
      </c>
      <c r="L6" s="116">
        <v>0</v>
      </c>
      <c r="M6" s="116">
        <v>0</v>
      </c>
      <c r="N6" s="116">
        <v>0</v>
      </c>
      <c r="O6" s="154">
        <f t="shared" si="1"/>
        <v>18</v>
      </c>
      <c r="P6" s="155">
        <f t="shared" si="2"/>
        <v>39000</v>
      </c>
      <c r="Q6" s="149">
        <f t="shared" si="3"/>
        <v>702000</v>
      </c>
      <c r="R6" s="156">
        <f t="shared" si="4"/>
        <v>0</v>
      </c>
      <c r="S6" s="156">
        <f t="shared" si="0"/>
        <v>234000</v>
      </c>
      <c r="T6" s="156">
        <f t="shared" si="5"/>
        <v>468000</v>
      </c>
      <c r="U6" s="156">
        <f t="shared" si="6"/>
        <v>0</v>
      </c>
      <c r="V6" s="156">
        <f t="shared" si="7"/>
        <v>0</v>
      </c>
      <c r="W6" s="156">
        <f t="shared" si="8"/>
        <v>0</v>
      </c>
      <c r="X6" s="156">
        <f t="shared" si="9"/>
        <v>0</v>
      </c>
      <c r="Y6" s="156">
        <f t="shared" si="10"/>
        <v>0</v>
      </c>
      <c r="Z6" s="156">
        <f t="shared" si="11"/>
        <v>0</v>
      </c>
      <c r="AA6" s="157">
        <f t="shared" si="12"/>
        <v>0</v>
      </c>
      <c r="AB6" s="156">
        <f t="shared" si="13"/>
        <v>0</v>
      </c>
      <c r="AC6" s="158">
        <f t="shared" si="14"/>
        <v>0</v>
      </c>
    </row>
    <row r="7" spans="1:29" s="24" customFormat="1">
      <c r="A7" s="152" t="s">
        <v>209</v>
      </c>
      <c r="B7" s="111">
        <v>61800</v>
      </c>
      <c r="C7" s="116">
        <v>11</v>
      </c>
      <c r="D7" s="116">
        <v>17</v>
      </c>
      <c r="E7" s="116">
        <v>24</v>
      </c>
      <c r="F7" s="208">
        <v>23</v>
      </c>
      <c r="G7" s="211">
        <v>13</v>
      </c>
      <c r="H7" s="116">
        <v>0</v>
      </c>
      <c r="I7" s="116">
        <v>0</v>
      </c>
      <c r="J7" s="116">
        <v>0</v>
      </c>
      <c r="K7" s="116">
        <v>0</v>
      </c>
      <c r="L7" s="116">
        <v>0</v>
      </c>
      <c r="M7" s="116">
        <v>0</v>
      </c>
      <c r="N7" s="116">
        <v>0</v>
      </c>
      <c r="O7" s="154">
        <f t="shared" si="1"/>
        <v>88</v>
      </c>
      <c r="P7" s="155">
        <f t="shared" si="2"/>
        <v>61800</v>
      </c>
      <c r="Q7" s="149">
        <f t="shared" si="3"/>
        <v>5438400</v>
      </c>
      <c r="R7" s="156">
        <f t="shared" si="4"/>
        <v>679800</v>
      </c>
      <c r="S7" s="156">
        <f t="shared" si="0"/>
        <v>1050600</v>
      </c>
      <c r="T7" s="156">
        <f t="shared" si="5"/>
        <v>1483200</v>
      </c>
      <c r="U7" s="156">
        <f t="shared" si="6"/>
        <v>1421400</v>
      </c>
      <c r="V7" s="156">
        <f t="shared" si="7"/>
        <v>803400</v>
      </c>
      <c r="W7" s="156">
        <f t="shared" si="8"/>
        <v>0</v>
      </c>
      <c r="X7" s="156">
        <f t="shared" si="9"/>
        <v>0</v>
      </c>
      <c r="Y7" s="156">
        <f t="shared" si="10"/>
        <v>0</v>
      </c>
      <c r="Z7" s="156">
        <f t="shared" si="11"/>
        <v>0</v>
      </c>
      <c r="AA7" s="157">
        <f t="shared" si="12"/>
        <v>0</v>
      </c>
      <c r="AB7" s="156">
        <f t="shared" si="13"/>
        <v>0</v>
      </c>
      <c r="AC7" s="158">
        <f t="shared" si="14"/>
        <v>0</v>
      </c>
    </row>
    <row r="8" spans="1:29" s="24" customFormat="1">
      <c r="A8" s="152" t="s">
        <v>45</v>
      </c>
      <c r="B8" s="111">
        <v>3500</v>
      </c>
      <c r="C8" s="116">
        <v>0</v>
      </c>
      <c r="D8" s="116">
        <v>18</v>
      </c>
      <c r="E8" s="116">
        <v>8</v>
      </c>
      <c r="F8" s="208">
        <v>18</v>
      </c>
      <c r="G8" s="211">
        <v>16</v>
      </c>
      <c r="H8" s="116">
        <v>0</v>
      </c>
      <c r="I8" s="116">
        <v>0</v>
      </c>
      <c r="J8" s="116">
        <v>0</v>
      </c>
      <c r="K8" s="116">
        <v>0</v>
      </c>
      <c r="L8" s="116">
        <v>0</v>
      </c>
      <c r="M8" s="116">
        <v>0</v>
      </c>
      <c r="N8" s="116">
        <v>0</v>
      </c>
      <c r="O8" s="154">
        <f t="shared" si="1"/>
        <v>60</v>
      </c>
      <c r="P8" s="155">
        <f t="shared" si="2"/>
        <v>3500</v>
      </c>
      <c r="Q8" s="149">
        <f t="shared" si="3"/>
        <v>210000</v>
      </c>
      <c r="R8" s="156">
        <f t="shared" si="4"/>
        <v>0</v>
      </c>
      <c r="S8" s="156">
        <f t="shared" si="0"/>
        <v>63000</v>
      </c>
      <c r="T8" s="156">
        <f t="shared" si="5"/>
        <v>28000</v>
      </c>
      <c r="U8" s="156">
        <f t="shared" si="6"/>
        <v>63000</v>
      </c>
      <c r="V8" s="156">
        <f t="shared" si="7"/>
        <v>56000</v>
      </c>
      <c r="W8" s="156">
        <f t="shared" si="8"/>
        <v>0</v>
      </c>
      <c r="X8" s="156">
        <f t="shared" si="9"/>
        <v>0</v>
      </c>
      <c r="Y8" s="156">
        <f t="shared" si="10"/>
        <v>0</v>
      </c>
      <c r="Z8" s="156">
        <f t="shared" si="11"/>
        <v>0</v>
      </c>
      <c r="AA8" s="157">
        <f t="shared" si="12"/>
        <v>0</v>
      </c>
      <c r="AB8" s="156">
        <f t="shared" si="13"/>
        <v>0</v>
      </c>
      <c r="AC8" s="158">
        <f t="shared" si="14"/>
        <v>0</v>
      </c>
    </row>
    <row r="9" spans="1:29" s="24" customFormat="1">
      <c r="A9" s="152" t="s">
        <v>20</v>
      </c>
      <c r="B9" s="111">
        <v>150000</v>
      </c>
      <c r="C9" s="116">
        <v>0</v>
      </c>
      <c r="D9" s="116">
        <v>2</v>
      </c>
      <c r="E9" s="116">
        <v>7</v>
      </c>
      <c r="F9" s="208">
        <v>4</v>
      </c>
      <c r="G9" s="211">
        <v>0</v>
      </c>
      <c r="H9" s="116">
        <v>0</v>
      </c>
      <c r="I9" s="116">
        <v>0</v>
      </c>
      <c r="J9" s="116">
        <v>0</v>
      </c>
      <c r="K9" s="116">
        <v>0</v>
      </c>
      <c r="L9" s="116">
        <v>0</v>
      </c>
      <c r="M9" s="116">
        <v>0</v>
      </c>
      <c r="N9" s="116">
        <v>0</v>
      </c>
      <c r="O9" s="154">
        <f t="shared" si="1"/>
        <v>13</v>
      </c>
      <c r="P9" s="155">
        <f t="shared" si="2"/>
        <v>150000</v>
      </c>
      <c r="Q9" s="149">
        <f t="shared" si="3"/>
        <v>1950000</v>
      </c>
      <c r="R9" s="156">
        <f t="shared" si="4"/>
        <v>0</v>
      </c>
      <c r="S9" s="156">
        <f t="shared" si="0"/>
        <v>300000</v>
      </c>
      <c r="T9" s="156">
        <f t="shared" si="5"/>
        <v>1050000</v>
      </c>
      <c r="U9" s="156">
        <f t="shared" si="6"/>
        <v>600000</v>
      </c>
      <c r="V9" s="156">
        <f t="shared" si="7"/>
        <v>0</v>
      </c>
      <c r="W9" s="156">
        <f t="shared" si="8"/>
        <v>0</v>
      </c>
      <c r="X9" s="156">
        <f t="shared" si="9"/>
        <v>0</v>
      </c>
      <c r="Y9" s="156">
        <f t="shared" si="10"/>
        <v>0</v>
      </c>
      <c r="Z9" s="156">
        <f t="shared" si="11"/>
        <v>0</v>
      </c>
      <c r="AA9" s="157">
        <f t="shared" si="12"/>
        <v>0</v>
      </c>
      <c r="AB9" s="156">
        <f t="shared" si="13"/>
        <v>0</v>
      </c>
      <c r="AC9" s="158">
        <f t="shared" si="14"/>
        <v>0</v>
      </c>
    </row>
    <row r="10" spans="1:29" s="24" customFormat="1">
      <c r="A10" s="152" t="s">
        <v>21</v>
      </c>
      <c r="B10" s="111">
        <v>26000</v>
      </c>
      <c r="C10" s="116">
        <v>0</v>
      </c>
      <c r="D10" s="116">
        <v>0</v>
      </c>
      <c r="E10" s="116">
        <v>0</v>
      </c>
      <c r="F10" s="208">
        <v>1</v>
      </c>
      <c r="G10" s="211">
        <v>0</v>
      </c>
      <c r="H10" s="116">
        <v>0</v>
      </c>
      <c r="I10" s="116">
        <v>0</v>
      </c>
      <c r="J10" s="116">
        <v>0</v>
      </c>
      <c r="K10" s="116">
        <v>0</v>
      </c>
      <c r="L10" s="116">
        <v>0</v>
      </c>
      <c r="M10" s="116">
        <v>0</v>
      </c>
      <c r="N10" s="116">
        <v>0</v>
      </c>
      <c r="O10" s="154">
        <f t="shared" si="1"/>
        <v>1</v>
      </c>
      <c r="P10" s="155">
        <f t="shared" si="2"/>
        <v>26000</v>
      </c>
      <c r="Q10" s="149">
        <f t="shared" si="3"/>
        <v>26000</v>
      </c>
      <c r="R10" s="156">
        <f t="shared" si="4"/>
        <v>0</v>
      </c>
      <c r="S10" s="156">
        <f t="shared" si="0"/>
        <v>0</v>
      </c>
      <c r="T10" s="156">
        <f t="shared" si="5"/>
        <v>0</v>
      </c>
      <c r="U10" s="156">
        <f t="shared" si="6"/>
        <v>26000</v>
      </c>
      <c r="V10" s="156">
        <f t="shared" si="7"/>
        <v>0</v>
      </c>
      <c r="W10" s="156">
        <f t="shared" si="8"/>
        <v>0</v>
      </c>
      <c r="X10" s="156">
        <f t="shared" si="9"/>
        <v>0</v>
      </c>
      <c r="Y10" s="156">
        <f t="shared" si="10"/>
        <v>0</v>
      </c>
      <c r="Z10" s="156">
        <f t="shared" si="11"/>
        <v>0</v>
      </c>
      <c r="AA10" s="157">
        <f t="shared" si="12"/>
        <v>0</v>
      </c>
      <c r="AB10" s="156">
        <f t="shared" si="13"/>
        <v>0</v>
      </c>
      <c r="AC10" s="158">
        <f t="shared" si="14"/>
        <v>0</v>
      </c>
    </row>
    <row r="11" spans="1:29" s="24" customFormat="1">
      <c r="A11" s="152" t="s">
        <v>17</v>
      </c>
      <c r="B11" s="111">
        <v>77000</v>
      </c>
      <c r="C11" s="116">
        <v>2</v>
      </c>
      <c r="D11" s="116">
        <v>6</v>
      </c>
      <c r="E11" s="116">
        <v>22</v>
      </c>
      <c r="F11" s="208">
        <v>10</v>
      </c>
      <c r="G11" s="211">
        <v>0</v>
      </c>
      <c r="H11" s="116">
        <v>0</v>
      </c>
      <c r="I11" s="116">
        <v>0</v>
      </c>
      <c r="J11" s="116">
        <v>0</v>
      </c>
      <c r="K11" s="116">
        <v>0</v>
      </c>
      <c r="L11" s="116">
        <v>0</v>
      </c>
      <c r="M11" s="116">
        <v>0</v>
      </c>
      <c r="N11" s="116">
        <v>0</v>
      </c>
      <c r="O11" s="154">
        <f t="shared" si="1"/>
        <v>40</v>
      </c>
      <c r="P11" s="155">
        <f t="shared" si="2"/>
        <v>77000</v>
      </c>
      <c r="Q11" s="149">
        <f t="shared" si="3"/>
        <v>3080000</v>
      </c>
      <c r="R11" s="156">
        <f t="shared" si="4"/>
        <v>154000</v>
      </c>
      <c r="S11" s="156">
        <f t="shared" si="0"/>
        <v>462000</v>
      </c>
      <c r="T11" s="156">
        <f t="shared" si="5"/>
        <v>1694000</v>
      </c>
      <c r="U11" s="156">
        <f t="shared" si="6"/>
        <v>770000</v>
      </c>
      <c r="V11" s="156">
        <f t="shared" si="7"/>
        <v>0</v>
      </c>
      <c r="W11" s="156">
        <f t="shared" si="8"/>
        <v>0</v>
      </c>
      <c r="X11" s="156">
        <f t="shared" si="9"/>
        <v>0</v>
      </c>
      <c r="Y11" s="156">
        <f t="shared" si="10"/>
        <v>0</v>
      </c>
      <c r="Z11" s="156">
        <f t="shared" si="11"/>
        <v>0</v>
      </c>
      <c r="AA11" s="157">
        <f t="shared" si="12"/>
        <v>0</v>
      </c>
      <c r="AB11" s="156">
        <f t="shared" si="13"/>
        <v>0</v>
      </c>
      <c r="AC11" s="158">
        <f t="shared" si="14"/>
        <v>0</v>
      </c>
    </row>
    <row r="12" spans="1:29" s="24" customFormat="1">
      <c r="A12" s="152" t="s">
        <v>26</v>
      </c>
      <c r="B12" s="111">
        <v>72000</v>
      </c>
      <c r="C12" s="116">
        <v>0</v>
      </c>
      <c r="D12" s="116">
        <v>0</v>
      </c>
      <c r="E12" s="116">
        <v>0</v>
      </c>
      <c r="F12" s="208">
        <v>0</v>
      </c>
      <c r="G12" s="211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  <c r="O12" s="154">
        <f t="shared" si="1"/>
        <v>0</v>
      </c>
      <c r="P12" s="155">
        <f t="shared" si="2"/>
        <v>72000</v>
      </c>
      <c r="Q12" s="149">
        <f t="shared" si="3"/>
        <v>0</v>
      </c>
      <c r="R12" s="156">
        <f t="shared" si="4"/>
        <v>0</v>
      </c>
      <c r="S12" s="156">
        <f t="shared" si="0"/>
        <v>0</v>
      </c>
      <c r="T12" s="156">
        <f t="shared" si="5"/>
        <v>0</v>
      </c>
      <c r="U12" s="156">
        <f t="shared" si="6"/>
        <v>0</v>
      </c>
      <c r="V12" s="156">
        <f t="shared" si="7"/>
        <v>0</v>
      </c>
      <c r="W12" s="156">
        <f t="shared" si="8"/>
        <v>0</v>
      </c>
      <c r="X12" s="156">
        <f t="shared" si="9"/>
        <v>0</v>
      </c>
      <c r="Y12" s="156">
        <f t="shared" si="10"/>
        <v>0</v>
      </c>
      <c r="Z12" s="156">
        <f t="shared" si="11"/>
        <v>0</v>
      </c>
      <c r="AA12" s="157">
        <f t="shared" si="12"/>
        <v>0</v>
      </c>
      <c r="AB12" s="156">
        <f t="shared" si="13"/>
        <v>0</v>
      </c>
      <c r="AC12" s="158">
        <f t="shared" si="14"/>
        <v>0</v>
      </c>
    </row>
    <row r="13" spans="1:29" s="24" customFormat="1">
      <c r="A13" s="152" t="s">
        <v>24</v>
      </c>
      <c r="B13" s="111">
        <v>12000</v>
      </c>
      <c r="C13" s="116">
        <v>0</v>
      </c>
      <c r="D13" s="116">
        <v>0</v>
      </c>
      <c r="E13" s="116">
        <v>0</v>
      </c>
      <c r="F13" s="208">
        <v>0</v>
      </c>
      <c r="G13" s="211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  <c r="O13" s="154">
        <f t="shared" si="1"/>
        <v>0</v>
      </c>
      <c r="P13" s="155">
        <f t="shared" si="2"/>
        <v>12000</v>
      </c>
      <c r="Q13" s="149">
        <f t="shared" si="3"/>
        <v>0</v>
      </c>
      <c r="R13" s="156">
        <f t="shared" si="4"/>
        <v>0</v>
      </c>
      <c r="S13" s="156">
        <f t="shared" si="0"/>
        <v>0</v>
      </c>
      <c r="T13" s="156">
        <f t="shared" si="5"/>
        <v>0</v>
      </c>
      <c r="U13" s="156">
        <f t="shared" si="6"/>
        <v>0</v>
      </c>
      <c r="V13" s="156">
        <f t="shared" si="7"/>
        <v>0</v>
      </c>
      <c r="W13" s="156">
        <f t="shared" si="8"/>
        <v>0</v>
      </c>
      <c r="X13" s="156">
        <f t="shared" si="9"/>
        <v>0</v>
      </c>
      <c r="Y13" s="156">
        <f t="shared" si="10"/>
        <v>0</v>
      </c>
      <c r="Z13" s="156">
        <f t="shared" si="11"/>
        <v>0</v>
      </c>
      <c r="AA13" s="157">
        <f t="shared" si="12"/>
        <v>0</v>
      </c>
      <c r="AB13" s="156">
        <f t="shared" si="13"/>
        <v>0</v>
      </c>
      <c r="AC13" s="158">
        <f t="shared" si="14"/>
        <v>0</v>
      </c>
    </row>
    <row r="14" spans="1:29" s="24" customFormat="1">
      <c r="A14" s="152" t="s">
        <v>22</v>
      </c>
      <c r="B14" s="111">
        <v>11000</v>
      </c>
      <c r="C14" s="116">
        <v>0</v>
      </c>
      <c r="D14" s="116">
        <v>0</v>
      </c>
      <c r="E14" s="116">
        <v>0</v>
      </c>
      <c r="F14" s="208">
        <v>0</v>
      </c>
      <c r="G14" s="211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  <c r="O14" s="154">
        <f t="shared" si="1"/>
        <v>0</v>
      </c>
      <c r="P14" s="155">
        <f t="shared" si="2"/>
        <v>11000</v>
      </c>
      <c r="Q14" s="149">
        <f t="shared" si="3"/>
        <v>0</v>
      </c>
      <c r="R14" s="156">
        <f t="shared" si="4"/>
        <v>0</v>
      </c>
      <c r="S14" s="156">
        <f t="shared" si="0"/>
        <v>0</v>
      </c>
      <c r="T14" s="156">
        <f t="shared" si="5"/>
        <v>0</v>
      </c>
      <c r="U14" s="156">
        <f t="shared" si="6"/>
        <v>0</v>
      </c>
      <c r="V14" s="156">
        <f t="shared" si="7"/>
        <v>0</v>
      </c>
      <c r="W14" s="156">
        <f t="shared" si="8"/>
        <v>0</v>
      </c>
      <c r="X14" s="156">
        <f t="shared" si="9"/>
        <v>0</v>
      </c>
      <c r="Y14" s="156">
        <f t="shared" si="10"/>
        <v>0</v>
      </c>
      <c r="Z14" s="156">
        <f t="shared" si="11"/>
        <v>0</v>
      </c>
      <c r="AA14" s="157">
        <f t="shared" si="12"/>
        <v>0</v>
      </c>
      <c r="AB14" s="156">
        <f t="shared" si="13"/>
        <v>0</v>
      </c>
      <c r="AC14" s="158">
        <f t="shared" si="14"/>
        <v>0</v>
      </c>
    </row>
    <row r="15" spans="1:29" s="24" customFormat="1">
      <c r="A15" s="152" t="s">
        <v>25</v>
      </c>
      <c r="B15" s="111">
        <v>90000</v>
      </c>
      <c r="C15" s="116">
        <v>0</v>
      </c>
      <c r="D15" s="116">
        <v>0</v>
      </c>
      <c r="E15" s="116">
        <v>0</v>
      </c>
      <c r="F15" s="208">
        <v>18</v>
      </c>
      <c r="G15" s="211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  <c r="O15" s="154">
        <f t="shared" si="1"/>
        <v>18</v>
      </c>
      <c r="P15" s="155">
        <f t="shared" si="2"/>
        <v>90000</v>
      </c>
      <c r="Q15" s="149">
        <f t="shared" si="3"/>
        <v>1620000</v>
      </c>
      <c r="R15" s="156">
        <f t="shared" si="4"/>
        <v>0</v>
      </c>
      <c r="S15" s="156">
        <f t="shared" si="0"/>
        <v>0</v>
      </c>
      <c r="T15" s="156">
        <f t="shared" si="5"/>
        <v>0</v>
      </c>
      <c r="U15" s="156">
        <f t="shared" si="6"/>
        <v>1620000</v>
      </c>
      <c r="V15" s="156">
        <f t="shared" si="7"/>
        <v>0</v>
      </c>
      <c r="W15" s="156">
        <f t="shared" si="8"/>
        <v>0</v>
      </c>
      <c r="X15" s="156">
        <f t="shared" si="9"/>
        <v>0</v>
      </c>
      <c r="Y15" s="156">
        <f t="shared" si="10"/>
        <v>0</v>
      </c>
      <c r="Z15" s="156">
        <f t="shared" si="11"/>
        <v>0</v>
      </c>
      <c r="AA15" s="157">
        <f t="shared" si="12"/>
        <v>0</v>
      </c>
      <c r="AB15" s="156">
        <f t="shared" si="13"/>
        <v>0</v>
      </c>
      <c r="AC15" s="158">
        <f t="shared" si="14"/>
        <v>0</v>
      </c>
    </row>
    <row r="16" spans="1:29" s="24" customFormat="1">
      <c r="A16" s="152" t="s">
        <v>27</v>
      </c>
      <c r="B16" s="111">
        <v>75000</v>
      </c>
      <c r="C16" s="116">
        <v>0</v>
      </c>
      <c r="D16" s="116">
        <v>0</v>
      </c>
      <c r="E16" s="116">
        <v>0</v>
      </c>
      <c r="F16" s="208">
        <v>0</v>
      </c>
      <c r="G16" s="211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  <c r="O16" s="154">
        <f t="shared" si="1"/>
        <v>0</v>
      </c>
      <c r="P16" s="155">
        <f t="shared" si="2"/>
        <v>75000</v>
      </c>
      <c r="Q16" s="149">
        <f t="shared" si="3"/>
        <v>0</v>
      </c>
      <c r="R16" s="156">
        <f t="shared" si="4"/>
        <v>0</v>
      </c>
      <c r="S16" s="156">
        <f t="shared" si="0"/>
        <v>0</v>
      </c>
      <c r="T16" s="156">
        <f t="shared" si="5"/>
        <v>0</v>
      </c>
      <c r="U16" s="156">
        <f t="shared" si="6"/>
        <v>0</v>
      </c>
      <c r="V16" s="156">
        <f t="shared" si="7"/>
        <v>0</v>
      </c>
      <c r="W16" s="156">
        <f t="shared" si="8"/>
        <v>0</v>
      </c>
      <c r="X16" s="156">
        <f t="shared" si="9"/>
        <v>0</v>
      </c>
      <c r="Y16" s="156">
        <f t="shared" si="10"/>
        <v>0</v>
      </c>
      <c r="Z16" s="156">
        <f t="shared" si="11"/>
        <v>0</v>
      </c>
      <c r="AA16" s="157">
        <f t="shared" si="12"/>
        <v>0</v>
      </c>
      <c r="AB16" s="156">
        <f t="shared" si="13"/>
        <v>0</v>
      </c>
      <c r="AC16" s="158">
        <f t="shared" si="14"/>
        <v>0</v>
      </c>
    </row>
    <row r="17" spans="1:35" s="24" customFormat="1">
      <c r="A17" s="152" t="s">
        <v>28</v>
      </c>
      <c r="B17" s="111">
        <v>15000</v>
      </c>
      <c r="C17" s="116">
        <v>0</v>
      </c>
      <c r="D17" s="116">
        <v>0</v>
      </c>
      <c r="E17" s="116">
        <v>0</v>
      </c>
      <c r="F17" s="208">
        <v>0</v>
      </c>
      <c r="G17" s="211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  <c r="O17" s="154">
        <f t="shared" si="1"/>
        <v>0</v>
      </c>
      <c r="P17" s="155">
        <f t="shared" si="2"/>
        <v>15000</v>
      </c>
      <c r="Q17" s="149">
        <f t="shared" si="3"/>
        <v>0</v>
      </c>
      <c r="R17" s="156">
        <f t="shared" si="4"/>
        <v>0</v>
      </c>
      <c r="S17" s="156">
        <f t="shared" si="0"/>
        <v>0</v>
      </c>
      <c r="T17" s="156">
        <f t="shared" si="5"/>
        <v>0</v>
      </c>
      <c r="U17" s="156">
        <f t="shared" si="6"/>
        <v>0</v>
      </c>
      <c r="V17" s="156">
        <f t="shared" si="7"/>
        <v>0</v>
      </c>
      <c r="W17" s="156">
        <f t="shared" si="8"/>
        <v>0</v>
      </c>
      <c r="X17" s="156">
        <f t="shared" si="9"/>
        <v>0</v>
      </c>
      <c r="Y17" s="156">
        <f t="shared" si="10"/>
        <v>0</v>
      </c>
      <c r="Z17" s="156">
        <f t="shared" si="11"/>
        <v>0</v>
      </c>
      <c r="AA17" s="157">
        <f t="shared" si="12"/>
        <v>0</v>
      </c>
      <c r="AB17" s="156">
        <f t="shared" si="13"/>
        <v>0</v>
      </c>
      <c r="AC17" s="158">
        <f t="shared" si="14"/>
        <v>0</v>
      </c>
    </row>
    <row r="18" spans="1:35" s="24" customFormat="1">
      <c r="A18" s="152" t="s">
        <v>49</v>
      </c>
      <c r="B18" s="111">
        <v>45000</v>
      </c>
      <c r="C18" s="116">
        <v>0</v>
      </c>
      <c r="D18" s="116">
        <v>0</v>
      </c>
      <c r="E18" s="116">
        <v>0</v>
      </c>
      <c r="F18" s="208">
        <v>0</v>
      </c>
      <c r="G18" s="211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  <c r="O18" s="154">
        <f t="shared" si="1"/>
        <v>0</v>
      </c>
      <c r="P18" s="155">
        <f t="shared" si="2"/>
        <v>45000</v>
      </c>
      <c r="Q18" s="149">
        <f t="shared" si="3"/>
        <v>0</v>
      </c>
      <c r="R18" s="156">
        <f t="shared" si="4"/>
        <v>0</v>
      </c>
      <c r="S18" s="156">
        <f t="shared" si="0"/>
        <v>0</v>
      </c>
      <c r="T18" s="156">
        <f t="shared" si="5"/>
        <v>0</v>
      </c>
      <c r="U18" s="156">
        <f t="shared" si="6"/>
        <v>0</v>
      </c>
      <c r="V18" s="156">
        <f t="shared" si="7"/>
        <v>0</v>
      </c>
      <c r="W18" s="156">
        <f t="shared" si="8"/>
        <v>0</v>
      </c>
      <c r="X18" s="156">
        <f t="shared" si="9"/>
        <v>0</v>
      </c>
      <c r="Y18" s="156">
        <f t="shared" si="10"/>
        <v>0</v>
      </c>
      <c r="Z18" s="156">
        <f t="shared" si="11"/>
        <v>0</v>
      </c>
      <c r="AA18" s="157">
        <f t="shared" si="12"/>
        <v>0</v>
      </c>
      <c r="AB18" s="156">
        <f t="shared" si="13"/>
        <v>0</v>
      </c>
      <c r="AC18" s="158">
        <f t="shared" si="14"/>
        <v>0</v>
      </c>
    </row>
    <row r="19" spans="1:35" s="24" customFormat="1">
      <c r="A19" s="152" t="s">
        <v>47</v>
      </c>
      <c r="B19" s="111">
        <v>20500</v>
      </c>
      <c r="C19" s="116">
        <v>0</v>
      </c>
      <c r="D19" s="116">
        <v>12</v>
      </c>
      <c r="E19" s="116">
        <v>0</v>
      </c>
      <c r="F19" s="208">
        <v>24</v>
      </c>
      <c r="G19" s="211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  <c r="O19" s="154">
        <f t="shared" si="1"/>
        <v>36</v>
      </c>
      <c r="P19" s="155">
        <f t="shared" si="2"/>
        <v>20500</v>
      </c>
      <c r="Q19" s="149">
        <f t="shared" si="3"/>
        <v>738000</v>
      </c>
      <c r="R19" s="156">
        <f t="shared" si="4"/>
        <v>0</v>
      </c>
      <c r="S19" s="156">
        <f t="shared" si="0"/>
        <v>246000</v>
      </c>
      <c r="T19" s="156">
        <f t="shared" si="5"/>
        <v>0</v>
      </c>
      <c r="U19" s="156">
        <f t="shared" si="6"/>
        <v>492000</v>
      </c>
      <c r="V19" s="156">
        <f t="shared" si="7"/>
        <v>0</v>
      </c>
      <c r="W19" s="156">
        <f t="shared" si="8"/>
        <v>0</v>
      </c>
      <c r="X19" s="156">
        <f t="shared" si="9"/>
        <v>0</v>
      </c>
      <c r="Y19" s="156">
        <f t="shared" si="10"/>
        <v>0</v>
      </c>
      <c r="Z19" s="156">
        <f t="shared" si="11"/>
        <v>0</v>
      </c>
      <c r="AA19" s="157">
        <f t="shared" si="12"/>
        <v>0</v>
      </c>
      <c r="AB19" s="156">
        <f t="shared" si="13"/>
        <v>0</v>
      </c>
      <c r="AC19" s="158">
        <f t="shared" si="14"/>
        <v>0</v>
      </c>
    </row>
    <row r="20" spans="1:35" s="24" customFormat="1">
      <c r="A20" s="152" t="s">
        <v>48</v>
      </c>
      <c r="B20" s="111">
        <v>42000</v>
      </c>
      <c r="C20" s="116">
        <v>0</v>
      </c>
      <c r="D20" s="116">
        <v>0</v>
      </c>
      <c r="E20" s="116">
        <v>0</v>
      </c>
      <c r="F20" s="208">
        <v>0</v>
      </c>
      <c r="G20" s="211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  <c r="O20" s="154">
        <f t="shared" si="1"/>
        <v>0</v>
      </c>
      <c r="P20" s="155">
        <f t="shared" si="2"/>
        <v>42000</v>
      </c>
      <c r="Q20" s="149">
        <f t="shared" si="3"/>
        <v>0</v>
      </c>
      <c r="R20" s="156">
        <f t="shared" si="4"/>
        <v>0</v>
      </c>
      <c r="S20" s="156">
        <f t="shared" si="0"/>
        <v>0</v>
      </c>
      <c r="T20" s="156">
        <f t="shared" si="5"/>
        <v>0</v>
      </c>
      <c r="U20" s="156">
        <f t="shared" si="6"/>
        <v>0</v>
      </c>
      <c r="V20" s="156">
        <f t="shared" si="7"/>
        <v>0</v>
      </c>
      <c r="W20" s="156">
        <f t="shared" si="8"/>
        <v>0</v>
      </c>
      <c r="X20" s="156">
        <f t="shared" si="9"/>
        <v>0</v>
      </c>
      <c r="Y20" s="156">
        <f t="shared" si="10"/>
        <v>0</v>
      </c>
      <c r="Z20" s="156">
        <f t="shared" si="11"/>
        <v>0</v>
      </c>
      <c r="AA20" s="157">
        <f t="shared" si="12"/>
        <v>0</v>
      </c>
      <c r="AB20" s="156">
        <f t="shared" si="13"/>
        <v>0</v>
      </c>
      <c r="AC20" s="158">
        <f t="shared" si="14"/>
        <v>0</v>
      </c>
    </row>
    <row r="21" spans="1:35" s="24" customFormat="1">
      <c r="A21" s="152" t="s">
        <v>233</v>
      </c>
      <c r="B21" s="114">
        <v>124000</v>
      </c>
      <c r="C21" s="116">
        <v>0</v>
      </c>
      <c r="D21" s="116">
        <v>2</v>
      </c>
      <c r="E21" s="116">
        <v>0</v>
      </c>
      <c r="F21" s="208">
        <v>0</v>
      </c>
      <c r="G21" s="211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  <c r="O21" s="159">
        <f t="shared" ref="O21" si="15">+C21+D21+E21+F21+G21+H21+I21+J21+K21+L21+M21+N21</f>
        <v>2</v>
      </c>
      <c r="P21" s="155">
        <f t="shared" ref="P21" si="16">+B21</f>
        <v>124000</v>
      </c>
      <c r="Q21" s="160">
        <f t="shared" ref="Q21" si="17">+O21*P21</f>
        <v>248000</v>
      </c>
      <c r="R21" s="156">
        <f t="shared" ref="R21" si="18">+C21*P21</f>
        <v>0</v>
      </c>
      <c r="S21" s="156">
        <f t="shared" ref="S21" si="19">B21*D21</f>
        <v>248000</v>
      </c>
      <c r="T21" s="156">
        <f t="shared" ref="T21" si="20">B21*E21</f>
        <v>0</v>
      </c>
      <c r="U21" s="156">
        <f t="shared" ref="U21" si="21">B21*F21</f>
        <v>0</v>
      </c>
      <c r="V21" s="156">
        <f t="shared" ref="V21" si="22">B21*G21</f>
        <v>0</v>
      </c>
      <c r="W21" s="156">
        <f t="shared" ref="W21" si="23">B21*H21</f>
        <v>0</v>
      </c>
      <c r="X21" s="156">
        <f t="shared" ref="X21" si="24">B21*I21</f>
        <v>0</v>
      </c>
      <c r="Y21" s="156">
        <f t="shared" ref="Y21" si="25">J21*B21</f>
        <v>0</v>
      </c>
      <c r="Z21" s="156">
        <f t="shared" ref="Z21" si="26">B21*K21</f>
        <v>0</v>
      </c>
      <c r="AA21" s="157">
        <f t="shared" ref="AA21" si="27">B21*L21</f>
        <v>0</v>
      </c>
      <c r="AB21" s="156">
        <f t="shared" ref="AB21" si="28">M21*B21</f>
        <v>0</v>
      </c>
      <c r="AC21" s="158"/>
    </row>
    <row r="22" spans="1:35" s="24" customFormat="1" ht="15.75" thickBot="1">
      <c r="A22" s="152" t="s">
        <v>29</v>
      </c>
      <c r="B22" s="114">
        <v>55000</v>
      </c>
      <c r="C22" s="116">
        <v>0</v>
      </c>
      <c r="D22" s="116">
        <v>0</v>
      </c>
      <c r="E22" s="116">
        <v>0</v>
      </c>
      <c r="F22" s="208">
        <v>0</v>
      </c>
      <c r="G22" s="211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  <c r="O22" s="159">
        <f t="shared" si="1"/>
        <v>0</v>
      </c>
      <c r="P22" s="155">
        <f t="shared" si="2"/>
        <v>55000</v>
      </c>
      <c r="Q22" s="160">
        <f t="shared" si="3"/>
        <v>0</v>
      </c>
      <c r="R22" s="156">
        <f t="shared" si="4"/>
        <v>0</v>
      </c>
      <c r="S22" s="156">
        <f t="shared" si="0"/>
        <v>0</v>
      </c>
      <c r="T22" s="156">
        <f t="shared" si="5"/>
        <v>0</v>
      </c>
      <c r="U22" s="156">
        <f t="shared" si="6"/>
        <v>0</v>
      </c>
      <c r="V22" s="156">
        <f t="shared" si="7"/>
        <v>0</v>
      </c>
      <c r="W22" s="156">
        <f t="shared" si="8"/>
        <v>0</v>
      </c>
      <c r="X22" s="156">
        <f t="shared" si="9"/>
        <v>0</v>
      </c>
      <c r="Y22" s="156">
        <f t="shared" si="10"/>
        <v>0</v>
      </c>
      <c r="Z22" s="156">
        <f t="shared" si="11"/>
        <v>0</v>
      </c>
      <c r="AA22" s="157">
        <f t="shared" si="12"/>
        <v>0</v>
      </c>
      <c r="AB22" s="156">
        <f t="shared" si="13"/>
        <v>0</v>
      </c>
      <c r="AC22" s="158">
        <f t="shared" si="14"/>
        <v>0</v>
      </c>
    </row>
    <row r="23" spans="1:35" s="24" customFormat="1" ht="15.75" thickBot="1">
      <c r="B23" s="161" t="s">
        <v>0</v>
      </c>
      <c r="C23" s="162"/>
      <c r="D23" s="162"/>
      <c r="E23" s="163"/>
      <c r="F23" s="162"/>
      <c r="G23" s="162"/>
      <c r="H23" s="163"/>
      <c r="I23" s="162"/>
      <c r="J23" s="163"/>
      <c r="K23" s="162"/>
      <c r="L23" s="163"/>
      <c r="M23" s="162"/>
      <c r="N23" s="162"/>
      <c r="O23" s="164">
        <f>SUM(O2:O22)</f>
        <v>510</v>
      </c>
      <c r="P23" s="165"/>
      <c r="Q23" s="166">
        <f>SUM(Q2:Q22)</f>
        <v>22053000</v>
      </c>
      <c r="R23" s="167">
        <f>SUM(R2:R22)</f>
        <v>1645000</v>
      </c>
      <c r="S23" s="167">
        <f t="shared" ref="S23:AC23" si="29">SUM(S2:S22)</f>
        <v>3818000</v>
      </c>
      <c r="T23" s="167">
        <f t="shared" si="29"/>
        <v>7751000</v>
      </c>
      <c r="U23" s="167">
        <f t="shared" si="29"/>
        <v>7743200</v>
      </c>
      <c r="V23" s="167">
        <f t="shared" si="29"/>
        <v>1095800</v>
      </c>
      <c r="W23" s="167">
        <f t="shared" si="29"/>
        <v>0</v>
      </c>
      <c r="X23" s="167">
        <f t="shared" si="29"/>
        <v>0</v>
      </c>
      <c r="Y23" s="167">
        <f t="shared" si="29"/>
        <v>0</v>
      </c>
      <c r="Z23" s="167">
        <f t="shared" si="29"/>
        <v>0</v>
      </c>
      <c r="AA23" s="167">
        <f t="shared" si="29"/>
        <v>0</v>
      </c>
      <c r="AB23" s="167">
        <f t="shared" si="29"/>
        <v>0</v>
      </c>
      <c r="AC23" s="167">
        <f t="shared" si="29"/>
        <v>0</v>
      </c>
      <c r="AD23" s="168"/>
      <c r="AE23" s="169"/>
      <c r="AF23" s="169"/>
      <c r="AG23" s="169"/>
      <c r="AH23" s="169"/>
      <c r="AI23" s="169"/>
    </row>
    <row r="24" spans="1:35" s="24" customFormat="1">
      <c r="B24" s="104"/>
      <c r="P24" s="170"/>
      <c r="Q24" s="171"/>
      <c r="R24" s="82"/>
      <c r="S24" s="82"/>
      <c r="T24" s="82"/>
      <c r="U24" s="82"/>
      <c r="V24" s="82"/>
      <c r="X24" s="82"/>
      <c r="Y24" s="82"/>
      <c r="AB24" s="34"/>
      <c r="AC24" s="34"/>
    </row>
    <row r="25" spans="1:35" s="24" customFormat="1" ht="15.75" thickBot="1">
      <c r="B25" s="104"/>
      <c r="P25" s="170"/>
      <c r="Q25" s="171"/>
      <c r="R25" s="82"/>
      <c r="S25" s="82"/>
      <c r="T25" s="82"/>
      <c r="U25" s="82"/>
      <c r="V25" s="82"/>
      <c r="X25" s="82"/>
      <c r="Y25" s="82"/>
      <c r="AB25" s="34"/>
      <c r="AC25" s="34"/>
    </row>
    <row r="26" spans="1:35" s="24" customFormat="1" ht="27" thickBot="1">
      <c r="B26" s="105" t="s">
        <v>93</v>
      </c>
      <c r="C26" s="106" t="s">
        <v>94</v>
      </c>
      <c r="D26" s="88" t="s">
        <v>95</v>
      </c>
      <c r="P26" s="170"/>
      <c r="Q26" s="171"/>
      <c r="R26" s="82"/>
      <c r="S26" s="82"/>
      <c r="T26" s="82"/>
      <c r="U26" s="82"/>
      <c r="V26" s="82"/>
      <c r="X26" s="82"/>
      <c r="Y26" s="82"/>
      <c r="AB26" s="34"/>
      <c r="AC26" s="34"/>
    </row>
    <row r="27" spans="1:35" s="24" customFormat="1">
      <c r="A27" s="107" t="str">
        <f>+C1</f>
        <v>ENERO</v>
      </c>
      <c r="B27" s="108">
        <f>+R23</f>
        <v>1645000</v>
      </c>
      <c r="C27" s="109">
        <f>+'PRODUC ACUMULADA'!B5</f>
        <v>1698.66</v>
      </c>
      <c r="D27" s="101">
        <f>+B27/C27</f>
        <v>968.41039407532992</v>
      </c>
      <c r="P27" s="170"/>
      <c r="Q27" s="171"/>
      <c r="R27" s="82"/>
      <c r="S27" s="82"/>
      <c r="T27" s="82"/>
      <c r="U27" s="82"/>
      <c r="V27" s="82"/>
      <c r="X27" s="82"/>
      <c r="Y27" s="82"/>
      <c r="AB27" s="34"/>
      <c r="AC27" s="34"/>
    </row>
    <row r="28" spans="1:35" s="24" customFormat="1">
      <c r="A28" s="110" t="str">
        <f>+D1</f>
        <v>FEBRERO</v>
      </c>
      <c r="B28" s="111">
        <f>+S23</f>
        <v>3818000</v>
      </c>
      <c r="C28" s="93">
        <f>+'PRODUC ACUMULADA'!B6</f>
        <v>1830.15</v>
      </c>
      <c r="D28" s="38">
        <f t="shared" ref="D28:D38" si="30">+B28/C28</f>
        <v>2086.1678004535147</v>
      </c>
      <c r="P28" s="170"/>
      <c r="Q28" s="171"/>
      <c r="R28" s="82"/>
      <c r="S28" s="82"/>
      <c r="T28" s="82"/>
      <c r="U28" s="82"/>
      <c r="V28" s="82"/>
      <c r="X28" s="82"/>
      <c r="Y28" s="82"/>
      <c r="AB28" s="34"/>
      <c r="AC28" s="34"/>
    </row>
    <row r="29" spans="1:35" s="24" customFormat="1">
      <c r="A29" s="110" t="str">
        <f>+E1</f>
        <v>MARZO</v>
      </c>
      <c r="B29" s="111">
        <f>+T23</f>
        <v>7751000</v>
      </c>
      <c r="C29" s="93">
        <f>+'PRODUC ACUMULADA'!B7</f>
        <v>1898.77</v>
      </c>
      <c r="D29" s="38">
        <f t="shared" si="30"/>
        <v>4082.1163174054782</v>
      </c>
      <c r="P29" s="170"/>
      <c r="Q29" s="171"/>
      <c r="R29" s="82"/>
      <c r="S29" s="82"/>
      <c r="T29" s="82"/>
      <c r="U29" s="82"/>
      <c r="V29" s="82"/>
      <c r="X29" s="82"/>
      <c r="Y29" s="82"/>
      <c r="AB29" s="34"/>
      <c r="AC29" s="34"/>
    </row>
    <row r="30" spans="1:35" s="24" customFormat="1">
      <c r="A30" s="110" t="str">
        <f>+F1</f>
        <v>ABRIL</v>
      </c>
      <c r="B30" s="111">
        <f>+U23</f>
        <v>7743200</v>
      </c>
      <c r="C30" s="93">
        <f>+'PRODUC ACUMULADA'!B8</f>
        <v>1800.91</v>
      </c>
      <c r="D30" s="38">
        <f t="shared" si="30"/>
        <v>4299.6040890438717</v>
      </c>
      <c r="P30" s="170"/>
      <c r="Q30" s="171"/>
      <c r="R30" s="82"/>
      <c r="S30" s="82"/>
      <c r="T30" s="82"/>
      <c r="U30" s="82"/>
      <c r="V30" s="82"/>
      <c r="X30" s="82"/>
      <c r="Y30" s="82"/>
      <c r="AB30" s="34"/>
      <c r="AC30" s="34"/>
    </row>
    <row r="31" spans="1:35" s="24" customFormat="1">
      <c r="A31" s="110" t="str">
        <f>+G1</f>
        <v>MAYO</v>
      </c>
      <c r="B31" s="111">
        <f>+V23</f>
        <v>1095800</v>
      </c>
      <c r="C31" s="93">
        <f>+'PRODUC ACUMULADA'!B9</f>
        <v>1964.1099999999997</v>
      </c>
      <c r="D31" s="38">
        <f t="shared" si="30"/>
        <v>557.91172592166436</v>
      </c>
      <c r="P31" s="170"/>
      <c r="Q31" s="171"/>
      <c r="R31" s="82"/>
      <c r="S31" s="82"/>
      <c r="T31" s="82"/>
      <c r="U31" s="82"/>
      <c r="V31" s="82"/>
      <c r="X31" s="82"/>
      <c r="Y31" s="82"/>
      <c r="AB31" s="34"/>
      <c r="AC31" s="34"/>
    </row>
    <row r="32" spans="1:35" s="24" customFormat="1">
      <c r="A32" s="110" t="str">
        <f>+H1</f>
        <v>JUNIO</v>
      </c>
      <c r="B32" s="111">
        <f>+W23</f>
        <v>0</v>
      </c>
      <c r="C32" s="93">
        <f>+'PRODUC ACUMULADA'!B10</f>
        <v>926.96999999999991</v>
      </c>
      <c r="D32" s="38">
        <f t="shared" si="30"/>
        <v>0</v>
      </c>
      <c r="P32" s="170"/>
      <c r="Q32" s="171"/>
      <c r="R32" s="82"/>
      <c r="S32" s="82"/>
      <c r="T32" s="82"/>
      <c r="U32" s="82"/>
      <c r="V32" s="82"/>
      <c r="X32" s="82"/>
      <c r="Y32" s="82"/>
      <c r="AB32" s="34"/>
      <c r="AC32" s="34"/>
    </row>
    <row r="33" spans="1:29" s="24" customFormat="1">
      <c r="A33" s="110" t="str">
        <f>+I1</f>
        <v>JULIO</v>
      </c>
      <c r="B33" s="111">
        <f>+X23</f>
        <v>0</v>
      </c>
      <c r="C33" s="93">
        <f>+'PRODUC ACUMULADA'!B11</f>
        <v>0</v>
      </c>
      <c r="D33" s="38" t="e">
        <f t="shared" si="30"/>
        <v>#DIV/0!</v>
      </c>
      <c r="P33" s="170"/>
      <c r="Q33" s="171"/>
      <c r="R33" s="82"/>
      <c r="S33" s="82"/>
      <c r="T33" s="82"/>
      <c r="U33" s="82"/>
      <c r="V33" s="82"/>
      <c r="X33" s="82"/>
      <c r="Y33" s="82"/>
      <c r="AB33" s="34"/>
      <c r="AC33" s="34"/>
    </row>
    <row r="34" spans="1:29" s="24" customFormat="1">
      <c r="A34" s="110" t="str">
        <f>+J1</f>
        <v>AGOSTO</v>
      </c>
      <c r="B34" s="111">
        <f>+Y23</f>
        <v>0</v>
      </c>
      <c r="C34" s="93">
        <f>+'PRODUC ACUMULADA'!B12</f>
        <v>0</v>
      </c>
      <c r="D34" s="38" t="e">
        <f t="shared" si="30"/>
        <v>#DIV/0!</v>
      </c>
      <c r="P34" s="170"/>
      <c r="Q34" s="171"/>
      <c r="R34" s="82"/>
      <c r="S34" s="82"/>
      <c r="T34" s="82"/>
      <c r="U34" s="82"/>
      <c r="V34" s="82"/>
      <c r="X34" s="82"/>
      <c r="Y34" s="82"/>
      <c r="AB34" s="34"/>
      <c r="AC34" s="34"/>
    </row>
    <row r="35" spans="1:29" s="24" customFormat="1">
      <c r="A35" s="110" t="str">
        <f>+K1</f>
        <v>SEPTIEMBRE</v>
      </c>
      <c r="B35" s="111">
        <f>+Z23</f>
        <v>0</v>
      </c>
      <c r="C35" s="93">
        <f>+'PRODUC ACUMULADA'!B13</f>
        <v>0</v>
      </c>
      <c r="D35" s="38" t="e">
        <f t="shared" si="30"/>
        <v>#DIV/0!</v>
      </c>
      <c r="P35" s="170"/>
      <c r="Q35" s="171"/>
      <c r="R35" s="82"/>
      <c r="S35" s="82"/>
      <c r="T35" s="82"/>
      <c r="U35" s="82"/>
      <c r="V35" s="82"/>
      <c r="X35" s="82"/>
      <c r="Y35" s="82"/>
      <c r="AB35" s="34"/>
      <c r="AC35" s="34"/>
    </row>
    <row r="36" spans="1:29" s="24" customFormat="1">
      <c r="A36" s="110" t="str">
        <f>+L1</f>
        <v>OCTUBRE</v>
      </c>
      <c r="B36" s="111">
        <f>+AA23</f>
        <v>0</v>
      </c>
      <c r="C36" s="93">
        <f>+'PRODUC ACUMULADA'!B14</f>
        <v>0</v>
      </c>
      <c r="D36" s="38" t="e">
        <f t="shared" si="30"/>
        <v>#DIV/0!</v>
      </c>
      <c r="P36" s="170"/>
      <c r="Q36" s="171"/>
      <c r="R36" s="82"/>
      <c r="S36" s="82"/>
      <c r="T36" s="82"/>
      <c r="U36" s="82"/>
      <c r="V36" s="82"/>
      <c r="X36" s="82"/>
      <c r="Y36" s="82"/>
      <c r="AB36" s="34"/>
      <c r="AC36" s="34"/>
    </row>
    <row r="37" spans="1:29" s="24" customFormat="1">
      <c r="A37" s="110" t="str">
        <f>+M1</f>
        <v>NOVIEMBRE</v>
      </c>
      <c r="B37" s="112">
        <f>+AB23</f>
        <v>0</v>
      </c>
      <c r="C37" s="93">
        <f>+'PRODUC ACUMULADA'!B15</f>
        <v>0</v>
      </c>
      <c r="D37" s="38" t="e">
        <f t="shared" si="30"/>
        <v>#DIV/0!</v>
      </c>
      <c r="P37" s="170"/>
      <c r="Q37" s="171"/>
      <c r="R37" s="82"/>
      <c r="S37" s="82"/>
      <c r="T37" s="82"/>
      <c r="U37" s="82"/>
      <c r="V37" s="82"/>
      <c r="X37" s="82"/>
      <c r="Y37" s="82"/>
      <c r="AB37" s="34"/>
      <c r="AC37" s="34"/>
    </row>
    <row r="38" spans="1:29" s="24" customFormat="1" ht="15.75" thickBot="1">
      <c r="A38" s="113" t="str">
        <f>+N1</f>
        <v>DICIEMBRE</v>
      </c>
      <c r="B38" s="114">
        <f>+AC23</f>
        <v>0</v>
      </c>
      <c r="C38" s="93">
        <f>+'PRODUC ACUMULADA'!B16</f>
        <v>0</v>
      </c>
      <c r="D38" s="42" t="e">
        <f t="shared" si="30"/>
        <v>#DIV/0!</v>
      </c>
      <c r="P38" s="170"/>
      <c r="Q38" s="171"/>
      <c r="R38" s="82"/>
      <c r="S38" s="82"/>
      <c r="T38" s="82"/>
      <c r="U38" s="82"/>
      <c r="V38" s="82"/>
      <c r="X38" s="82"/>
      <c r="Y38" s="82"/>
      <c r="AB38" s="34"/>
      <c r="AC38" s="34"/>
    </row>
    <row r="39" spans="1:29" s="24" customFormat="1" ht="15.75" thickBot="1">
      <c r="A39" s="48" t="s">
        <v>96</v>
      </c>
      <c r="B39" s="115">
        <f>SUM(B27:B38)</f>
        <v>22053000</v>
      </c>
      <c r="C39" s="115">
        <f t="shared" ref="C39:D39" si="31">SUM(C27:C38)</f>
        <v>10119.569999999998</v>
      </c>
      <c r="D39" s="115" t="e">
        <f t="shared" si="31"/>
        <v>#DIV/0!</v>
      </c>
      <c r="P39" s="170"/>
      <c r="Q39" s="171"/>
      <c r="R39" s="82"/>
      <c r="S39" s="82"/>
      <c r="T39" s="82"/>
      <c r="U39" s="82"/>
      <c r="V39" s="82"/>
      <c r="X39" s="82"/>
      <c r="Y39" s="82"/>
      <c r="AB39" s="34"/>
      <c r="AC39" s="34"/>
    </row>
    <row r="40" spans="1:29" s="24" customFormat="1">
      <c r="B40" s="104"/>
      <c r="P40" s="170"/>
      <c r="Q40" s="171"/>
      <c r="R40" s="82"/>
      <c r="S40" s="82"/>
      <c r="T40" s="82"/>
      <c r="U40" s="82"/>
      <c r="V40" s="82"/>
      <c r="X40" s="82"/>
      <c r="Y40" s="82"/>
      <c r="AB40" s="34"/>
      <c r="AC40" s="34"/>
    </row>
    <row r="41" spans="1:29" s="24" customFormat="1">
      <c r="B41" s="104"/>
      <c r="P41" s="170"/>
      <c r="Q41" s="171"/>
      <c r="R41" s="82"/>
      <c r="S41" s="82"/>
      <c r="T41" s="82"/>
      <c r="U41" s="82"/>
      <c r="V41" s="82"/>
      <c r="X41" s="82"/>
      <c r="Y41" s="82"/>
      <c r="AB41" s="34"/>
      <c r="AC41" s="34"/>
    </row>
    <row r="42" spans="1:29" s="24" customFormat="1">
      <c r="B42" s="104"/>
      <c r="P42" s="170"/>
      <c r="Q42" s="171"/>
      <c r="R42" s="82"/>
      <c r="S42" s="82"/>
      <c r="T42" s="82"/>
      <c r="U42" s="82"/>
      <c r="V42" s="82"/>
      <c r="X42" s="82"/>
      <c r="Y42" s="82"/>
      <c r="AB42" s="34"/>
      <c r="AC42" s="34"/>
    </row>
    <row r="43" spans="1:29" s="24" customFormat="1">
      <c r="B43" s="104"/>
      <c r="P43" s="170"/>
      <c r="Q43" s="171"/>
      <c r="R43" s="82"/>
      <c r="S43" s="82"/>
      <c r="T43" s="82"/>
      <c r="U43" s="82"/>
      <c r="V43" s="82"/>
      <c r="X43" s="82"/>
      <c r="Y43" s="82"/>
      <c r="AB43" s="34"/>
      <c r="AC43" s="34"/>
    </row>
    <row r="44" spans="1:29" s="24" customFormat="1">
      <c r="B44" s="104"/>
      <c r="P44" s="170"/>
      <c r="Q44" s="171"/>
      <c r="R44" s="82"/>
      <c r="S44" s="82"/>
      <c r="T44" s="82"/>
      <c r="U44" s="82"/>
      <c r="V44" s="82"/>
      <c r="X44" s="82"/>
      <c r="Y44" s="82"/>
      <c r="AB44" s="34"/>
      <c r="AC44" s="34"/>
    </row>
    <row r="45" spans="1:29" s="24" customFormat="1">
      <c r="B45" s="104"/>
      <c r="P45" s="170"/>
      <c r="Q45" s="171"/>
      <c r="R45" s="82"/>
      <c r="S45" s="82"/>
      <c r="T45" s="82"/>
      <c r="U45" s="82"/>
      <c r="V45" s="82"/>
      <c r="X45" s="82"/>
      <c r="Y45" s="82"/>
      <c r="AB45" s="34"/>
      <c r="AC45" s="34"/>
    </row>
    <row r="46" spans="1:29" s="24" customFormat="1">
      <c r="B46" s="104"/>
      <c r="P46" s="170"/>
      <c r="Q46" s="171"/>
      <c r="R46" s="82"/>
      <c r="S46" s="82"/>
      <c r="T46" s="82"/>
      <c r="U46" s="82"/>
      <c r="V46" s="82"/>
      <c r="X46" s="82"/>
      <c r="Y46" s="82"/>
      <c r="AB46" s="34"/>
      <c r="AC46" s="34"/>
    </row>
    <row r="47" spans="1:29" s="24" customFormat="1">
      <c r="B47" s="104"/>
      <c r="P47" s="170"/>
      <c r="Q47" s="171"/>
      <c r="R47" s="82"/>
      <c r="S47" s="82"/>
      <c r="T47" s="82"/>
      <c r="U47" s="82"/>
      <c r="V47" s="82"/>
      <c r="X47" s="82"/>
      <c r="Y47" s="82"/>
      <c r="AB47" s="34"/>
      <c r="AC47" s="34"/>
    </row>
    <row r="48" spans="1:29" s="24" customFormat="1">
      <c r="B48" s="104"/>
      <c r="P48" s="170"/>
      <c r="Q48" s="171"/>
      <c r="R48" s="82"/>
      <c r="S48" s="82"/>
      <c r="T48" s="82"/>
      <c r="U48" s="82"/>
      <c r="V48" s="82"/>
      <c r="X48" s="82"/>
      <c r="Y48" s="82"/>
      <c r="AB48" s="34"/>
      <c r="AC48" s="34"/>
    </row>
    <row r="49" spans="2:29" s="24" customFormat="1">
      <c r="B49" s="104"/>
      <c r="P49" s="170"/>
      <c r="Q49" s="171"/>
      <c r="R49" s="82"/>
      <c r="S49" s="82"/>
      <c r="T49" s="82"/>
      <c r="U49" s="82"/>
      <c r="V49" s="82"/>
      <c r="X49" s="82"/>
      <c r="Y49" s="82"/>
      <c r="AB49" s="34"/>
      <c r="AC49" s="34"/>
    </row>
    <row r="50" spans="2:29" s="24" customFormat="1">
      <c r="B50" s="104"/>
      <c r="P50" s="170"/>
      <c r="Q50" s="171"/>
      <c r="R50" s="82"/>
      <c r="S50" s="82"/>
      <c r="T50" s="82"/>
      <c r="U50" s="82"/>
      <c r="V50" s="82"/>
      <c r="X50" s="82"/>
      <c r="Y50" s="82"/>
      <c r="AB50" s="34"/>
      <c r="AC50" s="34"/>
    </row>
    <row r="51" spans="2:29" s="24" customFormat="1">
      <c r="B51" s="104"/>
      <c r="P51" s="170"/>
      <c r="Q51" s="171"/>
      <c r="R51" s="82"/>
      <c r="S51" s="82"/>
      <c r="T51" s="82"/>
      <c r="U51" s="82"/>
      <c r="V51" s="82"/>
      <c r="X51" s="82"/>
      <c r="Y51" s="82"/>
      <c r="AB51" s="34"/>
      <c r="AC51" s="34"/>
    </row>
    <row r="52" spans="2:29" s="24" customFormat="1">
      <c r="B52" s="104"/>
      <c r="P52" s="170"/>
      <c r="Q52" s="171"/>
      <c r="R52" s="82"/>
      <c r="S52" s="82"/>
      <c r="T52" s="82"/>
      <c r="U52" s="82"/>
      <c r="V52" s="82"/>
      <c r="X52" s="82"/>
      <c r="Y52" s="82"/>
      <c r="AB52" s="172"/>
      <c r="AC52" s="34"/>
    </row>
    <row r="53" spans="2:29" s="24" customFormat="1">
      <c r="B53" s="104"/>
      <c r="P53" s="170"/>
      <c r="Q53" s="171"/>
      <c r="R53" s="82"/>
      <c r="S53" s="82"/>
      <c r="T53" s="82"/>
      <c r="U53" s="82"/>
      <c r="V53" s="82"/>
      <c r="X53" s="82"/>
      <c r="Y53" s="82"/>
      <c r="AB53" s="34"/>
      <c r="AC53" s="34"/>
    </row>
    <row r="54" spans="2:29" s="24" customFormat="1">
      <c r="B54" s="104"/>
      <c r="P54" s="170"/>
      <c r="Q54" s="171"/>
      <c r="R54" s="82"/>
      <c r="S54" s="82"/>
      <c r="T54" s="82"/>
      <c r="U54" s="82"/>
      <c r="V54" s="82"/>
      <c r="X54" s="82"/>
      <c r="Y54" s="82"/>
      <c r="AB54" s="34"/>
      <c r="AC54" s="34"/>
    </row>
    <row r="55" spans="2:29" s="24" customFormat="1">
      <c r="B55" s="104"/>
      <c r="P55" s="170"/>
      <c r="Q55" s="171"/>
      <c r="R55" s="82"/>
      <c r="S55" s="82"/>
      <c r="T55" s="82"/>
      <c r="U55" s="82"/>
      <c r="V55" s="82"/>
      <c r="X55" s="82"/>
      <c r="Y55" s="82"/>
      <c r="AB55" s="34"/>
      <c r="AC55" s="34"/>
    </row>
    <row r="56" spans="2:29" s="24" customFormat="1">
      <c r="B56" s="104"/>
      <c r="P56" s="170"/>
      <c r="Q56" s="171"/>
      <c r="R56" s="82"/>
      <c r="S56" s="82"/>
      <c r="T56" s="82"/>
      <c r="U56" s="82"/>
      <c r="V56" s="82"/>
      <c r="X56" s="82"/>
      <c r="Y56" s="82"/>
      <c r="AB56" s="34"/>
      <c r="AC56" s="34"/>
    </row>
    <row r="57" spans="2:29" s="24" customFormat="1">
      <c r="B57" s="104"/>
      <c r="P57" s="170"/>
      <c r="Q57" s="171"/>
      <c r="R57" s="82"/>
      <c r="S57" s="82"/>
      <c r="T57" s="82"/>
      <c r="U57" s="82"/>
      <c r="V57" s="82"/>
      <c r="X57" s="82"/>
      <c r="Y57" s="82"/>
      <c r="AB57" s="34"/>
      <c r="AC57" s="34"/>
    </row>
    <row r="58" spans="2:29" s="24" customFormat="1">
      <c r="B58" s="104"/>
      <c r="P58" s="170"/>
      <c r="Q58" s="171"/>
      <c r="R58" s="82"/>
      <c r="S58" s="82"/>
      <c r="T58" s="82"/>
      <c r="U58" s="82"/>
      <c r="V58" s="82"/>
      <c r="X58" s="82"/>
      <c r="Y58" s="82"/>
      <c r="AB58" s="34"/>
      <c r="AC58" s="34"/>
    </row>
    <row r="59" spans="2:29" s="24" customFormat="1">
      <c r="B59" s="104"/>
      <c r="P59" s="170"/>
      <c r="Q59" s="171"/>
      <c r="R59" s="82"/>
      <c r="S59" s="82"/>
      <c r="T59" s="82"/>
      <c r="U59" s="82"/>
      <c r="V59" s="82"/>
      <c r="X59" s="82"/>
      <c r="Y59" s="82"/>
      <c r="AB59" s="34"/>
      <c r="AC59" s="34"/>
    </row>
    <row r="60" spans="2:29" s="24" customFormat="1">
      <c r="B60" s="104"/>
      <c r="P60" s="170"/>
      <c r="Q60" s="171"/>
      <c r="R60" s="82"/>
      <c r="S60" s="82"/>
      <c r="T60" s="82"/>
      <c r="U60" s="82"/>
      <c r="V60" s="82"/>
      <c r="X60" s="82"/>
      <c r="Y60" s="82"/>
      <c r="AB60" s="34"/>
      <c r="AC60" s="34"/>
    </row>
    <row r="61" spans="2:29" s="24" customFormat="1">
      <c r="B61" s="104"/>
      <c r="P61" s="170"/>
      <c r="Q61" s="171"/>
      <c r="R61" s="82"/>
      <c r="S61" s="82"/>
      <c r="T61" s="82"/>
      <c r="U61" s="82"/>
      <c r="V61" s="82"/>
      <c r="X61" s="82"/>
      <c r="Y61" s="82"/>
      <c r="AB61" s="34"/>
      <c r="AC61" s="34"/>
    </row>
    <row r="62" spans="2:29" s="24" customFormat="1">
      <c r="B62" s="104"/>
      <c r="P62" s="170"/>
      <c r="Q62" s="171"/>
      <c r="R62" s="82"/>
      <c r="S62" s="82"/>
      <c r="T62" s="82"/>
      <c r="U62" s="82"/>
      <c r="V62" s="82"/>
      <c r="X62" s="82"/>
      <c r="Y62" s="82"/>
      <c r="AB62" s="34"/>
      <c r="AC62" s="34"/>
    </row>
    <row r="63" spans="2:29" s="24" customFormat="1">
      <c r="B63" s="104"/>
      <c r="P63" s="170"/>
      <c r="Q63" s="171"/>
      <c r="R63" s="82"/>
      <c r="S63" s="82"/>
      <c r="T63" s="82"/>
      <c r="U63" s="82"/>
      <c r="V63" s="82"/>
      <c r="X63" s="82"/>
      <c r="Y63" s="82"/>
      <c r="AB63" s="34"/>
      <c r="AC63" s="34"/>
    </row>
    <row r="64" spans="2:29" s="24" customFormat="1">
      <c r="B64" s="104"/>
      <c r="P64" s="170"/>
      <c r="Q64" s="171"/>
      <c r="R64" s="82"/>
      <c r="S64" s="82"/>
      <c r="T64" s="82"/>
      <c r="U64" s="82"/>
      <c r="V64" s="82"/>
      <c r="X64" s="82"/>
      <c r="Y64" s="82"/>
      <c r="AB64" s="34"/>
      <c r="AC64" s="34"/>
    </row>
    <row r="65" spans="2:29" s="24" customFormat="1">
      <c r="B65" s="104"/>
      <c r="P65" s="170"/>
      <c r="Q65" s="171"/>
      <c r="R65" s="82"/>
      <c r="S65" s="82"/>
      <c r="T65" s="82"/>
      <c r="U65" s="82"/>
      <c r="V65" s="82"/>
      <c r="X65" s="82"/>
      <c r="Y65" s="82"/>
      <c r="AB65" s="34"/>
      <c r="AC65" s="34"/>
    </row>
    <row r="66" spans="2:29" s="24" customFormat="1">
      <c r="B66" s="104"/>
      <c r="P66" s="170"/>
      <c r="Q66" s="171"/>
      <c r="R66" s="82"/>
      <c r="S66" s="82"/>
      <c r="T66" s="82"/>
      <c r="U66" s="82"/>
      <c r="V66" s="82"/>
      <c r="X66" s="82"/>
      <c r="Y66" s="82"/>
      <c r="AB66" s="34"/>
      <c r="AC66" s="34"/>
    </row>
    <row r="67" spans="2:29" s="24" customFormat="1">
      <c r="B67" s="104"/>
      <c r="P67" s="170"/>
      <c r="Q67" s="171"/>
      <c r="R67" s="82"/>
      <c r="S67" s="82"/>
      <c r="T67" s="82"/>
      <c r="U67" s="82"/>
      <c r="V67" s="82"/>
      <c r="X67" s="82"/>
      <c r="Y67" s="82"/>
      <c r="AB67" s="34"/>
      <c r="AC67" s="34"/>
    </row>
    <row r="68" spans="2:29" s="24" customFormat="1">
      <c r="B68" s="104"/>
      <c r="P68" s="170"/>
      <c r="Q68" s="171"/>
      <c r="R68" s="82"/>
      <c r="S68" s="82"/>
      <c r="T68" s="82"/>
      <c r="U68" s="82"/>
      <c r="V68" s="82"/>
      <c r="X68" s="82"/>
      <c r="Y68" s="82"/>
      <c r="AB68" s="34"/>
      <c r="AC68" s="34"/>
    </row>
    <row r="69" spans="2:29" s="24" customFormat="1">
      <c r="B69" s="104"/>
      <c r="P69" s="170"/>
      <c r="Q69" s="171"/>
      <c r="R69" s="82"/>
      <c r="S69" s="82"/>
      <c r="T69" s="82"/>
      <c r="U69" s="82"/>
      <c r="V69" s="82"/>
      <c r="X69" s="82"/>
      <c r="Y69" s="82"/>
      <c r="AB69" s="34"/>
      <c r="AC69" s="34"/>
    </row>
    <row r="70" spans="2:29" s="24" customFormat="1">
      <c r="B70" s="104"/>
      <c r="P70" s="170"/>
      <c r="Q70" s="171"/>
      <c r="R70" s="82"/>
      <c r="S70" s="82"/>
      <c r="T70" s="82"/>
      <c r="U70" s="82"/>
      <c r="V70" s="82"/>
      <c r="X70" s="82"/>
      <c r="Y70" s="82"/>
      <c r="AB70" s="34"/>
      <c r="AC70" s="34"/>
    </row>
    <row r="71" spans="2:29" s="24" customFormat="1">
      <c r="B71" s="104"/>
      <c r="P71" s="170"/>
      <c r="Q71" s="171"/>
      <c r="R71" s="82"/>
      <c r="S71" s="82"/>
      <c r="T71" s="82"/>
      <c r="U71" s="82"/>
      <c r="V71" s="82"/>
      <c r="X71" s="82"/>
      <c r="Y71" s="82"/>
      <c r="AB71" s="34"/>
      <c r="AC71" s="34"/>
    </row>
    <row r="72" spans="2:29" s="24" customFormat="1">
      <c r="B72" s="104"/>
      <c r="P72" s="170"/>
      <c r="Q72" s="171"/>
      <c r="R72" s="82"/>
      <c r="S72" s="82"/>
      <c r="T72" s="82"/>
      <c r="U72" s="82"/>
      <c r="V72" s="82"/>
      <c r="X72" s="82"/>
      <c r="Y72" s="82"/>
      <c r="AB72" s="34"/>
      <c r="AC72" s="34"/>
    </row>
    <row r="73" spans="2:29" s="24" customFormat="1">
      <c r="B73" s="104"/>
      <c r="P73" s="170"/>
      <c r="Q73" s="171"/>
      <c r="R73" s="82"/>
      <c r="S73" s="82"/>
      <c r="T73" s="82"/>
      <c r="U73" s="82"/>
      <c r="V73" s="82"/>
      <c r="X73" s="82"/>
      <c r="Y73" s="82"/>
      <c r="AB73" s="34"/>
      <c r="AC73" s="34"/>
    </row>
    <row r="74" spans="2:29" s="24" customFormat="1">
      <c r="B74" s="104"/>
      <c r="P74" s="170"/>
      <c r="Q74" s="171"/>
      <c r="R74" s="82"/>
      <c r="S74" s="82"/>
      <c r="T74" s="82"/>
      <c r="U74" s="82"/>
      <c r="V74" s="82"/>
      <c r="X74" s="82"/>
      <c r="Y74" s="82"/>
      <c r="AB74" s="34"/>
      <c r="AC74" s="34"/>
    </row>
    <row r="75" spans="2:29" s="24" customFormat="1">
      <c r="B75" s="104"/>
      <c r="P75" s="170"/>
      <c r="Q75" s="171"/>
      <c r="R75" s="82"/>
      <c r="S75" s="82"/>
      <c r="T75" s="82"/>
      <c r="U75" s="82"/>
      <c r="V75" s="82"/>
      <c r="X75" s="82"/>
      <c r="Y75" s="82"/>
      <c r="AB75" s="34"/>
      <c r="AC75" s="34"/>
    </row>
    <row r="76" spans="2:29" s="24" customFormat="1">
      <c r="B76" s="104"/>
      <c r="P76" s="170"/>
      <c r="Q76" s="171"/>
      <c r="R76" s="82"/>
      <c r="S76" s="82"/>
      <c r="T76" s="82"/>
      <c r="U76" s="82"/>
      <c r="V76" s="82"/>
      <c r="X76" s="82"/>
      <c r="Y76" s="82"/>
      <c r="AB76" s="34"/>
      <c r="AC76" s="34"/>
    </row>
    <row r="77" spans="2:29" s="24" customFormat="1">
      <c r="B77" s="104"/>
      <c r="P77" s="170"/>
      <c r="Q77" s="171"/>
      <c r="R77" s="82"/>
      <c r="S77" s="82"/>
      <c r="T77" s="82"/>
      <c r="U77" s="82"/>
      <c r="V77" s="82"/>
      <c r="X77" s="82"/>
      <c r="Y77" s="82"/>
      <c r="AB77" s="34"/>
      <c r="AC77" s="34"/>
    </row>
    <row r="78" spans="2:29" s="24" customFormat="1">
      <c r="B78" s="104"/>
      <c r="P78" s="170"/>
      <c r="Q78" s="171"/>
      <c r="R78" s="82"/>
      <c r="S78" s="82"/>
      <c r="T78" s="82"/>
      <c r="U78" s="82"/>
      <c r="V78" s="82"/>
      <c r="X78" s="82"/>
      <c r="Y78" s="82"/>
      <c r="AB78" s="34"/>
      <c r="AC78" s="34"/>
    </row>
    <row r="79" spans="2:29" s="24" customFormat="1">
      <c r="B79" s="104"/>
      <c r="P79" s="170"/>
      <c r="Q79" s="171"/>
      <c r="R79" s="82"/>
      <c r="S79" s="82"/>
      <c r="T79" s="82"/>
      <c r="U79" s="82"/>
      <c r="V79" s="82"/>
      <c r="X79" s="82"/>
      <c r="Y79" s="82"/>
      <c r="AB79" s="34"/>
      <c r="AC79" s="34"/>
    </row>
    <row r="80" spans="2:29" s="24" customFormat="1">
      <c r="B80" s="104"/>
      <c r="P80" s="170"/>
      <c r="Q80" s="171"/>
      <c r="R80" s="82"/>
      <c r="S80" s="82"/>
      <c r="T80" s="82"/>
      <c r="U80" s="82"/>
      <c r="V80" s="82"/>
      <c r="X80" s="82"/>
      <c r="Y80" s="82"/>
      <c r="AB80" s="34"/>
      <c r="AC80" s="34"/>
    </row>
    <row r="81" spans="2:29" s="24" customFormat="1">
      <c r="B81" s="104"/>
      <c r="P81" s="170"/>
      <c r="Q81" s="171"/>
      <c r="R81" s="82"/>
      <c r="S81" s="82"/>
      <c r="T81" s="82"/>
      <c r="U81" s="82"/>
      <c r="V81" s="82"/>
      <c r="X81" s="82"/>
      <c r="Y81" s="82"/>
      <c r="AB81" s="34"/>
      <c r="AC81" s="34"/>
    </row>
    <row r="82" spans="2:29" s="24" customFormat="1">
      <c r="B82" s="104"/>
      <c r="P82" s="170"/>
      <c r="Q82" s="171"/>
      <c r="R82" s="82"/>
      <c r="S82" s="82"/>
      <c r="T82" s="82"/>
      <c r="U82" s="82"/>
      <c r="V82" s="82"/>
      <c r="X82" s="82"/>
      <c r="Y82" s="82"/>
      <c r="AB82" s="34"/>
      <c r="AC82" s="34"/>
    </row>
    <row r="83" spans="2:29" s="24" customFormat="1">
      <c r="B83" s="104"/>
      <c r="P83" s="170"/>
      <c r="Q83" s="171"/>
      <c r="R83" s="82"/>
      <c r="S83" s="82"/>
      <c r="T83" s="82"/>
      <c r="U83" s="82"/>
      <c r="V83" s="82"/>
      <c r="X83" s="82"/>
      <c r="Y83" s="82"/>
      <c r="AB83" s="34"/>
      <c r="AC83" s="34"/>
    </row>
    <row r="84" spans="2:29" s="24" customFormat="1">
      <c r="B84" s="104"/>
      <c r="P84" s="170"/>
      <c r="Q84" s="171"/>
      <c r="R84" s="82"/>
      <c r="S84" s="82"/>
      <c r="T84" s="82"/>
      <c r="U84" s="82"/>
      <c r="V84" s="82"/>
      <c r="X84" s="82"/>
      <c r="Y84" s="82"/>
      <c r="AB84" s="34"/>
      <c r="AC84" s="34"/>
    </row>
    <row r="85" spans="2:29" s="24" customFormat="1">
      <c r="B85" s="104"/>
      <c r="P85" s="170"/>
      <c r="Q85" s="171"/>
      <c r="R85" s="82"/>
      <c r="S85" s="82"/>
      <c r="T85" s="82"/>
      <c r="U85" s="82"/>
      <c r="V85" s="82"/>
      <c r="X85" s="82"/>
      <c r="Y85" s="82"/>
      <c r="AB85" s="34"/>
      <c r="AC85" s="34"/>
    </row>
    <row r="86" spans="2:29" s="24" customFormat="1">
      <c r="B86" s="104"/>
      <c r="P86" s="170"/>
      <c r="Q86" s="171"/>
      <c r="R86" s="82"/>
      <c r="S86" s="82"/>
      <c r="T86" s="82"/>
      <c r="U86" s="82"/>
      <c r="V86" s="82"/>
      <c r="X86" s="82"/>
      <c r="Y86" s="82"/>
      <c r="AB86" s="34"/>
      <c r="AC86" s="34"/>
    </row>
    <row r="87" spans="2:29" s="24" customFormat="1">
      <c r="B87" s="104"/>
      <c r="P87" s="170"/>
      <c r="Q87" s="171"/>
      <c r="R87" s="82"/>
      <c r="S87" s="82"/>
      <c r="T87" s="82"/>
      <c r="U87" s="82"/>
      <c r="V87" s="82"/>
      <c r="X87" s="82"/>
      <c r="Y87" s="82"/>
      <c r="AB87" s="34"/>
      <c r="AC87" s="34"/>
    </row>
    <row r="88" spans="2:29" s="24" customFormat="1">
      <c r="B88" s="104"/>
      <c r="P88" s="170"/>
      <c r="Q88" s="171"/>
      <c r="R88" s="82"/>
      <c r="S88" s="82"/>
      <c r="T88" s="82"/>
      <c r="U88" s="82"/>
      <c r="V88" s="82"/>
      <c r="X88" s="82"/>
      <c r="Y88" s="82"/>
      <c r="AB88" s="34"/>
      <c r="AC88" s="34"/>
    </row>
    <row r="89" spans="2:29" s="24" customFormat="1">
      <c r="B89" s="104"/>
      <c r="P89" s="170"/>
      <c r="Q89" s="171"/>
      <c r="R89" s="82"/>
      <c r="S89" s="82"/>
      <c r="T89" s="82"/>
      <c r="U89" s="82"/>
      <c r="V89" s="82"/>
      <c r="X89" s="82"/>
      <c r="Y89" s="82"/>
      <c r="AB89" s="34"/>
      <c r="AC89" s="34"/>
    </row>
    <row r="90" spans="2:29" s="24" customFormat="1">
      <c r="B90" s="104"/>
      <c r="P90" s="170"/>
      <c r="Q90" s="171"/>
      <c r="R90" s="82"/>
      <c r="S90" s="82"/>
      <c r="T90" s="82"/>
      <c r="U90" s="82"/>
      <c r="V90" s="82"/>
      <c r="X90" s="82"/>
      <c r="Y90" s="82"/>
      <c r="AB90" s="34"/>
      <c r="AC90" s="34"/>
    </row>
    <row r="91" spans="2:29" s="24" customFormat="1">
      <c r="B91" s="104"/>
      <c r="P91" s="170"/>
      <c r="Q91" s="171"/>
      <c r="R91" s="82"/>
      <c r="S91" s="82"/>
      <c r="T91" s="82"/>
      <c r="U91" s="82"/>
      <c r="V91" s="82"/>
      <c r="X91" s="82"/>
      <c r="Y91" s="82"/>
      <c r="AB91" s="34"/>
      <c r="AC91" s="34"/>
    </row>
    <row r="92" spans="2:29" s="24" customFormat="1">
      <c r="B92" s="104"/>
      <c r="P92" s="170"/>
      <c r="Q92" s="171"/>
      <c r="R92" s="82"/>
      <c r="S92" s="82"/>
      <c r="T92" s="82"/>
      <c r="U92" s="82"/>
      <c r="V92" s="82"/>
      <c r="X92" s="82"/>
      <c r="Y92" s="82"/>
      <c r="AB92" s="172"/>
      <c r="AC92" s="34"/>
    </row>
    <row r="93" spans="2:29" s="24" customFormat="1">
      <c r="B93" s="104"/>
      <c r="P93" s="170"/>
      <c r="Q93" s="171"/>
      <c r="R93" s="82"/>
      <c r="S93" s="82"/>
      <c r="T93" s="82"/>
      <c r="U93" s="82"/>
      <c r="V93" s="82"/>
      <c r="X93" s="82"/>
      <c r="Y93" s="82"/>
      <c r="AB93" s="34"/>
      <c r="AC93" s="34"/>
    </row>
    <row r="94" spans="2:29" s="24" customFormat="1">
      <c r="B94" s="104"/>
      <c r="P94" s="170"/>
      <c r="Q94" s="171"/>
      <c r="R94" s="82"/>
      <c r="S94" s="82"/>
      <c r="T94" s="82"/>
      <c r="U94" s="82"/>
      <c r="V94" s="82"/>
      <c r="X94" s="82"/>
      <c r="Y94" s="82"/>
      <c r="AB94" s="34"/>
      <c r="AC94" s="34"/>
    </row>
    <row r="95" spans="2:29" s="24" customFormat="1">
      <c r="B95" s="104"/>
      <c r="P95" s="170"/>
      <c r="Q95" s="171"/>
      <c r="R95" s="82"/>
      <c r="S95" s="82"/>
      <c r="T95" s="82"/>
      <c r="U95" s="82"/>
      <c r="V95" s="82"/>
      <c r="X95" s="82"/>
      <c r="Y95" s="82"/>
      <c r="AB95" s="34"/>
      <c r="AC95" s="34"/>
    </row>
    <row r="96" spans="2:29" s="24" customFormat="1">
      <c r="B96" s="104"/>
      <c r="P96" s="170"/>
      <c r="Q96" s="171"/>
      <c r="R96" s="82"/>
      <c r="S96" s="82"/>
      <c r="T96" s="82"/>
      <c r="U96" s="82"/>
      <c r="V96" s="82"/>
      <c r="X96" s="82"/>
      <c r="Y96" s="82"/>
      <c r="AB96" s="34"/>
      <c r="AC96" s="34"/>
    </row>
    <row r="97" spans="2:29" s="24" customFormat="1">
      <c r="B97" s="104"/>
      <c r="P97" s="170"/>
      <c r="Q97" s="171"/>
      <c r="R97" s="82"/>
      <c r="S97" s="82"/>
      <c r="T97" s="82"/>
      <c r="U97" s="82"/>
      <c r="V97" s="82"/>
      <c r="X97" s="82"/>
      <c r="Y97" s="82"/>
      <c r="AB97" s="34"/>
      <c r="AC97" s="34"/>
    </row>
    <row r="98" spans="2:29" s="24" customFormat="1">
      <c r="B98" s="104"/>
      <c r="P98" s="170"/>
      <c r="Q98" s="171"/>
      <c r="R98" s="82"/>
      <c r="S98" s="82"/>
      <c r="T98" s="82"/>
      <c r="U98" s="82"/>
      <c r="V98" s="82"/>
      <c r="X98" s="82"/>
      <c r="Y98" s="82"/>
      <c r="AB98" s="34"/>
      <c r="AC98" s="34"/>
    </row>
    <row r="99" spans="2:29" s="24" customFormat="1">
      <c r="B99" s="104"/>
      <c r="P99" s="170"/>
      <c r="Q99" s="171"/>
      <c r="R99" s="82"/>
      <c r="S99" s="82"/>
      <c r="T99" s="82"/>
      <c r="U99" s="82"/>
      <c r="V99" s="82"/>
      <c r="X99" s="82"/>
      <c r="Y99" s="82"/>
      <c r="AB99" s="34"/>
      <c r="AC99" s="34"/>
    </row>
    <row r="100" spans="2:29" s="24" customFormat="1">
      <c r="B100" s="104"/>
      <c r="P100" s="170"/>
      <c r="Q100" s="171"/>
      <c r="R100" s="82"/>
      <c r="S100" s="82"/>
      <c r="T100" s="82"/>
      <c r="U100" s="82"/>
      <c r="V100" s="82"/>
      <c r="X100" s="82"/>
      <c r="Y100" s="82"/>
      <c r="AB100" s="34"/>
      <c r="AC100" s="34"/>
    </row>
    <row r="101" spans="2:29" s="24" customFormat="1">
      <c r="B101" s="104"/>
      <c r="P101" s="170"/>
      <c r="Q101" s="171"/>
      <c r="R101" s="82"/>
      <c r="S101" s="82"/>
      <c r="T101" s="82"/>
      <c r="U101" s="82"/>
      <c r="V101" s="82"/>
      <c r="X101" s="82"/>
      <c r="Y101" s="82"/>
      <c r="AB101" s="34"/>
      <c r="AC101" s="34"/>
    </row>
    <row r="102" spans="2:29" s="24" customFormat="1">
      <c r="B102" s="104"/>
      <c r="P102" s="170"/>
      <c r="Q102" s="171"/>
      <c r="R102" s="82"/>
      <c r="S102" s="82"/>
      <c r="T102" s="82"/>
      <c r="U102" s="82"/>
      <c r="V102" s="82"/>
      <c r="X102" s="82"/>
      <c r="Y102" s="82"/>
      <c r="AB102" s="34"/>
      <c r="AC102" s="34"/>
    </row>
    <row r="103" spans="2:29" s="24" customFormat="1">
      <c r="B103" s="104"/>
      <c r="P103" s="170"/>
      <c r="Q103" s="171"/>
      <c r="R103" s="82"/>
      <c r="S103" s="82"/>
      <c r="T103" s="82"/>
      <c r="U103" s="82"/>
      <c r="V103" s="82"/>
      <c r="X103" s="82"/>
      <c r="Y103" s="82"/>
      <c r="AB103" s="34"/>
      <c r="AC103" s="34"/>
    </row>
    <row r="104" spans="2:29" s="24" customFormat="1">
      <c r="B104" s="104"/>
      <c r="P104" s="170"/>
      <c r="Q104" s="171"/>
      <c r="R104" s="82"/>
      <c r="S104" s="82"/>
      <c r="T104" s="82"/>
      <c r="U104" s="82"/>
      <c r="V104" s="82"/>
      <c r="X104" s="82"/>
      <c r="Y104" s="82"/>
      <c r="AB104" s="34"/>
      <c r="AC104" s="34"/>
    </row>
    <row r="105" spans="2:29" s="24" customFormat="1">
      <c r="B105" s="104"/>
      <c r="P105" s="170"/>
      <c r="Q105" s="171"/>
      <c r="R105" s="82"/>
      <c r="S105" s="82"/>
      <c r="T105" s="82"/>
      <c r="U105" s="82"/>
      <c r="V105" s="82"/>
      <c r="X105" s="82"/>
      <c r="Y105" s="82"/>
      <c r="AB105" s="34"/>
      <c r="AC105" s="34"/>
    </row>
    <row r="106" spans="2:29" s="24" customFormat="1">
      <c r="B106" s="104"/>
      <c r="P106" s="170"/>
      <c r="Q106" s="171"/>
      <c r="R106" s="82"/>
      <c r="S106" s="82"/>
      <c r="T106" s="82"/>
      <c r="U106" s="82"/>
      <c r="V106" s="82"/>
      <c r="X106" s="82"/>
      <c r="Y106" s="82"/>
      <c r="AB106" s="34"/>
      <c r="AC106" s="34"/>
    </row>
    <row r="107" spans="2:29" s="24" customFormat="1">
      <c r="B107" s="104"/>
      <c r="P107" s="170"/>
      <c r="Q107" s="171"/>
      <c r="R107" s="82"/>
      <c r="S107" s="82"/>
      <c r="T107" s="82"/>
      <c r="U107" s="82"/>
      <c r="V107" s="82"/>
      <c r="X107" s="82"/>
      <c r="Y107" s="82"/>
      <c r="AB107" s="34"/>
      <c r="AC107" s="34"/>
    </row>
    <row r="108" spans="2:29" s="24" customFormat="1">
      <c r="B108" s="104"/>
      <c r="P108" s="170"/>
      <c r="Q108" s="171"/>
      <c r="R108" s="82"/>
      <c r="S108" s="82"/>
      <c r="T108" s="82"/>
      <c r="U108" s="82"/>
      <c r="V108" s="82"/>
      <c r="X108" s="82"/>
      <c r="Y108" s="82"/>
      <c r="AB108" s="34"/>
      <c r="AC108" s="34"/>
    </row>
    <row r="109" spans="2:29" s="24" customFormat="1">
      <c r="B109" s="104"/>
      <c r="P109" s="170"/>
      <c r="Q109" s="171"/>
      <c r="R109" s="82"/>
      <c r="S109" s="82"/>
      <c r="T109" s="82"/>
      <c r="U109" s="82"/>
      <c r="V109" s="82"/>
      <c r="X109" s="82"/>
      <c r="Y109" s="82"/>
      <c r="AB109" s="34"/>
      <c r="AC109" s="34"/>
    </row>
    <row r="110" spans="2:29" s="24" customFormat="1">
      <c r="B110" s="104"/>
      <c r="P110" s="170"/>
      <c r="Q110" s="171"/>
      <c r="R110" s="82"/>
      <c r="S110" s="82"/>
      <c r="T110" s="82"/>
      <c r="U110" s="82"/>
      <c r="V110" s="82"/>
      <c r="X110" s="82"/>
      <c r="Y110" s="82"/>
      <c r="AB110" s="34"/>
      <c r="AC110" s="34"/>
    </row>
    <row r="111" spans="2:29" s="24" customFormat="1">
      <c r="B111" s="104"/>
      <c r="P111" s="170"/>
      <c r="Q111" s="171"/>
      <c r="R111" s="82"/>
      <c r="S111" s="82"/>
      <c r="T111" s="82"/>
      <c r="U111" s="82"/>
      <c r="V111" s="82"/>
      <c r="X111" s="82"/>
      <c r="Y111" s="82"/>
      <c r="AB111" s="34"/>
      <c r="AC111" s="34"/>
    </row>
    <row r="112" spans="2:29" s="24" customFormat="1">
      <c r="B112" s="104"/>
      <c r="P112" s="170"/>
      <c r="Q112" s="171"/>
      <c r="R112" s="82"/>
      <c r="S112" s="82"/>
      <c r="T112" s="82"/>
      <c r="U112" s="82"/>
      <c r="V112" s="82"/>
      <c r="X112" s="82"/>
      <c r="Y112" s="82"/>
      <c r="AB112" s="34"/>
      <c r="AC112" s="34"/>
    </row>
    <row r="113" spans="2:29" s="24" customFormat="1">
      <c r="B113" s="104"/>
      <c r="P113" s="170"/>
      <c r="Q113" s="171"/>
      <c r="R113" s="82"/>
      <c r="S113" s="82"/>
      <c r="T113" s="82"/>
      <c r="U113" s="82"/>
      <c r="V113" s="82"/>
      <c r="X113" s="82"/>
      <c r="Y113" s="82"/>
      <c r="AB113" s="34"/>
      <c r="AC113" s="34"/>
    </row>
    <row r="114" spans="2:29" s="24" customFormat="1">
      <c r="B114" s="104"/>
      <c r="P114" s="170"/>
      <c r="Q114" s="171"/>
      <c r="R114" s="82"/>
      <c r="S114" s="82"/>
      <c r="T114" s="82"/>
      <c r="U114" s="82"/>
      <c r="V114" s="82"/>
      <c r="X114" s="82"/>
      <c r="Y114" s="82"/>
      <c r="AB114" s="34"/>
      <c r="AC114" s="34"/>
    </row>
    <row r="115" spans="2:29" s="24" customFormat="1">
      <c r="B115" s="104"/>
      <c r="P115" s="170"/>
      <c r="Q115" s="171"/>
      <c r="R115" s="82"/>
      <c r="S115" s="82"/>
      <c r="T115" s="82"/>
      <c r="U115" s="82"/>
      <c r="V115" s="82"/>
      <c r="X115" s="82"/>
      <c r="Y115" s="82"/>
      <c r="AB115" s="34"/>
      <c r="AC115" s="34"/>
    </row>
    <row r="116" spans="2:29" s="24" customFormat="1">
      <c r="B116" s="104"/>
      <c r="P116" s="170"/>
      <c r="Q116" s="171"/>
      <c r="R116" s="82"/>
      <c r="S116" s="82"/>
      <c r="T116" s="82"/>
      <c r="U116" s="82"/>
      <c r="V116" s="82"/>
      <c r="X116" s="82"/>
      <c r="Y116" s="82"/>
      <c r="AB116" s="34"/>
      <c r="AC116" s="34"/>
    </row>
    <row r="117" spans="2:29" s="24" customFormat="1">
      <c r="B117" s="104"/>
      <c r="P117" s="170"/>
      <c r="Q117" s="171"/>
      <c r="R117" s="82"/>
      <c r="S117" s="82"/>
      <c r="T117" s="82"/>
      <c r="U117" s="82"/>
      <c r="V117" s="82"/>
      <c r="X117" s="82"/>
      <c r="Y117" s="82"/>
      <c r="AB117" s="34"/>
      <c r="AC117" s="34"/>
    </row>
    <row r="118" spans="2:29" s="24" customFormat="1">
      <c r="B118" s="104"/>
      <c r="P118" s="170"/>
      <c r="Q118" s="171"/>
      <c r="R118" s="82"/>
      <c r="S118" s="82"/>
      <c r="T118" s="82"/>
      <c r="U118" s="82"/>
      <c r="V118" s="82"/>
      <c r="X118" s="82"/>
      <c r="Y118" s="82"/>
      <c r="AB118" s="34"/>
      <c r="AC118" s="34"/>
    </row>
    <row r="119" spans="2:29" s="24" customFormat="1">
      <c r="B119" s="104"/>
      <c r="P119" s="170"/>
      <c r="Q119" s="171"/>
      <c r="R119" s="82"/>
      <c r="S119" s="82"/>
      <c r="T119" s="82"/>
      <c r="U119" s="82"/>
      <c r="V119" s="82"/>
      <c r="X119" s="82"/>
      <c r="Y119" s="82"/>
      <c r="AB119" s="34"/>
      <c r="AC119" s="34"/>
    </row>
    <row r="120" spans="2:29" s="24" customFormat="1">
      <c r="B120" s="104"/>
      <c r="P120" s="170"/>
      <c r="Q120" s="171"/>
      <c r="R120" s="82"/>
      <c r="S120" s="82"/>
      <c r="T120" s="82"/>
      <c r="U120" s="82"/>
      <c r="V120" s="82"/>
      <c r="X120" s="82"/>
      <c r="Y120" s="82"/>
      <c r="AB120" s="34"/>
      <c r="AC120" s="34"/>
    </row>
    <row r="121" spans="2:29" s="24" customFormat="1">
      <c r="B121" s="104"/>
      <c r="P121" s="170"/>
      <c r="Q121" s="171"/>
      <c r="R121" s="82"/>
      <c r="S121" s="82"/>
      <c r="T121" s="82"/>
      <c r="U121" s="82"/>
      <c r="V121" s="82"/>
      <c r="X121" s="82"/>
      <c r="Y121" s="82"/>
      <c r="AB121" s="34"/>
      <c r="AC121" s="34"/>
    </row>
    <row r="122" spans="2:29" s="24" customFormat="1">
      <c r="B122" s="104"/>
      <c r="P122" s="170"/>
      <c r="Q122" s="171"/>
      <c r="R122" s="82"/>
      <c r="S122" s="82"/>
      <c r="T122" s="82"/>
      <c r="U122" s="82"/>
      <c r="V122" s="82"/>
      <c r="X122" s="82"/>
      <c r="Y122" s="82"/>
      <c r="AB122" s="34"/>
      <c r="AC122" s="34"/>
    </row>
    <row r="123" spans="2:29" s="24" customFormat="1">
      <c r="B123" s="104"/>
      <c r="P123" s="170"/>
      <c r="Q123" s="171"/>
      <c r="R123" s="82"/>
      <c r="S123" s="82"/>
      <c r="T123" s="82"/>
      <c r="U123" s="82"/>
      <c r="V123" s="82"/>
      <c r="X123" s="82"/>
      <c r="Y123" s="82"/>
      <c r="AB123" s="34"/>
      <c r="AC123" s="34"/>
    </row>
    <row r="124" spans="2:29" s="24" customFormat="1">
      <c r="B124" s="104"/>
      <c r="P124" s="170"/>
      <c r="Q124" s="171"/>
      <c r="R124" s="82"/>
      <c r="S124" s="82"/>
      <c r="T124" s="82"/>
      <c r="U124" s="82"/>
      <c r="V124" s="82"/>
      <c r="X124" s="82"/>
      <c r="Y124" s="82"/>
      <c r="AB124" s="34"/>
      <c r="AC124" s="34"/>
    </row>
    <row r="125" spans="2:29" s="24" customFormat="1">
      <c r="B125" s="104"/>
      <c r="P125" s="170"/>
      <c r="Q125" s="171"/>
      <c r="R125" s="82"/>
      <c r="S125" s="82"/>
      <c r="T125" s="82"/>
      <c r="U125" s="82"/>
      <c r="V125" s="82"/>
      <c r="X125" s="82"/>
      <c r="Y125" s="82"/>
      <c r="AB125" s="34"/>
      <c r="AC125" s="34"/>
    </row>
    <row r="126" spans="2:29" s="24" customFormat="1">
      <c r="B126" s="104"/>
      <c r="P126" s="170"/>
      <c r="Q126" s="171"/>
      <c r="R126" s="82"/>
      <c r="S126" s="82"/>
      <c r="T126" s="82"/>
      <c r="U126" s="82"/>
      <c r="V126" s="82"/>
      <c r="X126" s="82"/>
      <c r="Y126" s="82"/>
      <c r="AB126" s="34"/>
      <c r="AC126" s="34"/>
    </row>
    <row r="127" spans="2:29" s="24" customFormat="1">
      <c r="B127" s="104"/>
      <c r="P127" s="170"/>
      <c r="Q127" s="171"/>
      <c r="R127" s="82"/>
      <c r="S127" s="82"/>
      <c r="T127" s="82"/>
      <c r="U127" s="82"/>
      <c r="V127" s="82"/>
      <c r="X127" s="82"/>
      <c r="Y127" s="82"/>
      <c r="AB127" s="34"/>
      <c r="AC127" s="34"/>
    </row>
    <row r="128" spans="2:29" s="24" customFormat="1">
      <c r="B128" s="104"/>
      <c r="P128" s="170"/>
      <c r="Q128" s="171"/>
      <c r="R128" s="82"/>
      <c r="S128" s="82"/>
      <c r="T128" s="82"/>
      <c r="U128" s="82"/>
      <c r="V128" s="82"/>
      <c r="X128" s="82"/>
      <c r="Y128" s="82"/>
      <c r="AB128" s="34"/>
      <c r="AC128" s="34"/>
    </row>
    <row r="129" spans="2:29" s="24" customFormat="1">
      <c r="B129" s="104"/>
      <c r="P129" s="170"/>
      <c r="Q129" s="171"/>
      <c r="R129" s="82"/>
      <c r="S129" s="82"/>
      <c r="T129" s="82"/>
      <c r="U129" s="82"/>
      <c r="V129" s="82"/>
      <c r="X129" s="82"/>
      <c r="Y129" s="82"/>
      <c r="AB129" s="34"/>
      <c r="AC129" s="34"/>
    </row>
    <row r="130" spans="2:29" s="24" customFormat="1">
      <c r="B130" s="104"/>
      <c r="P130" s="170"/>
      <c r="Q130" s="171"/>
      <c r="R130" s="82"/>
      <c r="S130" s="82"/>
      <c r="T130" s="82"/>
      <c r="U130" s="82"/>
      <c r="V130" s="82"/>
      <c r="X130" s="82"/>
      <c r="Y130" s="82"/>
      <c r="AB130" s="34"/>
      <c r="AC130" s="34"/>
    </row>
    <row r="131" spans="2:29" s="24" customFormat="1">
      <c r="B131" s="104"/>
      <c r="P131" s="170"/>
      <c r="Q131" s="171"/>
      <c r="R131" s="82"/>
      <c r="S131" s="82"/>
      <c r="T131" s="82"/>
      <c r="U131" s="82"/>
      <c r="V131" s="82"/>
      <c r="X131" s="82"/>
      <c r="Y131" s="82"/>
      <c r="AB131" s="34"/>
      <c r="AC131" s="34"/>
    </row>
    <row r="132" spans="2:29" s="24" customFormat="1">
      <c r="B132" s="104"/>
      <c r="P132" s="170"/>
      <c r="Q132" s="171"/>
      <c r="R132" s="82"/>
      <c r="S132" s="82"/>
      <c r="T132" s="82"/>
      <c r="U132" s="82"/>
      <c r="V132" s="82"/>
      <c r="X132" s="82"/>
      <c r="Y132" s="82"/>
      <c r="AB132" s="34"/>
      <c r="AC132" s="34"/>
    </row>
    <row r="133" spans="2:29" s="24" customFormat="1">
      <c r="B133" s="104"/>
      <c r="P133" s="170"/>
      <c r="Q133" s="171"/>
      <c r="R133" s="82"/>
      <c r="S133" s="82"/>
      <c r="T133" s="82"/>
      <c r="U133" s="82"/>
      <c r="V133" s="82"/>
      <c r="X133" s="82"/>
      <c r="Y133" s="82"/>
      <c r="AB133" s="34"/>
      <c r="AC133" s="34"/>
    </row>
    <row r="134" spans="2:29" s="24" customFormat="1">
      <c r="B134" s="104"/>
      <c r="P134" s="170"/>
      <c r="Q134" s="171"/>
      <c r="R134" s="82"/>
      <c r="S134" s="82"/>
      <c r="T134" s="82"/>
      <c r="U134" s="82"/>
      <c r="V134" s="82"/>
      <c r="X134" s="82"/>
      <c r="Y134" s="82"/>
      <c r="AB134" s="34"/>
      <c r="AC134" s="34"/>
    </row>
    <row r="135" spans="2:29" s="24" customFormat="1">
      <c r="B135" s="104"/>
      <c r="P135" s="170"/>
      <c r="Q135" s="171"/>
      <c r="R135" s="82"/>
      <c r="S135" s="82"/>
      <c r="T135" s="82"/>
      <c r="U135" s="82"/>
      <c r="V135" s="82"/>
      <c r="X135" s="82"/>
      <c r="Y135" s="82"/>
      <c r="AB135" s="34"/>
      <c r="AC135" s="34"/>
    </row>
    <row r="136" spans="2:29" s="24" customFormat="1">
      <c r="B136" s="104"/>
      <c r="P136" s="170"/>
      <c r="Q136" s="171"/>
      <c r="R136" s="82"/>
      <c r="S136" s="82"/>
      <c r="T136" s="82"/>
      <c r="U136" s="82"/>
      <c r="V136" s="82"/>
      <c r="X136" s="82"/>
      <c r="Y136" s="82"/>
      <c r="AB136" s="34"/>
      <c r="AC136" s="34"/>
    </row>
    <row r="137" spans="2:29" s="24" customFormat="1">
      <c r="B137" s="104"/>
      <c r="P137" s="170"/>
      <c r="Q137" s="171"/>
      <c r="R137" s="82"/>
      <c r="S137" s="82"/>
      <c r="T137" s="82"/>
      <c r="U137" s="82"/>
      <c r="V137" s="82"/>
      <c r="X137" s="82"/>
      <c r="Y137" s="82"/>
      <c r="AB137" s="34"/>
      <c r="AC137" s="34"/>
    </row>
    <row r="138" spans="2:29" s="24" customFormat="1">
      <c r="B138" s="104"/>
      <c r="P138" s="170"/>
      <c r="Q138" s="171"/>
      <c r="R138" s="82"/>
      <c r="S138" s="82"/>
      <c r="T138" s="82"/>
      <c r="U138" s="82"/>
      <c r="V138" s="82"/>
      <c r="X138" s="82"/>
      <c r="Y138" s="82"/>
      <c r="AB138" s="34"/>
      <c r="AC138" s="34"/>
    </row>
    <row r="139" spans="2:29" s="24" customFormat="1">
      <c r="B139" s="104"/>
      <c r="P139" s="170"/>
      <c r="Q139" s="171"/>
      <c r="R139" s="82"/>
      <c r="S139" s="82"/>
      <c r="T139" s="82"/>
      <c r="U139" s="82"/>
      <c r="V139" s="82"/>
      <c r="X139" s="82"/>
      <c r="Y139" s="82"/>
      <c r="AB139" s="34"/>
      <c r="AC139" s="34"/>
    </row>
    <row r="140" spans="2:29" s="24" customFormat="1">
      <c r="B140" s="104"/>
      <c r="P140" s="170"/>
      <c r="Q140" s="171"/>
      <c r="R140" s="82"/>
      <c r="S140" s="82"/>
      <c r="T140" s="82"/>
      <c r="U140" s="82"/>
      <c r="V140" s="82"/>
      <c r="X140" s="82"/>
      <c r="Y140" s="82"/>
      <c r="AB140" s="34"/>
      <c r="AC140" s="34"/>
    </row>
    <row r="141" spans="2:29" s="24" customFormat="1">
      <c r="B141" s="104"/>
      <c r="P141" s="170"/>
      <c r="Q141" s="171"/>
      <c r="R141" s="82"/>
      <c r="S141" s="82"/>
      <c r="T141" s="82"/>
      <c r="U141" s="82"/>
      <c r="V141" s="82"/>
      <c r="X141" s="82"/>
      <c r="Y141" s="82"/>
      <c r="AB141" s="34"/>
      <c r="AC141" s="34"/>
    </row>
    <row r="142" spans="2:29" s="24" customFormat="1">
      <c r="B142" s="104"/>
      <c r="P142" s="170"/>
      <c r="Q142" s="171"/>
      <c r="R142" s="82"/>
      <c r="S142" s="82"/>
      <c r="T142" s="82"/>
      <c r="U142" s="82"/>
      <c r="V142" s="82"/>
      <c r="X142" s="82"/>
      <c r="Y142" s="82"/>
      <c r="AB142" s="34"/>
      <c r="AC142" s="34"/>
    </row>
    <row r="143" spans="2:29" s="24" customFormat="1">
      <c r="B143" s="104"/>
      <c r="P143" s="170"/>
      <c r="Q143" s="171"/>
      <c r="R143" s="82"/>
      <c r="S143" s="82"/>
      <c r="T143" s="82"/>
      <c r="U143" s="82"/>
      <c r="V143" s="82"/>
      <c r="X143" s="82"/>
      <c r="Y143" s="82"/>
      <c r="AB143" s="34"/>
      <c r="AC143" s="34"/>
    </row>
    <row r="144" spans="2:29" s="24" customFormat="1">
      <c r="B144" s="104"/>
      <c r="P144" s="170"/>
      <c r="Q144" s="171"/>
      <c r="R144" s="82"/>
      <c r="S144" s="82"/>
      <c r="T144" s="82"/>
      <c r="U144" s="82"/>
      <c r="V144" s="82"/>
      <c r="X144" s="82"/>
      <c r="Y144" s="82"/>
      <c r="AB144" s="34"/>
      <c r="AC144" s="34"/>
    </row>
    <row r="145" spans="2:29" s="24" customFormat="1">
      <c r="B145" s="104"/>
      <c r="P145" s="170"/>
      <c r="Q145" s="171"/>
      <c r="R145" s="82"/>
      <c r="S145" s="82"/>
      <c r="T145" s="82"/>
      <c r="U145" s="82"/>
      <c r="V145" s="82"/>
      <c r="X145" s="82"/>
      <c r="Y145" s="82"/>
      <c r="AB145" s="34"/>
      <c r="AC145" s="34"/>
    </row>
    <row r="146" spans="2:29" s="24" customFormat="1">
      <c r="B146" s="104"/>
      <c r="P146" s="170"/>
      <c r="Q146" s="171"/>
      <c r="R146" s="82"/>
      <c r="S146" s="82"/>
      <c r="T146" s="82"/>
      <c r="U146" s="82"/>
      <c r="V146" s="82"/>
      <c r="X146" s="82"/>
      <c r="Y146" s="82"/>
      <c r="AB146" s="34"/>
      <c r="AC146" s="34"/>
    </row>
    <row r="147" spans="2:29" s="24" customFormat="1">
      <c r="B147" s="104"/>
      <c r="P147" s="170"/>
      <c r="Q147" s="171"/>
      <c r="R147" s="82"/>
      <c r="S147" s="82"/>
      <c r="T147" s="82"/>
      <c r="U147" s="82"/>
      <c r="V147" s="82"/>
      <c r="X147" s="82"/>
      <c r="Y147" s="82"/>
      <c r="AB147" s="34"/>
      <c r="AC147" s="34"/>
    </row>
    <row r="148" spans="2:29" s="24" customFormat="1">
      <c r="B148" s="104"/>
      <c r="P148" s="170"/>
      <c r="Q148" s="171"/>
      <c r="R148" s="82"/>
      <c r="S148" s="82"/>
      <c r="T148" s="82"/>
      <c r="U148" s="82"/>
      <c r="V148" s="82"/>
      <c r="X148" s="82"/>
      <c r="Y148" s="82"/>
      <c r="AB148" s="34"/>
      <c r="AC148" s="34"/>
    </row>
    <row r="149" spans="2:29" s="24" customFormat="1">
      <c r="B149" s="104"/>
      <c r="P149" s="170"/>
      <c r="Q149" s="171"/>
      <c r="R149" s="82"/>
      <c r="S149" s="82"/>
      <c r="T149" s="82"/>
      <c r="U149" s="82"/>
      <c r="V149" s="82"/>
      <c r="X149" s="82"/>
      <c r="Y149" s="82"/>
      <c r="AB149" s="34"/>
      <c r="AC149" s="34"/>
    </row>
    <row r="150" spans="2:29" s="24" customFormat="1">
      <c r="B150" s="104"/>
      <c r="P150" s="170"/>
      <c r="Q150" s="171"/>
      <c r="R150" s="82"/>
      <c r="S150" s="82"/>
      <c r="T150" s="82"/>
      <c r="U150" s="82"/>
      <c r="V150" s="82"/>
      <c r="X150" s="82"/>
      <c r="Y150" s="82"/>
      <c r="AB150" s="34"/>
      <c r="AC150" s="34"/>
    </row>
    <row r="151" spans="2:29" s="24" customFormat="1">
      <c r="B151" s="104"/>
      <c r="P151" s="170"/>
      <c r="Q151" s="171"/>
      <c r="R151" s="82"/>
      <c r="S151" s="82"/>
      <c r="T151" s="82"/>
      <c r="U151" s="82"/>
      <c r="V151" s="82"/>
      <c r="X151" s="82"/>
      <c r="Y151" s="82"/>
      <c r="AB151" s="34"/>
      <c r="AC151" s="34"/>
    </row>
    <row r="152" spans="2:29" s="24" customFormat="1">
      <c r="B152" s="104"/>
      <c r="P152" s="170"/>
      <c r="Q152" s="171"/>
      <c r="R152" s="82"/>
      <c r="S152" s="82"/>
      <c r="T152" s="82"/>
      <c r="U152" s="82"/>
      <c r="V152" s="82"/>
      <c r="X152" s="82"/>
      <c r="Y152" s="82"/>
      <c r="AB152" s="34"/>
      <c r="AC152" s="34"/>
    </row>
    <row r="153" spans="2:29" s="24" customFormat="1">
      <c r="B153" s="104"/>
      <c r="P153" s="170"/>
      <c r="Q153" s="171"/>
      <c r="R153" s="82"/>
      <c r="S153" s="82"/>
      <c r="T153" s="82"/>
      <c r="U153" s="82"/>
      <c r="V153" s="82"/>
      <c r="X153" s="82"/>
      <c r="Y153" s="82"/>
      <c r="AB153" s="34"/>
      <c r="AC153" s="34"/>
    </row>
    <row r="154" spans="2:29" s="24" customFormat="1">
      <c r="B154" s="104"/>
      <c r="P154" s="170"/>
      <c r="Q154" s="171"/>
      <c r="R154" s="82"/>
      <c r="S154" s="82"/>
      <c r="T154" s="82"/>
      <c r="U154" s="82"/>
      <c r="V154" s="82"/>
      <c r="X154" s="82"/>
      <c r="Y154" s="82"/>
      <c r="AB154" s="34"/>
      <c r="AC154" s="34"/>
    </row>
    <row r="155" spans="2:29" s="24" customFormat="1">
      <c r="B155" s="104"/>
      <c r="P155" s="170"/>
      <c r="Q155" s="171"/>
      <c r="R155" s="82"/>
      <c r="S155" s="82"/>
      <c r="T155" s="82"/>
      <c r="U155" s="82"/>
      <c r="V155" s="82"/>
      <c r="X155" s="82"/>
      <c r="Y155" s="82"/>
      <c r="AB155" s="34"/>
      <c r="AC155" s="34"/>
    </row>
    <row r="156" spans="2:29" s="24" customFormat="1">
      <c r="B156" s="104"/>
      <c r="P156" s="170"/>
      <c r="Q156" s="171"/>
      <c r="R156" s="82"/>
      <c r="S156" s="82"/>
      <c r="T156" s="82"/>
      <c r="U156" s="82"/>
      <c r="V156" s="82"/>
      <c r="X156" s="82"/>
      <c r="Y156" s="82"/>
      <c r="AB156" s="34"/>
      <c r="AC156" s="34"/>
    </row>
    <row r="157" spans="2:29" s="24" customFormat="1">
      <c r="B157" s="104"/>
      <c r="P157" s="170"/>
      <c r="Q157" s="171"/>
      <c r="R157" s="82"/>
      <c r="S157" s="82"/>
      <c r="T157" s="82"/>
      <c r="U157" s="82"/>
      <c r="V157" s="82"/>
      <c r="X157" s="82"/>
      <c r="Y157" s="82"/>
      <c r="AB157" s="34"/>
      <c r="AC157" s="34"/>
    </row>
    <row r="158" spans="2:29" s="24" customFormat="1">
      <c r="B158" s="104"/>
      <c r="P158" s="170"/>
      <c r="Q158" s="171"/>
      <c r="R158" s="82"/>
      <c r="S158" s="82"/>
      <c r="T158" s="82"/>
      <c r="U158" s="82"/>
      <c r="V158" s="82"/>
      <c r="X158" s="82"/>
      <c r="Y158" s="82"/>
      <c r="AB158" s="34"/>
      <c r="AC158" s="34"/>
    </row>
    <row r="159" spans="2:29" s="24" customFormat="1">
      <c r="B159" s="104"/>
      <c r="P159" s="170"/>
      <c r="Q159" s="171"/>
      <c r="R159" s="82"/>
      <c r="S159" s="82"/>
      <c r="T159" s="82"/>
      <c r="U159" s="82"/>
      <c r="V159" s="82"/>
      <c r="X159" s="82"/>
      <c r="Y159" s="82"/>
      <c r="AB159" s="34"/>
      <c r="AC159" s="34"/>
    </row>
    <row r="160" spans="2:29" s="24" customFormat="1">
      <c r="B160" s="104"/>
      <c r="P160" s="170"/>
      <c r="Q160" s="171"/>
      <c r="R160" s="82"/>
      <c r="S160" s="82"/>
      <c r="T160" s="82"/>
      <c r="U160" s="82"/>
      <c r="V160" s="82"/>
      <c r="X160" s="82"/>
      <c r="Y160" s="82"/>
      <c r="AB160" s="34"/>
      <c r="AC160" s="34"/>
    </row>
    <row r="161" spans="2:29" s="24" customFormat="1">
      <c r="B161" s="104"/>
      <c r="P161" s="170"/>
      <c r="Q161" s="171"/>
      <c r="R161" s="82"/>
      <c r="S161" s="82"/>
      <c r="T161" s="82"/>
      <c r="U161" s="82"/>
      <c r="V161" s="82"/>
      <c r="X161" s="82"/>
      <c r="Y161" s="82"/>
      <c r="AB161" s="34"/>
      <c r="AC161" s="34"/>
    </row>
    <row r="162" spans="2:29" s="24" customFormat="1">
      <c r="B162" s="104"/>
      <c r="P162" s="170"/>
      <c r="Q162" s="171"/>
      <c r="R162" s="82"/>
      <c r="S162" s="82"/>
      <c r="T162" s="82"/>
      <c r="U162" s="82"/>
      <c r="V162" s="82"/>
      <c r="X162" s="82"/>
      <c r="Y162" s="82"/>
      <c r="AB162" s="34"/>
      <c r="AC162" s="34"/>
    </row>
    <row r="163" spans="2:29" s="24" customFormat="1">
      <c r="B163" s="104"/>
      <c r="P163" s="170"/>
      <c r="Q163" s="171"/>
      <c r="R163" s="82"/>
      <c r="S163" s="82"/>
      <c r="T163" s="82"/>
      <c r="U163" s="82"/>
      <c r="V163" s="82"/>
      <c r="X163" s="82"/>
      <c r="Y163" s="82"/>
      <c r="AB163" s="34"/>
      <c r="AC163" s="34"/>
    </row>
    <row r="164" spans="2:29" s="24" customFormat="1">
      <c r="B164" s="104"/>
      <c r="P164" s="170"/>
      <c r="Q164" s="171"/>
      <c r="R164" s="82"/>
      <c r="S164" s="82"/>
      <c r="T164" s="82"/>
      <c r="U164" s="82"/>
      <c r="V164" s="82"/>
      <c r="X164" s="82"/>
      <c r="Y164" s="82"/>
      <c r="AB164" s="34"/>
      <c r="AC164" s="34"/>
    </row>
    <row r="165" spans="2:29" s="24" customFormat="1">
      <c r="B165" s="104"/>
      <c r="P165" s="170"/>
      <c r="Q165" s="171"/>
      <c r="R165" s="82"/>
      <c r="S165" s="82"/>
      <c r="T165" s="82"/>
      <c r="U165" s="82"/>
      <c r="V165" s="82"/>
      <c r="X165" s="82"/>
      <c r="Y165" s="82"/>
      <c r="AB165" s="34"/>
      <c r="AC165" s="34"/>
    </row>
    <row r="166" spans="2:29" s="24" customFormat="1">
      <c r="B166" s="104"/>
      <c r="P166" s="170"/>
      <c r="Q166" s="171"/>
      <c r="R166" s="82"/>
      <c r="S166" s="82"/>
      <c r="T166" s="82"/>
      <c r="U166" s="82"/>
      <c r="V166" s="82"/>
      <c r="X166" s="82"/>
      <c r="Y166" s="82"/>
      <c r="AB166" s="34"/>
      <c r="AC166" s="34"/>
    </row>
    <row r="167" spans="2:29" s="24" customFormat="1">
      <c r="B167" s="104"/>
      <c r="P167" s="170"/>
      <c r="Q167" s="171"/>
      <c r="R167" s="82"/>
      <c r="S167" s="82"/>
      <c r="T167" s="82"/>
      <c r="U167" s="82"/>
      <c r="V167" s="82"/>
      <c r="X167" s="82"/>
      <c r="Y167" s="82"/>
      <c r="AB167" s="34"/>
      <c r="AC167" s="34"/>
    </row>
    <row r="168" spans="2:29" s="24" customFormat="1">
      <c r="B168" s="104"/>
      <c r="P168" s="170"/>
      <c r="Q168" s="171"/>
      <c r="R168" s="82"/>
      <c r="S168" s="82"/>
      <c r="T168" s="82"/>
      <c r="U168" s="82"/>
      <c r="V168" s="82"/>
      <c r="X168" s="82"/>
      <c r="Y168" s="82"/>
      <c r="AB168" s="34"/>
      <c r="AC168" s="34"/>
    </row>
    <row r="169" spans="2:29" s="24" customFormat="1">
      <c r="B169" s="104"/>
      <c r="P169" s="170"/>
      <c r="Q169" s="171"/>
      <c r="R169" s="82"/>
      <c r="S169" s="82"/>
      <c r="T169" s="82"/>
      <c r="U169" s="82"/>
      <c r="V169" s="82"/>
      <c r="X169" s="82"/>
      <c r="Y169" s="82"/>
      <c r="AB169" s="34"/>
      <c r="AC169" s="34"/>
    </row>
    <row r="170" spans="2:29" s="24" customFormat="1">
      <c r="B170" s="104"/>
      <c r="P170" s="170"/>
      <c r="Q170" s="171"/>
      <c r="R170" s="82"/>
      <c r="S170" s="82"/>
      <c r="T170" s="82"/>
      <c r="U170" s="82"/>
      <c r="V170" s="82"/>
      <c r="X170" s="82"/>
      <c r="Y170" s="82"/>
      <c r="AB170" s="34"/>
      <c r="AC170" s="34"/>
    </row>
    <row r="171" spans="2:29" s="24" customFormat="1">
      <c r="B171" s="104"/>
      <c r="P171" s="170"/>
      <c r="Q171" s="171"/>
      <c r="R171" s="82"/>
      <c r="S171" s="82"/>
      <c r="T171" s="82"/>
      <c r="U171" s="82"/>
      <c r="V171" s="82"/>
      <c r="X171" s="82"/>
      <c r="Y171" s="82"/>
      <c r="AB171" s="34"/>
      <c r="AC171" s="34"/>
    </row>
    <row r="172" spans="2:29" s="24" customFormat="1">
      <c r="B172" s="104"/>
      <c r="P172" s="170"/>
      <c r="Q172" s="171"/>
      <c r="R172" s="82"/>
      <c r="S172" s="82"/>
      <c r="T172" s="82"/>
      <c r="U172" s="82"/>
      <c r="V172" s="82"/>
      <c r="X172" s="82"/>
      <c r="Y172" s="82"/>
      <c r="AB172" s="34"/>
      <c r="AC172" s="34"/>
    </row>
    <row r="173" spans="2:29" s="24" customFormat="1">
      <c r="B173" s="104"/>
      <c r="P173" s="170"/>
      <c r="Q173" s="171"/>
      <c r="R173" s="82"/>
      <c r="S173" s="82"/>
      <c r="T173" s="82"/>
      <c r="U173" s="82"/>
      <c r="V173" s="82"/>
      <c r="X173" s="82"/>
      <c r="Y173" s="82"/>
      <c r="AB173" s="34"/>
      <c r="AC173" s="34"/>
    </row>
    <row r="174" spans="2:29" s="24" customFormat="1">
      <c r="B174" s="104"/>
      <c r="P174" s="170"/>
      <c r="Q174" s="171"/>
      <c r="R174" s="82"/>
      <c r="S174" s="82"/>
      <c r="T174" s="82"/>
      <c r="U174" s="82"/>
      <c r="V174" s="82"/>
      <c r="X174" s="82"/>
      <c r="Y174" s="82"/>
      <c r="AB174" s="34"/>
      <c r="AC174" s="34"/>
    </row>
    <row r="175" spans="2:29" s="24" customFormat="1">
      <c r="B175" s="104"/>
      <c r="P175" s="170"/>
      <c r="Q175" s="171"/>
      <c r="R175" s="82"/>
      <c r="S175" s="82"/>
      <c r="T175" s="82"/>
      <c r="U175" s="82"/>
      <c r="V175" s="82"/>
      <c r="X175" s="82"/>
      <c r="Y175" s="82"/>
      <c r="AB175" s="34"/>
      <c r="AC175" s="34"/>
    </row>
    <row r="176" spans="2:29" s="24" customFormat="1">
      <c r="B176" s="104"/>
      <c r="P176" s="170"/>
      <c r="Q176" s="171"/>
      <c r="R176" s="82"/>
      <c r="S176" s="82"/>
      <c r="T176" s="82"/>
      <c r="U176" s="82"/>
      <c r="V176" s="82"/>
      <c r="X176" s="82"/>
      <c r="Y176" s="82"/>
      <c r="AB176" s="34"/>
      <c r="AC176" s="34"/>
    </row>
    <row r="177" spans="2:29" s="24" customFormat="1">
      <c r="B177" s="104"/>
      <c r="P177" s="170"/>
      <c r="Q177" s="171"/>
      <c r="R177" s="82"/>
      <c r="S177" s="82"/>
      <c r="T177" s="82"/>
      <c r="U177" s="82"/>
      <c r="V177" s="82"/>
      <c r="X177" s="82"/>
      <c r="Y177" s="82"/>
      <c r="AB177" s="34"/>
      <c r="AC177" s="34"/>
    </row>
    <row r="178" spans="2:29" s="24" customFormat="1">
      <c r="B178" s="104"/>
      <c r="P178" s="170"/>
      <c r="Q178" s="171"/>
      <c r="R178" s="82"/>
      <c r="S178" s="82"/>
      <c r="T178" s="82"/>
      <c r="U178" s="82"/>
      <c r="V178" s="82"/>
      <c r="X178" s="82"/>
      <c r="Y178" s="82"/>
      <c r="AB178" s="34"/>
      <c r="AC178" s="34"/>
    </row>
    <row r="179" spans="2:29" s="24" customFormat="1">
      <c r="B179" s="104"/>
      <c r="P179" s="170"/>
      <c r="Q179" s="171"/>
      <c r="R179" s="82"/>
      <c r="S179" s="82"/>
      <c r="T179" s="82"/>
      <c r="U179" s="82"/>
      <c r="V179" s="82"/>
      <c r="X179" s="82"/>
      <c r="Y179" s="82"/>
      <c r="AB179" s="34"/>
      <c r="AC179" s="34"/>
    </row>
    <row r="180" spans="2:29" s="24" customFormat="1">
      <c r="B180" s="104"/>
      <c r="P180" s="170"/>
      <c r="Q180" s="171"/>
      <c r="R180" s="82"/>
      <c r="S180" s="82"/>
      <c r="T180" s="82"/>
      <c r="U180" s="82"/>
      <c r="V180" s="82"/>
      <c r="X180" s="82"/>
      <c r="Y180" s="82"/>
      <c r="AB180" s="34"/>
      <c r="AC180" s="34"/>
    </row>
    <row r="181" spans="2:29" s="24" customFormat="1">
      <c r="B181" s="104"/>
      <c r="P181" s="170"/>
      <c r="Q181" s="171"/>
      <c r="R181" s="82"/>
      <c r="S181" s="82"/>
      <c r="T181" s="82"/>
      <c r="U181" s="82"/>
      <c r="V181" s="82"/>
      <c r="X181" s="82"/>
      <c r="Y181" s="82"/>
      <c r="AB181" s="34"/>
      <c r="AC181" s="34"/>
    </row>
    <row r="182" spans="2:29" s="24" customFormat="1">
      <c r="B182" s="104"/>
      <c r="P182" s="170"/>
      <c r="Q182" s="171"/>
      <c r="R182" s="82"/>
      <c r="S182" s="82"/>
      <c r="T182" s="82"/>
      <c r="U182" s="82"/>
      <c r="V182" s="82"/>
      <c r="X182" s="82"/>
      <c r="Y182" s="82"/>
      <c r="AB182" s="34"/>
      <c r="AC182" s="34"/>
    </row>
    <row r="183" spans="2:29" s="24" customFormat="1">
      <c r="B183" s="104"/>
      <c r="P183" s="170"/>
      <c r="Q183" s="171"/>
      <c r="R183" s="82"/>
      <c r="S183" s="82"/>
      <c r="T183" s="82"/>
      <c r="U183" s="82"/>
      <c r="V183" s="82"/>
      <c r="X183" s="82"/>
      <c r="Y183" s="82"/>
      <c r="AB183" s="34"/>
      <c r="AC183" s="34"/>
    </row>
    <row r="184" spans="2:29" s="24" customFormat="1">
      <c r="B184" s="104"/>
      <c r="P184" s="170"/>
      <c r="Q184" s="171"/>
      <c r="R184" s="82"/>
      <c r="S184" s="82"/>
      <c r="T184" s="82"/>
      <c r="U184" s="82"/>
      <c r="V184" s="82"/>
      <c r="X184" s="82"/>
      <c r="Y184" s="82"/>
      <c r="AB184" s="34"/>
      <c r="AC184" s="34"/>
    </row>
    <row r="185" spans="2:29" s="24" customFormat="1">
      <c r="B185" s="104"/>
      <c r="P185" s="170"/>
      <c r="Q185" s="171"/>
      <c r="R185" s="82"/>
      <c r="S185" s="82"/>
      <c r="T185" s="82"/>
      <c r="U185" s="82"/>
      <c r="V185" s="82"/>
      <c r="X185" s="82"/>
      <c r="Y185" s="82"/>
      <c r="AB185" s="34"/>
      <c r="AC185" s="34"/>
    </row>
    <row r="186" spans="2:29" s="24" customFormat="1">
      <c r="B186" s="104"/>
      <c r="P186" s="170"/>
      <c r="Q186" s="171"/>
      <c r="R186" s="82"/>
      <c r="S186" s="82"/>
      <c r="T186" s="82"/>
      <c r="U186" s="82"/>
      <c r="V186" s="82"/>
      <c r="X186" s="82"/>
      <c r="Y186" s="82"/>
      <c r="AB186" s="34"/>
      <c r="AC186" s="34"/>
    </row>
    <row r="187" spans="2:29" s="24" customFormat="1">
      <c r="B187" s="104"/>
      <c r="P187" s="170"/>
      <c r="Q187" s="171"/>
      <c r="R187" s="82"/>
      <c r="S187" s="82"/>
      <c r="T187" s="82"/>
      <c r="U187" s="82"/>
      <c r="V187" s="82"/>
      <c r="X187" s="82"/>
      <c r="Y187" s="82"/>
      <c r="AB187" s="34"/>
      <c r="AC187" s="34"/>
    </row>
    <row r="188" spans="2:29" s="24" customFormat="1">
      <c r="B188" s="104"/>
      <c r="P188" s="170"/>
      <c r="Q188" s="171"/>
      <c r="R188" s="82"/>
      <c r="S188" s="82"/>
      <c r="T188" s="82"/>
      <c r="U188" s="82"/>
      <c r="V188" s="82"/>
      <c r="X188" s="82"/>
      <c r="Y188" s="82"/>
      <c r="AB188" s="34"/>
      <c r="AC188" s="34"/>
    </row>
    <row r="189" spans="2:29" s="24" customFormat="1">
      <c r="B189" s="104"/>
      <c r="P189" s="170"/>
      <c r="Q189" s="171"/>
      <c r="R189" s="82"/>
      <c r="S189" s="82"/>
      <c r="T189" s="82"/>
      <c r="U189" s="82"/>
      <c r="V189" s="82"/>
      <c r="X189" s="82"/>
      <c r="Y189" s="82"/>
      <c r="AB189" s="34"/>
      <c r="AC189" s="34"/>
    </row>
    <row r="190" spans="2:29" s="24" customFormat="1">
      <c r="B190" s="104"/>
      <c r="P190" s="170"/>
      <c r="Q190" s="171"/>
      <c r="R190" s="82"/>
      <c r="S190" s="82"/>
      <c r="T190" s="82"/>
      <c r="U190" s="82"/>
      <c r="V190" s="82"/>
      <c r="X190" s="82"/>
      <c r="Y190" s="82"/>
      <c r="AB190" s="34"/>
      <c r="AC190" s="34"/>
    </row>
    <row r="191" spans="2:29" s="24" customFormat="1">
      <c r="B191" s="104"/>
      <c r="P191" s="170"/>
      <c r="Q191" s="171"/>
      <c r="R191" s="82"/>
      <c r="S191" s="82"/>
      <c r="T191" s="82"/>
      <c r="U191" s="82"/>
      <c r="V191" s="82"/>
      <c r="X191" s="82"/>
      <c r="Y191" s="82"/>
      <c r="AB191" s="34"/>
      <c r="AC191" s="34"/>
    </row>
    <row r="192" spans="2:29" s="24" customFormat="1">
      <c r="B192" s="104"/>
      <c r="P192" s="170"/>
      <c r="Q192" s="171"/>
      <c r="R192" s="82"/>
      <c r="S192" s="82"/>
      <c r="T192" s="82"/>
      <c r="U192" s="82"/>
      <c r="V192" s="82"/>
      <c r="X192" s="82"/>
      <c r="Y192" s="82"/>
      <c r="AB192" s="34"/>
      <c r="AC192" s="34"/>
    </row>
    <row r="193" spans="2:29" s="24" customFormat="1">
      <c r="B193" s="104"/>
      <c r="P193" s="170"/>
      <c r="Q193" s="171"/>
      <c r="R193" s="82"/>
      <c r="S193" s="82"/>
      <c r="T193" s="82"/>
      <c r="U193" s="82"/>
      <c r="V193" s="82"/>
      <c r="X193" s="82"/>
      <c r="Y193" s="82"/>
      <c r="AB193" s="34"/>
      <c r="AC193" s="34"/>
    </row>
    <row r="194" spans="2:29" s="24" customFormat="1">
      <c r="B194" s="104"/>
      <c r="P194" s="170"/>
      <c r="Q194" s="171"/>
      <c r="R194" s="82"/>
      <c r="S194" s="82"/>
      <c r="T194" s="82"/>
      <c r="U194" s="82"/>
      <c r="V194" s="82"/>
      <c r="X194" s="82"/>
      <c r="Y194" s="82"/>
      <c r="AB194" s="34"/>
      <c r="AC194" s="34"/>
    </row>
    <row r="195" spans="2:29" s="24" customFormat="1">
      <c r="B195" s="104"/>
      <c r="P195" s="170"/>
      <c r="Q195" s="171"/>
      <c r="R195" s="82"/>
      <c r="S195" s="82"/>
      <c r="T195" s="82"/>
      <c r="U195" s="82"/>
      <c r="V195" s="82"/>
      <c r="X195" s="82"/>
      <c r="Y195" s="82"/>
      <c r="AB195" s="34"/>
      <c r="AC195" s="34"/>
    </row>
    <row r="196" spans="2:29" s="24" customFormat="1">
      <c r="B196" s="104"/>
      <c r="P196" s="170"/>
      <c r="Q196" s="171"/>
      <c r="R196" s="82"/>
      <c r="S196" s="82"/>
      <c r="T196" s="82"/>
      <c r="U196" s="82"/>
      <c r="V196" s="82"/>
      <c r="X196" s="82"/>
      <c r="Y196" s="82"/>
      <c r="AB196" s="34"/>
      <c r="AC196" s="34"/>
    </row>
    <row r="197" spans="2:29" s="24" customFormat="1">
      <c r="B197" s="104"/>
      <c r="P197" s="170"/>
      <c r="Q197" s="171"/>
      <c r="R197" s="82"/>
      <c r="S197" s="82"/>
      <c r="T197" s="82"/>
      <c r="U197" s="82"/>
      <c r="V197" s="82"/>
      <c r="X197" s="82"/>
      <c r="Y197" s="82"/>
      <c r="AB197" s="34"/>
      <c r="AC197" s="34"/>
    </row>
    <row r="198" spans="2:29" s="24" customFormat="1">
      <c r="B198" s="104"/>
      <c r="P198" s="170"/>
      <c r="Q198" s="171"/>
      <c r="R198" s="82"/>
      <c r="S198" s="82"/>
      <c r="T198" s="82"/>
      <c r="U198" s="82"/>
      <c r="V198" s="82"/>
      <c r="X198" s="82"/>
      <c r="Y198" s="82"/>
      <c r="AB198" s="34"/>
      <c r="AC198" s="34"/>
    </row>
    <row r="199" spans="2:29" s="24" customFormat="1">
      <c r="B199" s="104"/>
      <c r="P199" s="170"/>
      <c r="Q199" s="171"/>
      <c r="R199" s="82"/>
      <c r="S199" s="82"/>
      <c r="T199" s="82"/>
      <c r="U199" s="82"/>
      <c r="V199" s="82"/>
      <c r="X199" s="82"/>
      <c r="Y199" s="82"/>
      <c r="AB199" s="34"/>
      <c r="AC199" s="34"/>
    </row>
    <row r="200" spans="2:29" s="24" customFormat="1">
      <c r="B200" s="104"/>
      <c r="P200" s="170"/>
      <c r="Q200" s="171"/>
      <c r="R200" s="82"/>
      <c r="S200" s="82"/>
      <c r="T200" s="82"/>
      <c r="U200" s="82"/>
      <c r="V200" s="82"/>
      <c r="X200" s="82"/>
      <c r="Y200" s="82"/>
      <c r="AB200" s="34"/>
      <c r="AC200" s="34"/>
    </row>
    <row r="201" spans="2:29" s="24" customFormat="1">
      <c r="B201" s="104"/>
      <c r="P201" s="170"/>
      <c r="Q201" s="171"/>
      <c r="R201" s="82"/>
      <c r="S201" s="82"/>
      <c r="T201" s="82"/>
      <c r="U201" s="82"/>
      <c r="V201" s="82"/>
      <c r="X201" s="82"/>
      <c r="Y201" s="82"/>
      <c r="AB201" s="34"/>
      <c r="AC201" s="34"/>
    </row>
    <row r="202" spans="2:29" s="24" customFormat="1">
      <c r="B202" s="104"/>
      <c r="P202" s="170"/>
      <c r="Q202" s="171"/>
      <c r="R202" s="82"/>
      <c r="S202" s="82"/>
      <c r="T202" s="82"/>
      <c r="U202" s="82"/>
      <c r="V202" s="82"/>
      <c r="X202" s="82"/>
      <c r="Y202" s="82"/>
      <c r="AB202" s="34"/>
      <c r="AC202" s="34"/>
    </row>
    <row r="203" spans="2:29" s="24" customFormat="1">
      <c r="B203" s="104"/>
      <c r="P203" s="170"/>
      <c r="Q203" s="171"/>
      <c r="R203" s="82"/>
      <c r="S203" s="82"/>
      <c r="T203" s="82"/>
      <c r="U203" s="82"/>
      <c r="V203" s="82"/>
      <c r="X203" s="82"/>
      <c r="Y203" s="82"/>
      <c r="AB203" s="34"/>
      <c r="AC203" s="34"/>
    </row>
    <row r="204" spans="2:29" s="24" customFormat="1">
      <c r="B204" s="104"/>
      <c r="P204" s="170"/>
      <c r="Q204" s="171"/>
      <c r="R204" s="82"/>
      <c r="S204" s="82"/>
      <c r="T204" s="82"/>
      <c r="U204" s="82"/>
      <c r="V204" s="82"/>
      <c r="X204" s="82"/>
      <c r="Y204" s="82"/>
      <c r="AB204" s="34"/>
      <c r="AC204" s="34"/>
    </row>
    <row r="205" spans="2:29" s="24" customFormat="1">
      <c r="B205" s="104"/>
      <c r="P205" s="170"/>
      <c r="Q205" s="171"/>
      <c r="R205" s="82"/>
      <c r="S205" s="82"/>
      <c r="T205" s="82"/>
      <c r="U205" s="82"/>
      <c r="V205" s="82"/>
      <c r="X205" s="82"/>
      <c r="Y205" s="82"/>
      <c r="AB205" s="34"/>
      <c r="AC205" s="34"/>
    </row>
    <row r="206" spans="2:29" s="24" customFormat="1">
      <c r="B206" s="104"/>
      <c r="P206" s="170"/>
      <c r="Q206" s="171"/>
      <c r="R206" s="82"/>
      <c r="S206" s="82"/>
      <c r="T206" s="82"/>
      <c r="U206" s="82"/>
      <c r="V206" s="82"/>
      <c r="X206" s="82"/>
      <c r="Y206" s="82"/>
      <c r="AB206" s="34"/>
      <c r="AC206" s="34"/>
    </row>
    <row r="207" spans="2:29" s="24" customFormat="1">
      <c r="B207" s="104"/>
      <c r="P207" s="170"/>
      <c r="Q207" s="171"/>
      <c r="R207" s="82"/>
      <c r="S207" s="82"/>
      <c r="T207" s="82"/>
      <c r="U207" s="82"/>
      <c r="V207" s="82"/>
      <c r="X207" s="82"/>
      <c r="Y207" s="82"/>
      <c r="AB207" s="34"/>
      <c r="AC207" s="34"/>
    </row>
    <row r="208" spans="2:29" s="24" customFormat="1">
      <c r="B208" s="104"/>
      <c r="P208" s="170"/>
      <c r="Q208" s="171"/>
      <c r="R208" s="82"/>
      <c r="S208" s="82"/>
      <c r="T208" s="82"/>
      <c r="U208" s="82"/>
      <c r="V208" s="82"/>
      <c r="X208" s="82"/>
      <c r="Y208" s="82"/>
      <c r="AB208" s="34"/>
      <c r="AC208" s="34"/>
    </row>
    <row r="209" spans="2:29" s="24" customFormat="1">
      <c r="B209" s="104"/>
      <c r="P209" s="170"/>
      <c r="Q209" s="171"/>
      <c r="R209" s="82"/>
      <c r="S209" s="82"/>
      <c r="T209" s="82"/>
      <c r="U209" s="82"/>
      <c r="V209" s="82"/>
      <c r="X209" s="82"/>
      <c r="Y209" s="82"/>
      <c r="AB209" s="34"/>
      <c r="AC209" s="34"/>
    </row>
    <row r="210" spans="2:29" s="24" customFormat="1">
      <c r="B210" s="104"/>
      <c r="P210" s="170"/>
      <c r="Q210" s="171"/>
      <c r="R210" s="82"/>
      <c r="S210" s="82"/>
      <c r="T210" s="82"/>
      <c r="U210" s="82"/>
      <c r="V210" s="82"/>
      <c r="X210" s="82"/>
      <c r="Y210" s="82"/>
      <c r="AB210" s="34"/>
      <c r="AC210" s="34"/>
    </row>
    <row r="211" spans="2:29" s="24" customFormat="1">
      <c r="B211" s="104"/>
      <c r="P211" s="170"/>
      <c r="Q211" s="171"/>
      <c r="R211" s="82"/>
      <c r="S211" s="82"/>
      <c r="T211" s="82"/>
      <c r="U211" s="82"/>
      <c r="V211" s="82"/>
      <c r="X211" s="82"/>
      <c r="Y211" s="82"/>
      <c r="AB211" s="34"/>
      <c r="AC211" s="34"/>
    </row>
    <row r="212" spans="2:29" s="24" customFormat="1">
      <c r="B212" s="104"/>
      <c r="P212" s="170"/>
      <c r="Q212" s="171"/>
      <c r="R212" s="82"/>
      <c r="S212" s="82"/>
      <c r="T212" s="82"/>
      <c r="U212" s="82"/>
      <c r="V212" s="82"/>
      <c r="X212" s="82"/>
      <c r="Y212" s="82"/>
      <c r="AB212" s="34"/>
      <c r="AC212" s="34"/>
    </row>
    <row r="213" spans="2:29" s="24" customFormat="1">
      <c r="B213" s="104"/>
      <c r="P213" s="170"/>
      <c r="Q213" s="171"/>
      <c r="R213" s="82"/>
      <c r="S213" s="82"/>
      <c r="T213" s="82"/>
      <c r="U213" s="82"/>
      <c r="V213" s="82"/>
      <c r="X213" s="82"/>
      <c r="Y213" s="82"/>
      <c r="AB213" s="34"/>
      <c r="AC213" s="34"/>
    </row>
    <row r="214" spans="2:29" s="24" customFormat="1">
      <c r="B214" s="104"/>
      <c r="P214" s="170"/>
      <c r="Q214" s="171"/>
      <c r="R214" s="82"/>
      <c r="S214" s="82"/>
      <c r="T214" s="82"/>
      <c r="U214" s="82"/>
      <c r="V214" s="82"/>
      <c r="X214" s="82"/>
      <c r="Y214" s="82"/>
      <c r="AB214" s="34"/>
      <c r="AC214" s="34"/>
    </row>
    <row r="215" spans="2:29" s="24" customFormat="1">
      <c r="B215" s="104"/>
      <c r="P215" s="170"/>
      <c r="Q215" s="171"/>
      <c r="R215" s="82"/>
      <c r="S215" s="82"/>
      <c r="T215" s="82"/>
      <c r="U215" s="82"/>
      <c r="V215" s="82"/>
      <c r="X215" s="82"/>
      <c r="Y215" s="82"/>
      <c r="AB215" s="34"/>
      <c r="AC215" s="34"/>
    </row>
    <row r="216" spans="2:29" s="24" customFormat="1">
      <c r="B216" s="104"/>
      <c r="P216" s="170"/>
      <c r="Q216" s="171"/>
      <c r="R216" s="82"/>
      <c r="S216" s="82"/>
      <c r="T216" s="82"/>
      <c r="U216" s="82"/>
      <c r="V216" s="82"/>
      <c r="X216" s="82"/>
      <c r="Y216" s="82"/>
      <c r="AB216" s="34"/>
      <c r="AC216" s="34"/>
    </row>
    <row r="217" spans="2:29" s="24" customFormat="1">
      <c r="B217" s="104"/>
      <c r="P217" s="170"/>
      <c r="Q217" s="171"/>
      <c r="R217" s="82"/>
      <c r="S217" s="82"/>
      <c r="T217" s="82"/>
      <c r="U217" s="82"/>
      <c r="V217" s="82"/>
      <c r="X217" s="82"/>
      <c r="Y217" s="82"/>
      <c r="AB217" s="34"/>
      <c r="AC217" s="34"/>
    </row>
    <row r="218" spans="2:29" s="24" customFormat="1">
      <c r="B218" s="104"/>
      <c r="P218" s="170"/>
      <c r="Q218" s="171"/>
      <c r="R218" s="82"/>
      <c r="S218" s="82"/>
      <c r="T218" s="82"/>
      <c r="U218" s="82"/>
      <c r="V218" s="82"/>
      <c r="X218" s="82"/>
      <c r="Y218" s="82"/>
      <c r="AB218" s="34"/>
      <c r="AC218" s="34"/>
    </row>
    <row r="219" spans="2:29" s="24" customFormat="1">
      <c r="B219" s="104"/>
      <c r="P219" s="170"/>
      <c r="Q219" s="171"/>
      <c r="R219" s="82"/>
      <c r="S219" s="82"/>
      <c r="T219" s="82"/>
      <c r="U219" s="82"/>
      <c r="V219" s="82"/>
      <c r="X219" s="82"/>
      <c r="Y219" s="82"/>
      <c r="AB219" s="34"/>
      <c r="AC219" s="34"/>
    </row>
    <row r="220" spans="2:29" s="24" customFormat="1">
      <c r="B220" s="104"/>
      <c r="P220" s="170"/>
      <c r="Q220" s="171"/>
      <c r="R220" s="82"/>
      <c r="S220" s="82"/>
      <c r="T220" s="82"/>
      <c r="U220" s="82"/>
      <c r="V220" s="82"/>
      <c r="X220" s="82"/>
      <c r="Y220" s="82"/>
      <c r="AB220" s="34"/>
      <c r="AC220" s="34"/>
    </row>
    <row r="221" spans="2:29" s="24" customFormat="1">
      <c r="B221" s="104"/>
      <c r="P221" s="170"/>
      <c r="Q221" s="171"/>
      <c r="R221" s="82"/>
      <c r="S221" s="82"/>
      <c r="T221" s="82"/>
      <c r="U221" s="82"/>
      <c r="V221" s="82"/>
      <c r="X221" s="82"/>
      <c r="Y221" s="82"/>
      <c r="AB221" s="34"/>
      <c r="AC221" s="34"/>
    </row>
    <row r="222" spans="2:29" s="24" customFormat="1">
      <c r="B222" s="104"/>
      <c r="P222" s="170"/>
      <c r="Q222" s="171"/>
      <c r="R222" s="82"/>
      <c r="S222" s="82"/>
      <c r="T222" s="82"/>
      <c r="U222" s="82"/>
      <c r="V222" s="82"/>
      <c r="X222" s="82"/>
      <c r="Y222" s="82"/>
      <c r="AB222" s="34"/>
      <c r="AC222" s="34"/>
    </row>
    <row r="223" spans="2:29" s="24" customFormat="1">
      <c r="B223" s="104"/>
      <c r="P223" s="170"/>
      <c r="Q223" s="171"/>
      <c r="R223" s="82"/>
      <c r="S223" s="82"/>
      <c r="T223" s="82"/>
      <c r="U223" s="82"/>
      <c r="V223" s="82"/>
      <c r="X223" s="82"/>
      <c r="Y223" s="82"/>
      <c r="AB223" s="34"/>
      <c r="AC223" s="34"/>
    </row>
    <row r="224" spans="2:29" s="24" customFormat="1">
      <c r="B224" s="104"/>
      <c r="P224" s="170"/>
      <c r="Q224" s="171"/>
      <c r="R224" s="82"/>
      <c r="S224" s="82"/>
      <c r="T224" s="82"/>
      <c r="U224" s="82"/>
      <c r="V224" s="82"/>
      <c r="X224" s="82"/>
      <c r="Y224" s="82"/>
      <c r="AB224" s="34"/>
      <c r="AC224" s="34"/>
    </row>
    <row r="225" spans="2:29" s="24" customFormat="1">
      <c r="B225" s="104"/>
      <c r="P225" s="170"/>
      <c r="Q225" s="171"/>
      <c r="R225" s="82"/>
      <c r="S225" s="82"/>
      <c r="T225" s="82"/>
      <c r="U225" s="82"/>
      <c r="V225" s="82"/>
      <c r="X225" s="82"/>
      <c r="Y225" s="82"/>
      <c r="AB225" s="34"/>
      <c r="AC225" s="34"/>
    </row>
    <row r="226" spans="2:29" s="24" customFormat="1">
      <c r="B226" s="104"/>
      <c r="P226" s="170"/>
      <c r="Q226" s="171"/>
      <c r="R226" s="82"/>
      <c r="S226" s="82"/>
      <c r="T226" s="82"/>
      <c r="U226" s="82"/>
      <c r="V226" s="82"/>
      <c r="X226" s="82"/>
      <c r="Y226" s="82"/>
      <c r="AB226" s="34"/>
      <c r="AC226" s="34"/>
    </row>
    <row r="227" spans="2:29" s="24" customFormat="1">
      <c r="B227" s="104"/>
      <c r="P227" s="170"/>
      <c r="Q227" s="171"/>
      <c r="R227" s="82"/>
      <c r="S227" s="82"/>
      <c r="T227" s="82"/>
      <c r="U227" s="82"/>
      <c r="V227" s="82"/>
      <c r="X227" s="82"/>
      <c r="Y227" s="82"/>
      <c r="AB227" s="34"/>
      <c r="AC227" s="34"/>
    </row>
    <row r="228" spans="2:29" s="24" customFormat="1">
      <c r="B228" s="104"/>
      <c r="P228" s="170"/>
      <c r="Q228" s="171"/>
      <c r="R228" s="82"/>
      <c r="S228" s="82"/>
      <c r="T228" s="82"/>
      <c r="U228" s="82"/>
      <c r="V228" s="82"/>
      <c r="X228" s="82"/>
      <c r="Y228" s="82"/>
      <c r="AB228" s="34"/>
      <c r="AC228" s="34"/>
    </row>
    <row r="229" spans="2:29" s="24" customFormat="1">
      <c r="B229" s="104"/>
      <c r="P229" s="170"/>
      <c r="Q229" s="171"/>
      <c r="R229" s="82"/>
      <c r="S229" s="82"/>
      <c r="T229" s="82"/>
      <c r="U229" s="82"/>
      <c r="V229" s="82"/>
      <c r="X229" s="82"/>
      <c r="Y229" s="82"/>
      <c r="AB229" s="34"/>
      <c r="AC229" s="34"/>
    </row>
    <row r="230" spans="2:29" s="24" customFormat="1">
      <c r="B230" s="104"/>
      <c r="P230" s="170"/>
      <c r="Q230" s="171"/>
      <c r="R230" s="82"/>
      <c r="S230" s="82"/>
      <c r="T230" s="82"/>
      <c r="U230" s="82"/>
      <c r="V230" s="82"/>
      <c r="X230" s="82"/>
      <c r="Y230" s="82"/>
      <c r="AB230" s="34"/>
      <c r="AC230" s="34"/>
    </row>
    <row r="231" spans="2:29" s="24" customFormat="1">
      <c r="B231" s="104"/>
      <c r="P231" s="170"/>
      <c r="Q231" s="171"/>
      <c r="R231" s="82"/>
      <c r="S231" s="82"/>
      <c r="T231" s="82"/>
      <c r="U231" s="82"/>
      <c r="V231" s="82"/>
      <c r="X231" s="82"/>
      <c r="Y231" s="82"/>
      <c r="AB231" s="34"/>
      <c r="AC231" s="34"/>
    </row>
    <row r="232" spans="2:29" s="24" customFormat="1">
      <c r="B232" s="104"/>
      <c r="P232" s="170"/>
      <c r="Q232" s="171"/>
      <c r="R232" s="82"/>
      <c r="S232" s="82"/>
      <c r="T232" s="82"/>
      <c r="U232" s="82"/>
      <c r="V232" s="82"/>
      <c r="X232" s="82"/>
      <c r="Y232" s="82"/>
      <c r="AB232" s="34"/>
      <c r="AC232" s="34"/>
    </row>
    <row r="233" spans="2:29" s="24" customFormat="1">
      <c r="B233" s="104"/>
      <c r="P233" s="170"/>
      <c r="Q233" s="171"/>
      <c r="R233" s="82"/>
      <c r="S233" s="82"/>
      <c r="T233" s="82"/>
      <c r="U233" s="82"/>
      <c r="V233" s="82"/>
      <c r="X233" s="82"/>
      <c r="Y233" s="82"/>
      <c r="AB233" s="34"/>
      <c r="AC233" s="34"/>
    </row>
    <row r="234" spans="2:29" s="24" customFormat="1">
      <c r="B234" s="104"/>
      <c r="P234" s="170"/>
      <c r="Q234" s="171"/>
      <c r="R234" s="82"/>
      <c r="S234" s="82"/>
      <c r="T234" s="82"/>
      <c r="U234" s="82"/>
      <c r="V234" s="82"/>
      <c r="X234" s="82"/>
      <c r="Y234" s="82"/>
      <c r="AB234" s="34"/>
      <c r="AC234" s="34"/>
    </row>
    <row r="235" spans="2:29" s="24" customFormat="1">
      <c r="B235" s="104"/>
      <c r="P235" s="170"/>
      <c r="Q235" s="171"/>
      <c r="R235" s="82"/>
      <c r="S235" s="82"/>
      <c r="T235" s="82"/>
      <c r="U235" s="82"/>
      <c r="V235" s="82"/>
      <c r="X235" s="82"/>
      <c r="Y235" s="82"/>
      <c r="AB235" s="34"/>
      <c r="AC235" s="34"/>
    </row>
    <row r="236" spans="2:29" s="24" customFormat="1">
      <c r="B236" s="104"/>
      <c r="P236" s="170"/>
      <c r="Q236" s="171"/>
      <c r="R236" s="82"/>
      <c r="S236" s="82"/>
      <c r="T236" s="82"/>
      <c r="U236" s="82"/>
      <c r="V236" s="82"/>
      <c r="X236" s="82"/>
      <c r="Y236" s="82"/>
      <c r="AB236" s="34"/>
      <c r="AC236" s="34"/>
    </row>
    <row r="237" spans="2:29" s="24" customFormat="1">
      <c r="B237" s="104"/>
      <c r="P237" s="170"/>
      <c r="Q237" s="171"/>
      <c r="R237" s="82"/>
      <c r="S237" s="82"/>
      <c r="T237" s="82"/>
      <c r="U237" s="82"/>
      <c r="V237" s="82"/>
      <c r="X237" s="82"/>
      <c r="Y237" s="82"/>
      <c r="AB237" s="34"/>
      <c r="AC237" s="34"/>
    </row>
    <row r="238" spans="2:29" s="24" customFormat="1">
      <c r="B238" s="104"/>
      <c r="P238" s="170"/>
      <c r="Q238" s="171"/>
      <c r="R238" s="82"/>
      <c r="S238" s="82"/>
      <c r="T238" s="82"/>
      <c r="U238" s="82"/>
      <c r="V238" s="82"/>
      <c r="X238" s="82"/>
      <c r="Y238" s="82"/>
      <c r="AB238" s="34"/>
      <c r="AC238" s="34"/>
    </row>
    <row r="239" spans="2:29" s="24" customFormat="1">
      <c r="B239" s="104"/>
      <c r="P239" s="170"/>
      <c r="Q239" s="171"/>
      <c r="R239" s="82"/>
      <c r="S239" s="82"/>
      <c r="T239" s="82"/>
      <c r="U239" s="82"/>
      <c r="V239" s="82"/>
      <c r="X239" s="82"/>
      <c r="Y239" s="82"/>
      <c r="AB239" s="34"/>
      <c r="AC239" s="34"/>
    </row>
    <row r="240" spans="2:29" s="24" customFormat="1">
      <c r="B240" s="104"/>
      <c r="P240" s="170"/>
      <c r="Q240" s="171"/>
      <c r="R240" s="82"/>
      <c r="S240" s="82"/>
      <c r="T240" s="82"/>
      <c r="U240" s="82"/>
      <c r="V240" s="82"/>
      <c r="X240" s="82"/>
      <c r="Y240" s="82"/>
      <c r="AB240" s="34"/>
      <c r="AC240" s="34"/>
    </row>
    <row r="241" spans="2:29" s="24" customFormat="1">
      <c r="B241" s="104"/>
      <c r="P241" s="170"/>
      <c r="Q241" s="171"/>
      <c r="R241" s="82"/>
      <c r="S241" s="82"/>
      <c r="T241" s="82"/>
      <c r="U241" s="82"/>
      <c r="V241" s="82"/>
      <c r="X241" s="82"/>
      <c r="Y241" s="82"/>
      <c r="AB241" s="34"/>
      <c r="AC241" s="34"/>
    </row>
    <row r="242" spans="2:29" s="24" customFormat="1">
      <c r="B242" s="104"/>
      <c r="P242" s="170"/>
      <c r="Q242" s="171"/>
      <c r="R242" s="82"/>
      <c r="S242" s="82"/>
      <c r="T242" s="82"/>
      <c r="U242" s="82"/>
      <c r="V242" s="82"/>
      <c r="X242" s="82"/>
      <c r="Y242" s="82"/>
      <c r="AB242" s="34"/>
      <c r="AC242" s="34"/>
    </row>
    <row r="243" spans="2:29" s="24" customFormat="1">
      <c r="B243" s="104"/>
      <c r="P243" s="170"/>
      <c r="Q243" s="171"/>
      <c r="R243" s="82"/>
      <c r="S243" s="82"/>
      <c r="T243" s="82"/>
      <c r="U243" s="82"/>
      <c r="V243" s="82"/>
      <c r="X243" s="82"/>
      <c r="Y243" s="82"/>
      <c r="AB243" s="34"/>
      <c r="AC243" s="34"/>
    </row>
    <row r="244" spans="2:29" s="24" customFormat="1">
      <c r="B244" s="104"/>
      <c r="P244" s="170"/>
      <c r="Q244" s="171"/>
      <c r="R244" s="82"/>
      <c r="S244" s="82"/>
      <c r="T244" s="82"/>
      <c r="U244" s="82"/>
      <c r="V244" s="82"/>
      <c r="X244" s="82"/>
      <c r="Y244" s="82"/>
      <c r="AB244" s="34"/>
      <c r="AC244" s="34"/>
    </row>
    <row r="245" spans="2:29" s="24" customFormat="1">
      <c r="B245" s="104"/>
      <c r="P245" s="170"/>
      <c r="Q245" s="171"/>
      <c r="R245" s="82"/>
      <c r="S245" s="82"/>
      <c r="T245" s="82"/>
      <c r="U245" s="82"/>
      <c r="V245" s="82"/>
      <c r="X245" s="82"/>
      <c r="Y245" s="82"/>
      <c r="AB245" s="34"/>
      <c r="AC245" s="34"/>
    </row>
    <row r="246" spans="2:29" s="24" customFormat="1">
      <c r="B246" s="104"/>
      <c r="P246" s="170"/>
      <c r="Q246" s="171"/>
      <c r="R246" s="82"/>
      <c r="S246" s="82"/>
      <c r="T246" s="82"/>
      <c r="U246" s="82"/>
      <c r="V246" s="82"/>
      <c r="X246" s="82"/>
      <c r="Y246" s="82"/>
      <c r="AB246" s="34"/>
      <c r="AC246" s="34"/>
    </row>
    <row r="247" spans="2:29" s="24" customFormat="1">
      <c r="B247" s="104"/>
      <c r="P247" s="170"/>
      <c r="Q247" s="171"/>
      <c r="R247" s="82"/>
      <c r="S247" s="82"/>
      <c r="T247" s="82"/>
      <c r="U247" s="82"/>
      <c r="V247" s="82"/>
      <c r="X247" s="82"/>
      <c r="Y247" s="82"/>
      <c r="AB247" s="34"/>
      <c r="AC247" s="34"/>
    </row>
    <row r="248" spans="2:29" s="24" customFormat="1">
      <c r="B248" s="104"/>
      <c r="P248" s="170"/>
      <c r="Q248" s="171"/>
      <c r="R248" s="82"/>
      <c r="S248" s="82"/>
      <c r="T248" s="82"/>
      <c r="U248" s="82"/>
      <c r="V248" s="82"/>
      <c r="X248" s="82"/>
      <c r="Y248" s="82"/>
      <c r="AB248" s="34"/>
      <c r="AC248" s="34"/>
    </row>
    <row r="249" spans="2:29" s="24" customFormat="1">
      <c r="B249" s="104"/>
      <c r="P249" s="170"/>
      <c r="Q249" s="171"/>
      <c r="R249" s="82"/>
      <c r="S249" s="82"/>
      <c r="T249" s="82"/>
      <c r="U249" s="82"/>
      <c r="V249" s="82"/>
      <c r="X249" s="82"/>
      <c r="Y249" s="82"/>
      <c r="AB249" s="34"/>
      <c r="AC249" s="34"/>
    </row>
    <row r="250" spans="2:29" s="24" customFormat="1">
      <c r="B250" s="104"/>
      <c r="P250" s="170"/>
      <c r="Q250" s="171"/>
      <c r="R250" s="82"/>
      <c r="S250" s="82"/>
      <c r="T250" s="82"/>
      <c r="U250" s="82"/>
      <c r="V250" s="82"/>
      <c r="X250" s="82"/>
      <c r="Y250" s="82"/>
      <c r="AB250" s="34"/>
      <c r="AC250" s="34"/>
    </row>
    <row r="251" spans="2:29" s="24" customFormat="1">
      <c r="B251" s="104"/>
      <c r="P251" s="170"/>
      <c r="Q251" s="171"/>
      <c r="R251" s="82"/>
      <c r="S251" s="82"/>
      <c r="T251" s="82"/>
      <c r="U251" s="82"/>
      <c r="V251" s="82"/>
      <c r="X251" s="82"/>
      <c r="Y251" s="82"/>
      <c r="AB251" s="34"/>
      <c r="AC251" s="34"/>
    </row>
    <row r="252" spans="2:29" s="24" customFormat="1">
      <c r="B252" s="104"/>
      <c r="P252" s="170"/>
      <c r="Q252" s="171"/>
      <c r="R252" s="82"/>
      <c r="S252" s="82"/>
      <c r="T252" s="82"/>
      <c r="U252" s="82"/>
      <c r="V252" s="82"/>
      <c r="X252" s="82"/>
      <c r="Y252" s="82"/>
      <c r="AB252" s="34"/>
      <c r="AC252" s="34"/>
    </row>
    <row r="253" spans="2:29" s="24" customFormat="1">
      <c r="B253" s="104"/>
      <c r="P253" s="170"/>
      <c r="Q253" s="171"/>
      <c r="R253" s="82"/>
      <c r="S253" s="82"/>
      <c r="T253" s="82"/>
      <c r="U253" s="82"/>
      <c r="V253" s="82"/>
      <c r="X253" s="82"/>
      <c r="Y253" s="82"/>
      <c r="AB253" s="34"/>
      <c r="AC253" s="34"/>
    </row>
    <row r="254" spans="2:29" s="24" customFormat="1">
      <c r="B254" s="104"/>
      <c r="P254" s="170"/>
      <c r="Q254" s="171"/>
      <c r="R254" s="82"/>
      <c r="S254" s="82"/>
      <c r="T254" s="82"/>
      <c r="U254" s="82"/>
      <c r="V254" s="82"/>
      <c r="X254" s="82"/>
      <c r="Y254" s="82"/>
      <c r="AB254" s="34"/>
      <c r="AC254" s="34"/>
    </row>
    <row r="255" spans="2:29" s="24" customFormat="1">
      <c r="B255" s="104"/>
      <c r="P255" s="170"/>
      <c r="Q255" s="171"/>
      <c r="R255" s="82"/>
      <c r="S255" s="82"/>
      <c r="T255" s="82"/>
      <c r="U255" s="82"/>
      <c r="V255" s="82"/>
      <c r="X255" s="82"/>
      <c r="Y255" s="82"/>
      <c r="AB255" s="34"/>
      <c r="AC255" s="34"/>
    </row>
    <row r="256" spans="2:29" s="24" customFormat="1">
      <c r="B256" s="104"/>
      <c r="P256" s="170"/>
      <c r="Q256" s="171"/>
      <c r="R256" s="82"/>
      <c r="S256" s="82"/>
      <c r="T256" s="82"/>
      <c r="U256" s="82"/>
      <c r="V256" s="82"/>
      <c r="X256" s="82"/>
      <c r="Y256" s="82"/>
      <c r="AB256" s="34"/>
      <c r="AC256" s="34"/>
    </row>
    <row r="257" spans="2:29" s="24" customFormat="1">
      <c r="B257" s="104"/>
      <c r="P257" s="170"/>
      <c r="Q257" s="171"/>
      <c r="R257" s="82"/>
      <c r="S257" s="82"/>
      <c r="T257" s="82"/>
      <c r="U257" s="82"/>
      <c r="V257" s="82"/>
      <c r="X257" s="82"/>
      <c r="Y257" s="82"/>
      <c r="AB257" s="34"/>
      <c r="AC257" s="34"/>
    </row>
    <row r="258" spans="2:29" s="24" customFormat="1">
      <c r="B258" s="104"/>
      <c r="P258" s="170"/>
      <c r="Q258" s="171"/>
      <c r="R258" s="82"/>
      <c r="S258" s="82"/>
      <c r="T258" s="82"/>
      <c r="U258" s="82"/>
      <c r="V258" s="82"/>
      <c r="X258" s="82"/>
      <c r="Y258" s="82"/>
      <c r="AB258" s="34"/>
      <c r="AC258" s="34"/>
    </row>
    <row r="259" spans="2:29" s="24" customFormat="1">
      <c r="B259" s="104"/>
      <c r="P259" s="170"/>
      <c r="Q259" s="171"/>
      <c r="R259" s="82"/>
      <c r="S259" s="82"/>
      <c r="T259" s="82"/>
      <c r="U259" s="82"/>
      <c r="V259" s="82"/>
      <c r="X259" s="82"/>
      <c r="Y259" s="82"/>
      <c r="AB259" s="34"/>
      <c r="AC259" s="34"/>
    </row>
    <row r="260" spans="2:29" s="24" customFormat="1">
      <c r="B260" s="104"/>
      <c r="P260" s="170"/>
      <c r="Q260" s="171"/>
      <c r="R260" s="82"/>
      <c r="S260" s="82"/>
      <c r="T260" s="82"/>
      <c r="U260" s="82"/>
      <c r="V260" s="82"/>
      <c r="X260" s="82"/>
      <c r="Y260" s="82"/>
      <c r="AB260" s="34"/>
      <c r="AC260" s="34"/>
    </row>
    <row r="261" spans="2:29" s="24" customFormat="1">
      <c r="B261" s="104"/>
      <c r="P261" s="170"/>
      <c r="Q261" s="171"/>
      <c r="R261" s="82"/>
      <c r="S261" s="82"/>
      <c r="T261" s="82"/>
      <c r="U261" s="82"/>
      <c r="V261" s="82"/>
      <c r="X261" s="82"/>
      <c r="Y261" s="82"/>
      <c r="AB261" s="34"/>
      <c r="AC261" s="34"/>
    </row>
    <row r="262" spans="2:29" s="24" customFormat="1">
      <c r="B262" s="104"/>
      <c r="P262" s="170"/>
      <c r="Q262" s="171"/>
      <c r="R262" s="82"/>
      <c r="S262" s="82"/>
      <c r="T262" s="82"/>
      <c r="U262" s="82"/>
      <c r="V262" s="82"/>
      <c r="X262" s="82"/>
      <c r="Y262" s="82"/>
      <c r="AB262" s="34"/>
      <c r="AC262" s="34"/>
    </row>
    <row r="263" spans="2:29" s="24" customFormat="1">
      <c r="B263" s="104"/>
      <c r="P263" s="170"/>
      <c r="Q263" s="171"/>
      <c r="R263" s="82"/>
      <c r="S263" s="82"/>
      <c r="T263" s="82"/>
      <c r="U263" s="82"/>
      <c r="V263" s="82"/>
      <c r="X263" s="82"/>
      <c r="Y263" s="82"/>
      <c r="AB263" s="34"/>
      <c r="AC263" s="34"/>
    </row>
    <row r="264" spans="2:29" s="24" customFormat="1">
      <c r="B264" s="104"/>
      <c r="P264" s="170"/>
      <c r="Q264" s="171"/>
      <c r="R264" s="82"/>
      <c r="S264" s="82"/>
      <c r="T264" s="82"/>
      <c r="U264" s="82"/>
      <c r="V264" s="82"/>
      <c r="X264" s="82"/>
      <c r="Y264" s="82"/>
      <c r="AB264" s="34"/>
      <c r="AC264" s="34"/>
    </row>
    <row r="265" spans="2:29" s="24" customFormat="1">
      <c r="B265" s="104"/>
      <c r="P265" s="170"/>
      <c r="Q265" s="171"/>
      <c r="R265" s="82"/>
      <c r="S265" s="82"/>
      <c r="T265" s="82"/>
      <c r="U265" s="82"/>
      <c r="V265" s="82"/>
      <c r="X265" s="82"/>
      <c r="Y265" s="82"/>
      <c r="AB265" s="34"/>
      <c r="AC265" s="34"/>
    </row>
    <row r="266" spans="2:29" s="24" customFormat="1">
      <c r="B266" s="104"/>
      <c r="P266" s="170"/>
      <c r="Q266" s="171"/>
      <c r="R266" s="82"/>
      <c r="S266" s="82"/>
      <c r="T266" s="82"/>
      <c r="U266" s="82"/>
      <c r="V266" s="82"/>
      <c r="X266" s="82"/>
      <c r="Y266" s="82"/>
      <c r="AB266" s="34"/>
      <c r="AC266" s="34"/>
    </row>
    <row r="267" spans="2:29" s="24" customFormat="1">
      <c r="B267" s="104"/>
      <c r="P267" s="170"/>
      <c r="Q267" s="171"/>
      <c r="R267" s="82"/>
      <c r="S267" s="82"/>
      <c r="T267" s="82"/>
      <c r="U267" s="82"/>
      <c r="V267" s="82"/>
      <c r="X267" s="82"/>
      <c r="Y267" s="82"/>
      <c r="AB267" s="34"/>
      <c r="AC267" s="34"/>
    </row>
    <row r="268" spans="2:29" s="24" customFormat="1">
      <c r="B268" s="104"/>
      <c r="P268" s="170"/>
      <c r="Q268" s="171"/>
      <c r="R268" s="82"/>
      <c r="S268" s="82"/>
      <c r="T268" s="82"/>
      <c r="U268" s="82"/>
      <c r="V268" s="82"/>
      <c r="X268" s="82"/>
      <c r="Y268" s="82"/>
      <c r="AB268" s="34"/>
      <c r="AC268" s="34"/>
    </row>
    <row r="269" spans="2:29" s="24" customFormat="1">
      <c r="B269" s="104"/>
      <c r="P269" s="170"/>
      <c r="Q269" s="171"/>
      <c r="R269" s="82"/>
      <c r="S269" s="82"/>
      <c r="T269" s="82"/>
      <c r="U269" s="82"/>
      <c r="V269" s="82"/>
      <c r="X269" s="82"/>
      <c r="Y269" s="82"/>
      <c r="AB269" s="34"/>
      <c r="AC269" s="34"/>
    </row>
    <row r="270" spans="2:29" s="24" customFormat="1">
      <c r="B270" s="104"/>
      <c r="P270" s="170"/>
      <c r="Q270" s="171"/>
      <c r="R270" s="82"/>
      <c r="S270" s="82"/>
      <c r="T270" s="82"/>
      <c r="U270" s="82"/>
      <c r="V270" s="82"/>
      <c r="X270" s="82"/>
      <c r="Y270" s="82"/>
      <c r="AB270" s="34"/>
      <c r="AC270" s="34"/>
    </row>
    <row r="271" spans="2:29" s="24" customFormat="1">
      <c r="B271" s="104"/>
      <c r="P271" s="170"/>
      <c r="Q271" s="171"/>
      <c r="R271" s="82"/>
      <c r="S271" s="82"/>
      <c r="T271" s="82"/>
      <c r="U271" s="82"/>
      <c r="V271" s="82"/>
      <c r="X271" s="82"/>
      <c r="Y271" s="82"/>
      <c r="AB271" s="34"/>
      <c r="AC271" s="34"/>
    </row>
    <row r="272" spans="2:29" s="24" customFormat="1">
      <c r="B272" s="104"/>
      <c r="P272" s="170"/>
      <c r="Q272" s="171"/>
      <c r="R272" s="82"/>
      <c r="S272" s="82"/>
      <c r="T272" s="82"/>
      <c r="U272" s="82"/>
      <c r="V272" s="82"/>
      <c r="X272" s="82"/>
      <c r="Y272" s="82"/>
      <c r="AB272" s="34"/>
      <c r="AC272" s="34"/>
    </row>
    <row r="273" spans="2:29" s="24" customFormat="1">
      <c r="B273" s="104"/>
      <c r="P273" s="170"/>
      <c r="Q273" s="171"/>
      <c r="R273" s="82"/>
      <c r="S273" s="82"/>
      <c r="T273" s="82"/>
      <c r="U273" s="82"/>
      <c r="V273" s="82"/>
      <c r="X273" s="82"/>
      <c r="Y273" s="82"/>
      <c r="AB273" s="34"/>
      <c r="AC273" s="34"/>
    </row>
    <row r="274" spans="2:29" s="24" customFormat="1">
      <c r="B274" s="104"/>
      <c r="P274" s="170"/>
      <c r="Q274" s="171"/>
      <c r="R274" s="82"/>
      <c r="S274" s="82"/>
      <c r="T274" s="82"/>
      <c r="U274" s="82"/>
      <c r="V274" s="82"/>
      <c r="X274" s="82"/>
      <c r="Y274" s="82"/>
      <c r="AB274" s="34"/>
      <c r="AC274" s="34"/>
    </row>
    <row r="275" spans="2:29" s="24" customFormat="1">
      <c r="B275" s="104"/>
      <c r="P275" s="170"/>
      <c r="Q275" s="171"/>
      <c r="R275" s="82"/>
      <c r="S275" s="82"/>
      <c r="T275" s="82"/>
      <c r="U275" s="82"/>
      <c r="V275" s="82"/>
      <c r="X275" s="82"/>
      <c r="Y275" s="82"/>
      <c r="AB275" s="34"/>
      <c r="AC275" s="34"/>
    </row>
    <row r="276" spans="2:29" s="24" customFormat="1">
      <c r="B276" s="104"/>
      <c r="P276" s="170"/>
      <c r="Q276" s="171"/>
      <c r="R276" s="82"/>
      <c r="S276" s="82"/>
      <c r="T276" s="82"/>
      <c r="U276" s="82"/>
      <c r="V276" s="82"/>
      <c r="X276" s="82"/>
      <c r="Y276" s="82"/>
      <c r="AB276" s="34"/>
      <c r="AC276" s="34"/>
    </row>
    <row r="277" spans="2:29" s="24" customFormat="1">
      <c r="B277" s="104"/>
      <c r="P277" s="170"/>
      <c r="Q277" s="171"/>
      <c r="R277" s="82"/>
      <c r="S277" s="82"/>
      <c r="T277" s="82"/>
      <c r="U277" s="82"/>
      <c r="V277" s="82"/>
      <c r="X277" s="82"/>
      <c r="Y277" s="82"/>
      <c r="AB277" s="34"/>
      <c r="AC277" s="34"/>
    </row>
    <row r="278" spans="2:29" s="24" customFormat="1">
      <c r="B278" s="104"/>
      <c r="P278" s="170"/>
      <c r="Q278" s="171"/>
      <c r="R278" s="82"/>
      <c r="S278" s="82"/>
      <c r="T278" s="82"/>
      <c r="U278" s="82"/>
      <c r="V278" s="82"/>
      <c r="X278" s="82"/>
      <c r="Y278" s="82"/>
      <c r="AB278" s="34"/>
      <c r="AC278" s="34"/>
    </row>
    <row r="279" spans="2:29" s="24" customFormat="1">
      <c r="B279" s="104"/>
      <c r="P279" s="170"/>
      <c r="Q279" s="171"/>
      <c r="R279" s="82"/>
      <c r="S279" s="82"/>
      <c r="T279" s="82"/>
      <c r="U279" s="82"/>
      <c r="V279" s="82"/>
      <c r="X279" s="82"/>
      <c r="Y279" s="82"/>
      <c r="AB279" s="34"/>
      <c r="AC279" s="34"/>
    </row>
    <row r="280" spans="2:29" s="24" customFormat="1">
      <c r="B280" s="104"/>
      <c r="P280" s="170"/>
      <c r="Q280" s="171"/>
      <c r="R280" s="82"/>
      <c r="S280" s="82"/>
      <c r="T280" s="82"/>
      <c r="U280" s="82"/>
      <c r="V280" s="82"/>
      <c r="X280" s="82"/>
      <c r="Y280" s="82"/>
      <c r="AB280" s="34"/>
      <c r="AC280" s="34"/>
    </row>
    <row r="281" spans="2:29" s="24" customFormat="1">
      <c r="B281" s="104"/>
      <c r="P281" s="170"/>
      <c r="Q281" s="171"/>
      <c r="R281" s="82"/>
      <c r="S281" s="82"/>
      <c r="T281" s="82"/>
      <c r="U281" s="82"/>
      <c r="V281" s="82"/>
      <c r="X281" s="82"/>
      <c r="Y281" s="82"/>
      <c r="AB281" s="34"/>
      <c r="AC281" s="34"/>
    </row>
    <row r="282" spans="2:29" s="24" customFormat="1">
      <c r="B282" s="104"/>
      <c r="P282" s="170"/>
      <c r="Q282" s="171"/>
      <c r="R282" s="82"/>
      <c r="S282" s="82"/>
      <c r="T282" s="82"/>
      <c r="U282" s="82"/>
      <c r="V282" s="82"/>
      <c r="X282" s="82"/>
      <c r="Y282" s="82"/>
      <c r="AB282" s="34"/>
      <c r="AC282" s="34"/>
    </row>
    <row r="283" spans="2:29" s="24" customFormat="1">
      <c r="B283" s="104"/>
      <c r="P283" s="170"/>
      <c r="Q283" s="171"/>
      <c r="R283" s="82"/>
      <c r="S283" s="82"/>
      <c r="T283" s="82"/>
      <c r="U283" s="82"/>
      <c r="V283" s="82"/>
      <c r="X283" s="82"/>
      <c r="Y283" s="82"/>
      <c r="AB283" s="34"/>
      <c r="AC283" s="34"/>
    </row>
    <row r="284" spans="2:29" s="24" customFormat="1">
      <c r="B284" s="104"/>
      <c r="P284" s="170"/>
      <c r="Q284" s="171"/>
      <c r="R284" s="82"/>
      <c r="S284" s="82"/>
      <c r="T284" s="82"/>
      <c r="U284" s="82"/>
      <c r="V284" s="82"/>
      <c r="X284" s="82"/>
      <c r="Y284" s="82"/>
      <c r="AB284" s="34"/>
      <c r="AC284" s="34"/>
    </row>
    <row r="285" spans="2:29" s="24" customFormat="1">
      <c r="B285" s="104"/>
      <c r="P285" s="170"/>
      <c r="Q285" s="171"/>
      <c r="R285" s="82"/>
      <c r="S285" s="82"/>
      <c r="T285" s="82"/>
      <c r="U285" s="82"/>
      <c r="V285" s="82"/>
      <c r="X285" s="82"/>
      <c r="Y285" s="82"/>
      <c r="AB285" s="34"/>
      <c r="AC285" s="34"/>
    </row>
    <row r="286" spans="2:29" s="24" customFormat="1">
      <c r="B286" s="104"/>
      <c r="P286" s="170"/>
      <c r="Q286" s="171"/>
      <c r="R286" s="82"/>
      <c r="S286" s="82"/>
      <c r="T286" s="82"/>
      <c r="U286" s="82"/>
      <c r="V286" s="82"/>
      <c r="X286" s="82"/>
      <c r="Y286" s="82"/>
      <c r="AB286" s="34"/>
      <c r="AC286" s="34"/>
    </row>
    <row r="287" spans="2:29" s="24" customFormat="1">
      <c r="B287" s="104"/>
      <c r="P287" s="170"/>
      <c r="Q287" s="171"/>
      <c r="R287" s="82"/>
      <c r="S287" s="82"/>
      <c r="T287" s="82"/>
      <c r="U287" s="82"/>
      <c r="V287" s="82"/>
      <c r="X287" s="82"/>
      <c r="Y287" s="82"/>
      <c r="AB287" s="34"/>
      <c r="AC287" s="34"/>
    </row>
    <row r="288" spans="2:29" s="24" customFormat="1">
      <c r="B288" s="104"/>
      <c r="P288" s="170"/>
      <c r="Q288" s="171"/>
      <c r="R288" s="82"/>
      <c r="S288" s="82"/>
      <c r="T288" s="82"/>
      <c r="U288" s="82"/>
      <c r="V288" s="82"/>
      <c r="X288" s="82"/>
      <c r="Y288" s="82"/>
      <c r="AB288" s="34"/>
      <c r="AC288" s="34"/>
    </row>
    <row r="289" spans="2:29" s="24" customFormat="1">
      <c r="B289" s="104"/>
      <c r="P289" s="170"/>
      <c r="Q289" s="171"/>
      <c r="R289" s="82"/>
      <c r="S289" s="82"/>
      <c r="T289" s="82"/>
      <c r="U289" s="82"/>
      <c r="V289" s="82"/>
      <c r="X289" s="82"/>
      <c r="Y289" s="82"/>
      <c r="AB289" s="34"/>
      <c r="AC289" s="34"/>
    </row>
    <row r="290" spans="2:29" s="24" customFormat="1">
      <c r="B290" s="104"/>
      <c r="P290" s="170"/>
      <c r="Q290" s="171"/>
      <c r="R290" s="82"/>
      <c r="S290" s="82"/>
      <c r="T290" s="82"/>
      <c r="U290" s="82"/>
      <c r="V290" s="82"/>
      <c r="X290" s="82"/>
      <c r="Y290" s="82"/>
      <c r="AB290" s="34"/>
      <c r="AC290" s="34"/>
    </row>
    <row r="291" spans="2:29" s="24" customFormat="1">
      <c r="B291" s="104"/>
      <c r="P291" s="170"/>
      <c r="Q291" s="171"/>
      <c r="R291" s="82"/>
      <c r="S291" s="82"/>
      <c r="T291" s="82"/>
      <c r="U291" s="82"/>
      <c r="V291" s="82"/>
      <c r="X291" s="82"/>
      <c r="Y291" s="82"/>
      <c r="AB291" s="34"/>
      <c r="AC291" s="34"/>
    </row>
    <row r="292" spans="2:29" s="24" customFormat="1">
      <c r="B292" s="104"/>
      <c r="P292" s="170"/>
      <c r="Q292" s="171"/>
      <c r="R292" s="82"/>
      <c r="S292" s="82"/>
      <c r="T292" s="82"/>
      <c r="U292" s="82"/>
      <c r="V292" s="82"/>
      <c r="X292" s="82"/>
      <c r="Y292" s="82"/>
      <c r="AB292" s="34"/>
      <c r="AC292" s="34"/>
    </row>
    <row r="293" spans="2:29" s="24" customFormat="1">
      <c r="B293" s="104"/>
      <c r="P293" s="170"/>
      <c r="Q293" s="171"/>
      <c r="R293" s="82"/>
      <c r="S293" s="82"/>
      <c r="T293" s="82"/>
      <c r="U293" s="82"/>
      <c r="V293" s="82"/>
      <c r="X293" s="82"/>
      <c r="Y293" s="82"/>
      <c r="AB293" s="34"/>
      <c r="AC293" s="34"/>
    </row>
    <row r="294" spans="2:29" s="24" customFormat="1">
      <c r="B294" s="104"/>
      <c r="P294" s="170"/>
      <c r="Q294" s="171"/>
      <c r="R294" s="82"/>
      <c r="S294" s="82"/>
      <c r="T294" s="82"/>
      <c r="U294" s="82"/>
      <c r="V294" s="82"/>
      <c r="X294" s="82"/>
      <c r="Y294" s="82"/>
      <c r="AB294" s="34"/>
      <c r="AC294" s="34"/>
    </row>
    <row r="295" spans="2:29" s="24" customFormat="1">
      <c r="B295" s="104"/>
      <c r="P295" s="170"/>
      <c r="Q295" s="171"/>
      <c r="R295" s="82"/>
      <c r="S295" s="82"/>
      <c r="T295" s="82"/>
      <c r="U295" s="82"/>
      <c r="V295" s="82"/>
      <c r="X295" s="82"/>
      <c r="Y295" s="82"/>
      <c r="AB295" s="34"/>
      <c r="AC295" s="34"/>
    </row>
    <row r="296" spans="2:29" s="24" customFormat="1">
      <c r="B296" s="104"/>
      <c r="P296" s="170"/>
      <c r="Q296" s="171"/>
      <c r="R296" s="82"/>
      <c r="S296" s="82"/>
      <c r="T296" s="82"/>
      <c r="U296" s="82"/>
      <c r="V296" s="82"/>
      <c r="X296" s="82"/>
      <c r="Y296" s="82"/>
      <c r="AB296" s="34"/>
      <c r="AC296" s="34"/>
    </row>
    <row r="297" spans="2:29" s="24" customFormat="1">
      <c r="B297" s="104"/>
      <c r="P297" s="170"/>
      <c r="Q297" s="171"/>
      <c r="R297" s="82"/>
      <c r="S297" s="82"/>
      <c r="T297" s="82"/>
      <c r="U297" s="82"/>
      <c r="V297" s="82"/>
      <c r="X297" s="82"/>
      <c r="Y297" s="82"/>
      <c r="AB297" s="34"/>
      <c r="AC297" s="34"/>
    </row>
    <row r="298" spans="2:29" s="24" customFormat="1">
      <c r="B298" s="104"/>
      <c r="P298" s="170"/>
      <c r="Q298" s="171"/>
      <c r="R298" s="82"/>
      <c r="S298" s="82"/>
      <c r="T298" s="82"/>
      <c r="U298" s="82"/>
      <c r="V298" s="82"/>
      <c r="X298" s="82"/>
      <c r="Y298" s="82"/>
      <c r="AB298" s="34"/>
      <c r="AC298" s="34"/>
    </row>
    <row r="299" spans="2:29" s="24" customFormat="1">
      <c r="B299" s="104"/>
      <c r="P299" s="170"/>
      <c r="Q299" s="171"/>
      <c r="R299" s="82"/>
      <c r="S299" s="82"/>
      <c r="T299" s="82"/>
      <c r="U299" s="82"/>
      <c r="V299" s="82"/>
      <c r="X299" s="82"/>
      <c r="Y299" s="82"/>
      <c r="AB299" s="34"/>
      <c r="AC299" s="34"/>
    </row>
    <row r="300" spans="2:29" s="24" customFormat="1">
      <c r="B300" s="104"/>
      <c r="P300" s="170"/>
      <c r="Q300" s="171"/>
      <c r="R300" s="82"/>
      <c r="S300" s="82"/>
      <c r="T300" s="82"/>
      <c r="U300" s="82"/>
      <c r="V300" s="82"/>
      <c r="X300" s="82"/>
      <c r="Y300" s="82"/>
      <c r="AB300" s="34"/>
      <c r="AC300" s="34"/>
    </row>
    <row r="301" spans="2:29" s="24" customFormat="1">
      <c r="B301" s="104"/>
      <c r="P301" s="170"/>
      <c r="Q301" s="171"/>
      <c r="R301" s="82"/>
      <c r="S301" s="82"/>
      <c r="T301" s="82"/>
      <c r="U301" s="82"/>
      <c r="V301" s="82"/>
      <c r="X301" s="82"/>
      <c r="Y301" s="82"/>
      <c r="AB301" s="34"/>
      <c r="AC301" s="34"/>
    </row>
    <row r="302" spans="2:29" s="24" customFormat="1">
      <c r="B302" s="104"/>
      <c r="P302" s="170"/>
      <c r="Q302" s="171"/>
      <c r="R302" s="82"/>
      <c r="S302" s="82"/>
      <c r="T302" s="82"/>
      <c r="U302" s="82"/>
      <c r="V302" s="82"/>
      <c r="X302" s="82"/>
      <c r="Y302" s="82"/>
      <c r="AB302" s="34"/>
      <c r="AC302" s="34"/>
    </row>
    <row r="303" spans="2:29" s="24" customFormat="1">
      <c r="B303" s="104"/>
      <c r="P303" s="170"/>
      <c r="Q303" s="171"/>
      <c r="R303" s="82"/>
      <c r="S303" s="82"/>
      <c r="T303" s="82"/>
      <c r="U303" s="82"/>
      <c r="V303" s="82"/>
      <c r="X303" s="82"/>
      <c r="Y303" s="82"/>
      <c r="AB303" s="34"/>
      <c r="AC303" s="34"/>
    </row>
    <row r="304" spans="2:29" s="24" customFormat="1">
      <c r="B304" s="104"/>
      <c r="P304" s="170"/>
      <c r="Q304" s="171"/>
      <c r="R304" s="82"/>
      <c r="S304" s="82"/>
      <c r="T304" s="82"/>
      <c r="U304" s="82"/>
      <c r="V304" s="82"/>
      <c r="X304" s="82"/>
      <c r="Y304" s="82"/>
      <c r="AB304" s="34"/>
      <c r="AC304" s="34"/>
    </row>
    <row r="305" spans="2:29" s="24" customFormat="1">
      <c r="B305" s="104"/>
      <c r="P305" s="170"/>
      <c r="Q305" s="171"/>
      <c r="R305" s="82"/>
      <c r="S305" s="82"/>
      <c r="T305" s="82"/>
      <c r="U305" s="82"/>
      <c r="V305" s="82"/>
      <c r="X305" s="82"/>
      <c r="Y305" s="82"/>
      <c r="AB305" s="34"/>
      <c r="AC305" s="34"/>
    </row>
    <row r="306" spans="2:29" s="24" customFormat="1">
      <c r="B306" s="104"/>
      <c r="P306" s="170"/>
      <c r="Q306" s="171"/>
      <c r="R306" s="82"/>
      <c r="S306" s="82"/>
      <c r="T306" s="82"/>
      <c r="U306" s="82"/>
      <c r="V306" s="82"/>
      <c r="X306" s="82"/>
      <c r="Y306" s="82"/>
      <c r="AB306" s="34"/>
      <c r="AC306" s="34"/>
    </row>
    <row r="307" spans="2:29" s="24" customFormat="1">
      <c r="B307" s="104"/>
      <c r="P307" s="170"/>
      <c r="Q307" s="171"/>
      <c r="R307" s="82"/>
      <c r="S307" s="82"/>
      <c r="T307" s="82"/>
      <c r="U307" s="82"/>
      <c r="V307" s="82"/>
      <c r="X307" s="82"/>
      <c r="Y307" s="82"/>
      <c r="AB307" s="34"/>
      <c r="AC307" s="34"/>
    </row>
    <row r="308" spans="2:29" s="24" customFormat="1">
      <c r="B308" s="104"/>
      <c r="P308" s="170"/>
      <c r="Q308" s="171"/>
      <c r="R308" s="82"/>
      <c r="S308" s="82"/>
      <c r="T308" s="82"/>
      <c r="U308" s="82"/>
      <c r="V308" s="82"/>
      <c r="X308" s="82"/>
      <c r="Y308" s="82"/>
      <c r="AB308" s="34"/>
      <c r="AC308" s="34"/>
    </row>
    <row r="309" spans="2:29" s="24" customFormat="1">
      <c r="B309" s="104"/>
      <c r="P309" s="170"/>
      <c r="Q309" s="171"/>
      <c r="R309" s="82"/>
      <c r="S309" s="82"/>
      <c r="T309" s="82"/>
      <c r="U309" s="82"/>
      <c r="V309" s="82"/>
      <c r="X309" s="82"/>
      <c r="Y309" s="82"/>
      <c r="AB309" s="34"/>
      <c r="AC309" s="34"/>
    </row>
    <row r="310" spans="2:29" s="24" customFormat="1">
      <c r="B310" s="104"/>
      <c r="P310" s="170"/>
      <c r="Q310" s="171"/>
      <c r="R310" s="82"/>
      <c r="S310" s="82"/>
      <c r="T310" s="82"/>
      <c r="U310" s="82"/>
      <c r="V310" s="82"/>
      <c r="X310" s="82"/>
      <c r="Y310" s="82"/>
      <c r="AB310" s="34"/>
      <c r="AC310" s="34"/>
    </row>
    <row r="311" spans="2:29" s="24" customFormat="1">
      <c r="B311" s="104"/>
      <c r="P311" s="170"/>
      <c r="Q311" s="171"/>
      <c r="R311" s="82"/>
      <c r="S311" s="82"/>
      <c r="T311" s="82"/>
      <c r="U311" s="82"/>
      <c r="V311" s="82"/>
      <c r="X311" s="82"/>
      <c r="Y311" s="82"/>
      <c r="AB311" s="34"/>
      <c r="AC311" s="34"/>
    </row>
    <row r="312" spans="2:29" s="24" customFormat="1">
      <c r="B312" s="104"/>
      <c r="P312" s="170"/>
      <c r="Q312" s="171"/>
      <c r="R312" s="82"/>
      <c r="S312" s="82"/>
      <c r="T312" s="82"/>
      <c r="U312" s="82"/>
      <c r="V312" s="82"/>
      <c r="X312" s="82"/>
      <c r="Y312" s="82"/>
      <c r="AB312" s="34"/>
      <c r="AC312" s="34"/>
    </row>
    <row r="313" spans="2:29" s="24" customFormat="1">
      <c r="B313" s="104"/>
      <c r="P313" s="170"/>
      <c r="Q313" s="171"/>
      <c r="R313" s="82"/>
      <c r="S313" s="82"/>
      <c r="T313" s="82"/>
      <c r="U313" s="82"/>
      <c r="V313" s="82"/>
      <c r="X313" s="82"/>
      <c r="Y313" s="82"/>
      <c r="AB313" s="34"/>
      <c r="AC313" s="34"/>
    </row>
    <row r="314" spans="2:29" s="24" customFormat="1">
      <c r="B314" s="104"/>
      <c r="P314" s="170"/>
      <c r="Q314" s="171"/>
      <c r="R314" s="82"/>
      <c r="S314" s="82"/>
      <c r="T314" s="82"/>
      <c r="U314" s="82"/>
      <c r="V314" s="82"/>
      <c r="X314" s="82"/>
      <c r="Y314" s="82"/>
      <c r="AB314" s="34"/>
      <c r="AC314" s="34"/>
    </row>
    <row r="315" spans="2:29" s="24" customFormat="1">
      <c r="B315" s="104"/>
      <c r="P315" s="170"/>
      <c r="Q315" s="171"/>
      <c r="R315" s="82"/>
      <c r="S315" s="82"/>
      <c r="T315" s="82"/>
      <c r="U315" s="82"/>
      <c r="V315" s="82"/>
      <c r="X315" s="82"/>
      <c r="Y315" s="82"/>
      <c r="AB315" s="34"/>
      <c r="AC315" s="34"/>
    </row>
    <row r="316" spans="2:29" s="24" customFormat="1">
      <c r="B316" s="104"/>
      <c r="P316" s="170"/>
      <c r="Q316" s="171"/>
      <c r="R316" s="82"/>
      <c r="S316" s="82"/>
      <c r="T316" s="82"/>
      <c r="U316" s="82"/>
      <c r="V316" s="82"/>
      <c r="X316" s="82"/>
      <c r="Y316" s="82"/>
      <c r="AB316" s="34"/>
      <c r="AC316" s="34"/>
    </row>
    <row r="317" spans="2:29" s="24" customFormat="1">
      <c r="B317" s="104"/>
      <c r="P317" s="170"/>
      <c r="Q317" s="171"/>
      <c r="R317" s="82"/>
      <c r="S317" s="82"/>
      <c r="T317" s="82"/>
      <c r="U317" s="82"/>
      <c r="V317" s="82"/>
      <c r="X317" s="82"/>
      <c r="Y317" s="82"/>
      <c r="AB317" s="34"/>
      <c r="AC317" s="34"/>
    </row>
    <row r="318" spans="2:29" s="24" customFormat="1">
      <c r="B318" s="104"/>
      <c r="P318" s="170"/>
      <c r="Q318" s="171"/>
      <c r="R318" s="82"/>
      <c r="S318" s="82"/>
      <c r="T318" s="82"/>
      <c r="U318" s="82"/>
      <c r="V318" s="82"/>
      <c r="X318" s="82"/>
      <c r="Y318" s="82"/>
      <c r="AB318" s="34"/>
      <c r="AC318" s="34"/>
    </row>
    <row r="319" spans="2:29" s="24" customFormat="1">
      <c r="B319" s="104"/>
      <c r="P319" s="170"/>
      <c r="Q319" s="171"/>
      <c r="R319" s="82"/>
      <c r="S319" s="82"/>
      <c r="T319" s="82"/>
      <c r="U319" s="82"/>
      <c r="V319" s="82"/>
      <c r="X319" s="82"/>
      <c r="Y319" s="82"/>
      <c r="AB319" s="34"/>
      <c r="AC319" s="34"/>
    </row>
    <row r="320" spans="2:29" s="24" customFormat="1">
      <c r="B320" s="104"/>
      <c r="P320" s="170"/>
      <c r="Q320" s="171"/>
      <c r="R320" s="82"/>
      <c r="S320" s="82"/>
      <c r="T320" s="82"/>
      <c r="U320" s="82"/>
      <c r="V320" s="82"/>
      <c r="X320" s="82"/>
      <c r="Y320" s="82"/>
      <c r="AB320" s="34"/>
      <c r="AC320" s="34"/>
    </row>
    <row r="321" spans="2:29" s="24" customFormat="1">
      <c r="B321" s="104"/>
      <c r="P321" s="170"/>
      <c r="Q321" s="171"/>
      <c r="R321" s="82"/>
      <c r="S321" s="82"/>
      <c r="T321" s="82"/>
      <c r="U321" s="82"/>
      <c r="V321" s="82"/>
      <c r="X321" s="82"/>
      <c r="Y321" s="82"/>
      <c r="AB321" s="34"/>
      <c r="AC321" s="34"/>
    </row>
    <row r="322" spans="2:29" s="24" customFormat="1">
      <c r="B322" s="104"/>
      <c r="P322" s="170"/>
      <c r="Q322" s="171"/>
      <c r="R322" s="82"/>
      <c r="S322" s="82"/>
      <c r="T322" s="82"/>
      <c r="U322" s="82"/>
      <c r="V322" s="82"/>
      <c r="X322" s="82"/>
      <c r="Y322" s="82"/>
      <c r="AB322" s="34"/>
      <c r="AC322" s="34"/>
    </row>
    <row r="323" spans="2:29" s="24" customFormat="1">
      <c r="B323" s="104"/>
      <c r="P323" s="170"/>
      <c r="Q323" s="171"/>
      <c r="R323" s="82"/>
      <c r="S323" s="82"/>
      <c r="T323" s="82"/>
      <c r="U323" s="82"/>
      <c r="V323" s="82"/>
      <c r="X323" s="82"/>
      <c r="Y323" s="82"/>
      <c r="AB323" s="34"/>
      <c r="AC323" s="34"/>
    </row>
    <row r="324" spans="2:29" s="24" customFormat="1">
      <c r="B324" s="104"/>
      <c r="P324" s="170"/>
      <c r="Q324" s="171"/>
      <c r="R324" s="82"/>
      <c r="S324" s="82"/>
      <c r="T324" s="82"/>
      <c r="U324" s="82"/>
      <c r="V324" s="82"/>
      <c r="X324" s="82"/>
      <c r="Y324" s="82"/>
      <c r="AB324" s="34"/>
      <c r="AC324" s="34"/>
    </row>
    <row r="325" spans="2:29" s="24" customFormat="1">
      <c r="B325" s="104"/>
      <c r="P325" s="170"/>
      <c r="Q325" s="171"/>
      <c r="R325" s="82"/>
      <c r="S325" s="82"/>
      <c r="T325" s="82"/>
      <c r="U325" s="82"/>
      <c r="V325" s="82"/>
      <c r="X325" s="82"/>
      <c r="Y325" s="82"/>
      <c r="AB325" s="34"/>
      <c r="AC325" s="34"/>
    </row>
    <row r="326" spans="2:29" s="24" customFormat="1">
      <c r="B326" s="104"/>
      <c r="P326" s="170"/>
      <c r="Q326" s="171"/>
      <c r="R326" s="82"/>
      <c r="S326" s="82"/>
      <c r="T326" s="82"/>
      <c r="U326" s="82"/>
      <c r="V326" s="82"/>
      <c r="X326" s="82"/>
      <c r="Y326" s="82"/>
      <c r="AB326" s="34"/>
      <c r="AC326" s="34"/>
    </row>
    <row r="327" spans="2:29" s="24" customFormat="1">
      <c r="B327" s="104"/>
      <c r="P327" s="170"/>
      <c r="Q327" s="171"/>
      <c r="R327" s="82"/>
      <c r="S327" s="82"/>
      <c r="T327" s="82"/>
      <c r="U327" s="82"/>
      <c r="V327" s="82"/>
      <c r="X327" s="82"/>
      <c r="Y327" s="82"/>
      <c r="AB327" s="34"/>
      <c r="AC327" s="34"/>
    </row>
    <row r="328" spans="2:29" s="24" customFormat="1">
      <c r="B328" s="104"/>
      <c r="P328" s="170"/>
      <c r="Q328" s="171"/>
      <c r="R328" s="82"/>
      <c r="S328" s="82"/>
      <c r="T328" s="82"/>
      <c r="U328" s="82"/>
      <c r="V328" s="82"/>
      <c r="X328" s="82"/>
      <c r="Y328" s="82"/>
      <c r="AB328" s="34"/>
      <c r="AC328" s="34"/>
    </row>
    <row r="329" spans="2:29" s="24" customFormat="1">
      <c r="B329" s="104"/>
      <c r="P329" s="170"/>
      <c r="Q329" s="171"/>
      <c r="R329" s="82"/>
      <c r="S329" s="82"/>
      <c r="T329" s="82"/>
      <c r="U329" s="82"/>
      <c r="V329" s="82"/>
      <c r="X329" s="82"/>
      <c r="Y329" s="82"/>
      <c r="AB329" s="34"/>
      <c r="AC329" s="34"/>
    </row>
    <row r="330" spans="2:29" s="24" customFormat="1">
      <c r="B330" s="104"/>
      <c r="P330" s="170"/>
      <c r="Q330" s="171"/>
      <c r="R330" s="82"/>
      <c r="S330" s="82"/>
      <c r="T330" s="82"/>
      <c r="U330" s="82"/>
      <c r="V330" s="82"/>
      <c r="X330" s="82"/>
      <c r="Y330" s="82"/>
      <c r="AB330" s="34"/>
      <c r="AC330" s="34"/>
    </row>
    <row r="331" spans="2:29" s="24" customFormat="1">
      <c r="B331" s="104"/>
      <c r="P331" s="170"/>
      <c r="Q331" s="171"/>
      <c r="R331" s="82"/>
      <c r="S331" s="82"/>
      <c r="T331" s="82"/>
      <c r="U331" s="82"/>
      <c r="V331" s="82"/>
      <c r="X331" s="82"/>
      <c r="Y331" s="82"/>
      <c r="AB331" s="34"/>
      <c r="AC331" s="34"/>
    </row>
    <row r="332" spans="2:29" s="24" customFormat="1">
      <c r="B332" s="104"/>
      <c r="P332" s="170"/>
      <c r="Q332" s="171"/>
      <c r="R332" s="82"/>
      <c r="S332" s="82"/>
      <c r="T332" s="82"/>
      <c r="U332" s="82"/>
      <c r="V332" s="82"/>
      <c r="X332" s="82"/>
      <c r="Y332" s="82"/>
      <c r="AB332" s="34"/>
      <c r="AC332" s="34"/>
    </row>
    <row r="333" spans="2:29" s="24" customFormat="1">
      <c r="B333" s="104"/>
      <c r="P333" s="170"/>
      <c r="Q333" s="171"/>
      <c r="R333" s="82"/>
      <c r="S333" s="82"/>
      <c r="T333" s="82"/>
      <c r="U333" s="82"/>
      <c r="V333" s="82"/>
      <c r="X333" s="82"/>
      <c r="Y333" s="82"/>
      <c r="AB333" s="34"/>
      <c r="AC333" s="34"/>
    </row>
    <row r="334" spans="2:29" s="24" customFormat="1">
      <c r="B334" s="104"/>
      <c r="P334" s="170"/>
      <c r="Q334" s="171"/>
      <c r="R334" s="82"/>
      <c r="S334" s="82"/>
      <c r="T334" s="82"/>
      <c r="U334" s="82"/>
      <c r="V334" s="82"/>
      <c r="X334" s="82"/>
      <c r="Y334" s="82"/>
      <c r="AB334" s="34"/>
      <c r="AC334" s="34"/>
    </row>
    <row r="335" spans="2:29" s="24" customFormat="1">
      <c r="B335" s="104"/>
      <c r="P335" s="170"/>
      <c r="Q335" s="171"/>
      <c r="R335" s="82"/>
      <c r="S335" s="82"/>
      <c r="T335" s="82"/>
      <c r="U335" s="82"/>
      <c r="V335" s="82"/>
      <c r="X335" s="82"/>
      <c r="Y335" s="82"/>
      <c r="AB335" s="34"/>
      <c r="AC335" s="34"/>
    </row>
    <row r="336" spans="2:29" s="24" customFormat="1">
      <c r="B336" s="104"/>
      <c r="P336" s="170"/>
      <c r="Q336" s="171"/>
      <c r="R336" s="82"/>
      <c r="S336" s="82"/>
      <c r="T336" s="82"/>
      <c r="U336" s="82"/>
      <c r="V336" s="82"/>
      <c r="X336" s="82"/>
      <c r="Y336" s="82"/>
      <c r="AB336" s="34"/>
      <c r="AC336" s="34"/>
    </row>
    <row r="337" spans="2:29" s="24" customFormat="1">
      <c r="B337" s="104"/>
      <c r="P337" s="170"/>
      <c r="Q337" s="171"/>
      <c r="R337" s="82"/>
      <c r="S337" s="82"/>
      <c r="T337" s="82"/>
      <c r="U337" s="82"/>
      <c r="V337" s="82"/>
      <c r="X337" s="82"/>
      <c r="Y337" s="82"/>
      <c r="AB337" s="34"/>
      <c r="AC337" s="34"/>
    </row>
    <row r="338" spans="2:29" s="24" customFormat="1">
      <c r="B338" s="104"/>
      <c r="P338" s="170"/>
      <c r="Q338" s="171"/>
      <c r="R338" s="82"/>
      <c r="S338" s="82"/>
      <c r="T338" s="82"/>
      <c r="U338" s="82"/>
      <c r="V338" s="82"/>
      <c r="X338" s="82"/>
      <c r="Y338" s="82"/>
      <c r="AB338" s="34"/>
      <c r="AC338" s="34"/>
    </row>
    <row r="339" spans="2:29" s="24" customFormat="1">
      <c r="B339" s="104"/>
      <c r="P339" s="170"/>
      <c r="Q339" s="171"/>
      <c r="R339" s="82"/>
      <c r="S339" s="82"/>
      <c r="T339" s="82"/>
      <c r="U339" s="82"/>
      <c r="V339" s="82"/>
      <c r="X339" s="82"/>
      <c r="Y339" s="82"/>
      <c r="AB339" s="34"/>
      <c r="AC339" s="34"/>
    </row>
    <row r="340" spans="2:29" s="24" customFormat="1">
      <c r="B340" s="104"/>
      <c r="P340" s="170"/>
      <c r="Q340" s="171"/>
      <c r="R340" s="82"/>
      <c r="S340" s="82"/>
      <c r="T340" s="82"/>
      <c r="U340" s="82"/>
      <c r="V340" s="82"/>
      <c r="X340" s="82"/>
      <c r="Y340" s="82"/>
      <c r="AB340" s="34"/>
      <c r="AC340" s="34"/>
    </row>
    <row r="341" spans="2:29" s="24" customFormat="1">
      <c r="B341" s="104"/>
      <c r="P341" s="170"/>
      <c r="Q341" s="171"/>
      <c r="R341" s="82"/>
      <c r="S341" s="82"/>
      <c r="T341" s="82"/>
      <c r="U341" s="82"/>
      <c r="V341" s="82"/>
      <c r="X341" s="82"/>
      <c r="Y341" s="82"/>
      <c r="AB341" s="34"/>
      <c r="AC341" s="34"/>
    </row>
    <row r="342" spans="2:29" s="24" customFormat="1">
      <c r="B342" s="104"/>
      <c r="P342" s="170"/>
      <c r="Q342" s="171"/>
      <c r="R342" s="82"/>
      <c r="S342" s="82"/>
      <c r="T342" s="82"/>
      <c r="U342" s="82"/>
      <c r="V342" s="82"/>
      <c r="X342" s="82"/>
      <c r="Y342" s="82"/>
      <c r="AB342" s="34"/>
      <c r="AC342" s="34"/>
    </row>
    <row r="343" spans="2:29" s="24" customFormat="1">
      <c r="B343" s="104"/>
      <c r="P343" s="170"/>
      <c r="Q343" s="171"/>
      <c r="R343" s="82"/>
      <c r="S343" s="82"/>
      <c r="T343" s="82"/>
      <c r="U343" s="82"/>
      <c r="V343" s="82"/>
      <c r="X343" s="82"/>
      <c r="Y343" s="82"/>
      <c r="AB343" s="34"/>
      <c r="AC343" s="34"/>
    </row>
    <row r="344" spans="2:29" s="24" customFormat="1">
      <c r="B344" s="104"/>
      <c r="P344" s="170"/>
      <c r="Q344" s="171"/>
      <c r="R344" s="82"/>
      <c r="S344" s="82"/>
      <c r="T344" s="82"/>
      <c r="U344" s="82"/>
      <c r="V344" s="82"/>
      <c r="X344" s="82"/>
      <c r="Y344" s="82"/>
      <c r="AB344" s="34"/>
      <c r="AC344" s="34"/>
    </row>
    <row r="345" spans="2:29" s="24" customFormat="1">
      <c r="B345" s="104"/>
      <c r="P345" s="170"/>
      <c r="Q345" s="171"/>
      <c r="R345" s="82"/>
      <c r="S345" s="82"/>
      <c r="T345" s="82"/>
      <c r="U345" s="82"/>
      <c r="V345" s="82"/>
      <c r="X345" s="82"/>
      <c r="Y345" s="82"/>
      <c r="AB345" s="34"/>
      <c r="AC345" s="34"/>
    </row>
    <row r="346" spans="2:29" s="24" customFormat="1">
      <c r="B346" s="104"/>
      <c r="P346" s="170"/>
      <c r="Q346" s="171"/>
      <c r="R346" s="82"/>
      <c r="S346" s="82"/>
      <c r="T346" s="82"/>
      <c r="U346" s="82"/>
      <c r="V346" s="82"/>
      <c r="X346" s="82"/>
      <c r="Y346" s="82"/>
      <c r="AB346" s="34"/>
      <c r="AC346" s="34"/>
    </row>
    <row r="347" spans="2:29" s="24" customFormat="1">
      <c r="B347" s="104"/>
      <c r="P347" s="170"/>
      <c r="Q347" s="171"/>
      <c r="R347" s="82"/>
      <c r="S347" s="82"/>
      <c r="T347" s="82"/>
      <c r="U347" s="82"/>
      <c r="V347" s="82"/>
      <c r="X347" s="82"/>
      <c r="Y347" s="82"/>
      <c r="AB347" s="34"/>
      <c r="AC347" s="34"/>
    </row>
    <row r="348" spans="2:29" s="24" customFormat="1">
      <c r="B348" s="104"/>
      <c r="P348" s="170"/>
      <c r="Q348" s="171"/>
      <c r="R348" s="82"/>
      <c r="S348" s="82"/>
      <c r="T348" s="82"/>
      <c r="U348" s="82"/>
      <c r="V348" s="82"/>
      <c r="X348" s="82"/>
      <c r="Y348" s="82"/>
      <c r="AB348" s="34"/>
      <c r="AC348" s="34"/>
    </row>
    <row r="349" spans="2:29" s="24" customFormat="1">
      <c r="B349" s="104"/>
      <c r="P349" s="170"/>
      <c r="Q349" s="171"/>
      <c r="R349" s="82"/>
      <c r="S349" s="82"/>
      <c r="T349" s="82"/>
      <c r="U349" s="82"/>
      <c r="V349" s="82"/>
      <c r="X349" s="82"/>
      <c r="Y349" s="82"/>
      <c r="AB349" s="34"/>
      <c r="AC349" s="34"/>
    </row>
    <row r="350" spans="2:29" s="24" customFormat="1">
      <c r="B350" s="104"/>
      <c r="P350" s="170"/>
      <c r="Q350" s="171"/>
      <c r="R350" s="82"/>
      <c r="S350" s="82"/>
      <c r="T350" s="82"/>
      <c r="U350" s="82"/>
      <c r="V350" s="82"/>
      <c r="X350" s="82"/>
      <c r="Y350" s="82"/>
      <c r="AB350" s="34"/>
      <c r="AC350" s="34"/>
    </row>
    <row r="351" spans="2:29" s="24" customFormat="1">
      <c r="B351" s="104"/>
      <c r="P351" s="170"/>
      <c r="Q351" s="171"/>
      <c r="R351" s="82"/>
      <c r="S351" s="82"/>
      <c r="T351" s="82"/>
      <c r="U351" s="82"/>
      <c r="V351" s="82"/>
      <c r="X351" s="82"/>
      <c r="Y351" s="82"/>
      <c r="AB351" s="34"/>
      <c r="AC351" s="34"/>
    </row>
    <row r="352" spans="2:29" s="24" customFormat="1">
      <c r="B352" s="104"/>
      <c r="P352" s="170"/>
      <c r="Q352" s="171"/>
      <c r="R352" s="82"/>
      <c r="S352" s="82"/>
      <c r="T352" s="82"/>
      <c r="U352" s="82"/>
      <c r="V352" s="82"/>
      <c r="X352" s="82"/>
      <c r="Y352" s="82"/>
      <c r="AB352" s="34"/>
      <c r="AC352" s="34"/>
    </row>
    <row r="353" spans="2:29" s="24" customFormat="1">
      <c r="B353" s="104"/>
      <c r="P353" s="170"/>
      <c r="Q353" s="171"/>
      <c r="R353" s="82"/>
      <c r="S353" s="82"/>
      <c r="T353" s="82"/>
      <c r="U353" s="82"/>
      <c r="V353" s="82"/>
      <c r="X353" s="82"/>
      <c r="Y353" s="82"/>
      <c r="AB353" s="34"/>
      <c r="AC353" s="34"/>
    </row>
    <row r="354" spans="2:29" s="24" customFormat="1">
      <c r="B354" s="104"/>
      <c r="P354" s="170"/>
      <c r="Q354" s="171"/>
      <c r="R354" s="82"/>
      <c r="S354" s="82"/>
      <c r="T354" s="82"/>
      <c r="U354" s="82"/>
      <c r="V354" s="82"/>
      <c r="X354" s="82"/>
      <c r="Y354" s="82"/>
      <c r="AB354" s="34"/>
      <c r="AC354" s="34"/>
    </row>
    <row r="355" spans="2:29" s="24" customFormat="1">
      <c r="B355" s="104"/>
      <c r="P355" s="170"/>
      <c r="Q355" s="171"/>
      <c r="R355" s="82"/>
      <c r="S355" s="82"/>
      <c r="T355" s="82"/>
      <c r="U355" s="82"/>
      <c r="V355" s="82"/>
      <c r="X355" s="82"/>
      <c r="Y355" s="82"/>
      <c r="AB355" s="34"/>
      <c r="AC355" s="34"/>
    </row>
    <row r="356" spans="2:29" s="24" customFormat="1">
      <c r="B356" s="104"/>
      <c r="P356" s="170"/>
      <c r="Q356" s="171"/>
      <c r="R356" s="82"/>
      <c r="S356" s="82"/>
      <c r="T356" s="82"/>
      <c r="U356" s="82"/>
      <c r="V356" s="82"/>
      <c r="X356" s="82"/>
      <c r="Y356" s="82"/>
      <c r="AB356" s="34"/>
      <c r="AC356" s="34"/>
    </row>
    <row r="357" spans="2:29" s="24" customFormat="1">
      <c r="B357" s="104"/>
      <c r="P357" s="170"/>
      <c r="Q357" s="171"/>
      <c r="R357" s="82"/>
      <c r="S357" s="82"/>
      <c r="T357" s="82"/>
      <c r="U357" s="82"/>
      <c r="V357" s="82"/>
      <c r="X357" s="82"/>
      <c r="Y357" s="82"/>
      <c r="AB357" s="34"/>
      <c r="AC357" s="34"/>
    </row>
    <row r="358" spans="2:29" s="24" customFormat="1">
      <c r="B358" s="104"/>
      <c r="P358" s="170"/>
      <c r="Q358" s="171"/>
      <c r="R358" s="82"/>
      <c r="S358" s="82"/>
      <c r="T358" s="82"/>
      <c r="U358" s="82"/>
      <c r="V358" s="82"/>
      <c r="X358" s="82"/>
      <c r="Y358" s="82"/>
      <c r="AB358" s="34"/>
      <c r="AC358" s="34"/>
    </row>
    <row r="359" spans="2:29" s="24" customFormat="1">
      <c r="B359" s="104"/>
      <c r="P359" s="170"/>
      <c r="Q359" s="171"/>
      <c r="R359" s="82"/>
      <c r="S359" s="82"/>
      <c r="T359" s="82"/>
      <c r="U359" s="82"/>
      <c r="V359" s="82"/>
      <c r="X359" s="82"/>
      <c r="Y359" s="82"/>
      <c r="AB359" s="34"/>
      <c r="AC359" s="34"/>
    </row>
    <row r="360" spans="2:29" s="24" customFormat="1">
      <c r="B360" s="104"/>
      <c r="P360" s="170"/>
      <c r="Q360" s="171"/>
      <c r="R360" s="82"/>
      <c r="S360" s="82"/>
      <c r="T360" s="82"/>
      <c r="U360" s="82"/>
      <c r="V360" s="82"/>
      <c r="X360" s="82"/>
      <c r="Y360" s="82"/>
      <c r="AB360" s="34"/>
      <c r="AC360" s="34"/>
    </row>
    <row r="361" spans="2:29" s="24" customFormat="1">
      <c r="B361" s="104"/>
      <c r="P361" s="170"/>
      <c r="Q361" s="171"/>
      <c r="R361" s="82"/>
      <c r="S361" s="82"/>
      <c r="T361" s="82"/>
      <c r="U361" s="82"/>
      <c r="V361" s="82"/>
      <c r="X361" s="82"/>
      <c r="Y361" s="82"/>
      <c r="AB361" s="34"/>
      <c r="AC361" s="34"/>
    </row>
    <row r="362" spans="2:29" s="24" customFormat="1">
      <c r="B362" s="104"/>
      <c r="P362" s="170"/>
      <c r="Q362" s="171"/>
      <c r="R362" s="82"/>
      <c r="S362" s="82"/>
      <c r="T362" s="82"/>
      <c r="U362" s="82"/>
      <c r="V362" s="82"/>
      <c r="X362" s="82"/>
      <c r="Y362" s="82"/>
      <c r="AB362" s="34"/>
      <c r="AC362" s="34"/>
    </row>
    <row r="363" spans="2:29" s="24" customFormat="1">
      <c r="B363" s="104"/>
      <c r="P363" s="170"/>
      <c r="Q363" s="171"/>
      <c r="R363" s="82"/>
      <c r="S363" s="82"/>
      <c r="T363" s="82"/>
      <c r="U363" s="82"/>
      <c r="V363" s="82"/>
      <c r="X363" s="82"/>
      <c r="Y363" s="82"/>
      <c r="AB363" s="34"/>
      <c r="AC363" s="34"/>
    </row>
    <row r="364" spans="2:29" s="24" customFormat="1">
      <c r="B364" s="104"/>
      <c r="P364" s="170"/>
      <c r="Q364" s="171"/>
      <c r="R364" s="82"/>
      <c r="S364" s="82"/>
      <c r="T364" s="82"/>
      <c r="U364" s="82"/>
      <c r="V364" s="82"/>
      <c r="X364" s="82"/>
      <c r="Y364" s="82"/>
      <c r="AB364" s="34"/>
      <c r="AC364" s="34"/>
    </row>
    <row r="365" spans="2:29" s="24" customFormat="1">
      <c r="B365" s="104"/>
      <c r="P365" s="170"/>
      <c r="Q365" s="171"/>
      <c r="R365" s="82"/>
      <c r="S365" s="82"/>
      <c r="T365" s="82"/>
      <c r="U365" s="82"/>
      <c r="V365" s="82"/>
      <c r="X365" s="82"/>
      <c r="Y365" s="82"/>
      <c r="AB365" s="34"/>
      <c r="AC365" s="34"/>
    </row>
    <row r="366" spans="2:29" s="24" customFormat="1">
      <c r="B366" s="104"/>
      <c r="P366" s="170"/>
      <c r="Q366" s="171"/>
      <c r="R366" s="82"/>
      <c r="S366" s="82"/>
      <c r="T366" s="82"/>
      <c r="U366" s="82"/>
      <c r="V366" s="82"/>
      <c r="X366" s="82"/>
      <c r="Y366" s="82"/>
      <c r="AB366" s="34"/>
      <c r="AC366" s="34"/>
    </row>
    <row r="367" spans="2:29" s="24" customFormat="1">
      <c r="B367" s="104"/>
      <c r="P367" s="170"/>
      <c r="Q367" s="171"/>
      <c r="R367" s="82"/>
      <c r="S367" s="82"/>
      <c r="T367" s="82"/>
      <c r="U367" s="82"/>
      <c r="V367" s="82"/>
      <c r="X367" s="82"/>
      <c r="Y367" s="82"/>
      <c r="AB367" s="34"/>
      <c r="AC367" s="34"/>
    </row>
    <row r="368" spans="2:29" s="24" customFormat="1">
      <c r="B368" s="104"/>
      <c r="P368" s="170"/>
      <c r="Q368" s="171"/>
      <c r="R368" s="82"/>
      <c r="S368" s="82"/>
      <c r="T368" s="82"/>
      <c r="U368" s="82"/>
      <c r="V368" s="82"/>
      <c r="X368" s="82"/>
      <c r="Y368" s="82"/>
      <c r="AB368" s="34"/>
      <c r="AC368" s="34"/>
    </row>
    <row r="369" spans="2:29" s="24" customFormat="1">
      <c r="B369" s="104"/>
      <c r="P369" s="170"/>
      <c r="Q369" s="171"/>
      <c r="R369" s="82"/>
      <c r="S369" s="82"/>
      <c r="T369" s="82"/>
      <c r="U369" s="82"/>
      <c r="V369" s="82"/>
      <c r="X369" s="82"/>
      <c r="Y369" s="82"/>
      <c r="AB369" s="34"/>
      <c r="AC369" s="34"/>
    </row>
    <row r="370" spans="2:29" s="24" customFormat="1">
      <c r="B370" s="104"/>
      <c r="P370" s="170"/>
      <c r="Q370" s="171"/>
      <c r="R370" s="82"/>
      <c r="S370" s="82"/>
      <c r="T370" s="82"/>
      <c r="U370" s="82"/>
      <c r="V370" s="82"/>
      <c r="X370" s="82"/>
      <c r="Y370" s="82"/>
      <c r="AB370" s="34"/>
      <c r="AC370" s="34"/>
    </row>
    <row r="371" spans="2:29" s="24" customFormat="1">
      <c r="B371" s="104"/>
      <c r="P371" s="170"/>
      <c r="Q371" s="171"/>
      <c r="R371" s="82"/>
      <c r="S371" s="82"/>
      <c r="T371" s="82"/>
      <c r="U371" s="82"/>
      <c r="V371" s="82"/>
      <c r="X371" s="82"/>
      <c r="Y371" s="82"/>
      <c r="AB371" s="34"/>
      <c r="AC371" s="34"/>
    </row>
    <row r="372" spans="2:29" s="24" customFormat="1">
      <c r="B372" s="104"/>
      <c r="P372" s="170"/>
      <c r="Q372" s="171"/>
      <c r="R372" s="82"/>
      <c r="S372" s="82"/>
      <c r="T372" s="82"/>
      <c r="U372" s="82"/>
      <c r="V372" s="82"/>
      <c r="X372" s="82"/>
      <c r="Y372" s="82"/>
      <c r="AB372" s="34"/>
      <c r="AC372" s="34"/>
    </row>
    <row r="373" spans="2:29" s="24" customFormat="1">
      <c r="B373" s="104"/>
      <c r="P373" s="170"/>
      <c r="Q373" s="171"/>
      <c r="R373" s="82"/>
      <c r="S373" s="82"/>
      <c r="T373" s="82"/>
      <c r="U373" s="82"/>
      <c r="V373" s="82"/>
      <c r="X373" s="82"/>
      <c r="Y373" s="82"/>
      <c r="AB373" s="34"/>
      <c r="AC373" s="34"/>
    </row>
    <row r="374" spans="2:29" s="24" customFormat="1">
      <c r="B374" s="104"/>
      <c r="P374" s="170"/>
      <c r="Q374" s="171"/>
      <c r="R374" s="82"/>
      <c r="S374" s="82"/>
      <c r="T374" s="82"/>
      <c r="U374" s="82"/>
      <c r="V374" s="82"/>
      <c r="X374" s="82"/>
      <c r="Y374" s="82"/>
      <c r="AB374" s="34"/>
      <c r="AC374" s="34"/>
    </row>
    <row r="375" spans="2:29" s="24" customFormat="1">
      <c r="B375" s="104"/>
      <c r="P375" s="170"/>
      <c r="Q375" s="171"/>
      <c r="R375" s="82"/>
      <c r="S375" s="82"/>
      <c r="T375" s="82"/>
      <c r="U375" s="82"/>
      <c r="V375" s="82"/>
      <c r="X375" s="82"/>
      <c r="Y375" s="82"/>
      <c r="AB375" s="34"/>
      <c r="AC375" s="34"/>
    </row>
    <row r="376" spans="2:29" s="24" customFormat="1">
      <c r="B376" s="104"/>
      <c r="P376" s="170"/>
      <c r="Q376" s="171"/>
      <c r="R376" s="82"/>
      <c r="S376" s="82"/>
      <c r="T376" s="82"/>
      <c r="U376" s="82"/>
      <c r="V376" s="82"/>
      <c r="X376" s="82"/>
      <c r="Y376" s="82"/>
      <c r="AB376" s="34"/>
      <c r="AC376" s="34"/>
    </row>
    <row r="377" spans="2:29" s="24" customFormat="1">
      <c r="B377" s="104"/>
      <c r="P377" s="170"/>
      <c r="Q377" s="171"/>
      <c r="R377" s="82"/>
      <c r="S377" s="82"/>
      <c r="T377" s="82"/>
      <c r="U377" s="82"/>
      <c r="V377" s="82"/>
      <c r="X377" s="82"/>
      <c r="Y377" s="82"/>
      <c r="AB377" s="34"/>
      <c r="AC377" s="34"/>
    </row>
    <row r="378" spans="2:29" s="24" customFormat="1">
      <c r="B378" s="104"/>
      <c r="P378" s="170"/>
      <c r="Q378" s="171"/>
      <c r="R378" s="82"/>
      <c r="S378" s="82"/>
      <c r="T378" s="82"/>
      <c r="U378" s="82"/>
      <c r="V378" s="82"/>
      <c r="X378" s="82"/>
      <c r="Y378" s="82"/>
      <c r="AB378" s="34"/>
      <c r="AC378" s="34"/>
    </row>
    <row r="379" spans="2:29" s="24" customFormat="1">
      <c r="B379" s="104"/>
      <c r="P379" s="170"/>
      <c r="Q379" s="171"/>
      <c r="R379" s="82"/>
      <c r="S379" s="82"/>
      <c r="T379" s="82"/>
      <c r="U379" s="82"/>
      <c r="V379" s="82"/>
      <c r="X379" s="82"/>
      <c r="Y379" s="82"/>
      <c r="AB379" s="34"/>
      <c r="AC379" s="34"/>
    </row>
    <row r="380" spans="2:29" s="24" customFormat="1">
      <c r="B380" s="104"/>
      <c r="P380" s="170"/>
      <c r="Q380" s="171"/>
      <c r="R380" s="82"/>
      <c r="S380" s="82"/>
      <c r="T380" s="82"/>
      <c r="U380" s="82"/>
      <c r="V380" s="82"/>
      <c r="X380" s="82"/>
      <c r="Y380" s="82"/>
      <c r="AB380" s="34"/>
      <c r="AC380" s="34"/>
    </row>
    <row r="381" spans="2:29" s="24" customFormat="1">
      <c r="B381" s="104"/>
      <c r="P381" s="170"/>
      <c r="Q381" s="171"/>
      <c r="R381" s="82"/>
      <c r="S381" s="82"/>
      <c r="T381" s="82"/>
      <c r="U381" s="82"/>
      <c r="V381" s="82"/>
      <c r="X381" s="82"/>
      <c r="Y381" s="82"/>
      <c r="AB381" s="34"/>
      <c r="AC381" s="34"/>
    </row>
    <row r="382" spans="2:29" s="24" customFormat="1">
      <c r="B382" s="104"/>
      <c r="P382" s="170"/>
      <c r="Q382" s="171"/>
      <c r="R382" s="82"/>
      <c r="S382" s="82"/>
      <c r="T382" s="82"/>
      <c r="U382" s="82"/>
      <c r="V382" s="82"/>
      <c r="X382" s="82"/>
      <c r="Y382" s="82"/>
      <c r="AB382" s="34"/>
      <c r="AC382" s="34"/>
    </row>
    <row r="383" spans="2:29" s="24" customFormat="1">
      <c r="B383" s="104"/>
      <c r="P383" s="170"/>
      <c r="Q383" s="171"/>
      <c r="R383" s="82"/>
      <c r="S383" s="82"/>
      <c r="T383" s="82"/>
      <c r="U383" s="82"/>
      <c r="V383" s="82"/>
      <c r="X383" s="82"/>
      <c r="Y383" s="82"/>
      <c r="AB383" s="34"/>
      <c r="AC383" s="34"/>
    </row>
    <row r="384" spans="2:29" s="24" customFormat="1">
      <c r="B384" s="104"/>
      <c r="P384" s="170"/>
      <c r="Q384" s="171"/>
      <c r="R384" s="82"/>
      <c r="S384" s="82"/>
      <c r="T384" s="82"/>
      <c r="U384" s="82"/>
      <c r="V384" s="82"/>
      <c r="X384" s="82"/>
      <c r="Y384" s="82"/>
      <c r="AB384" s="34"/>
      <c r="AC384" s="34"/>
    </row>
    <row r="385" spans="2:29" s="24" customFormat="1">
      <c r="B385" s="104"/>
      <c r="P385" s="170"/>
      <c r="Q385" s="171"/>
      <c r="R385" s="82"/>
      <c r="S385" s="82"/>
      <c r="T385" s="82"/>
      <c r="U385" s="82"/>
      <c r="V385" s="82"/>
      <c r="X385" s="82"/>
      <c r="Y385" s="82"/>
      <c r="AB385" s="34"/>
      <c r="AC385" s="34"/>
    </row>
    <row r="386" spans="2:29" s="24" customFormat="1">
      <c r="B386" s="104"/>
      <c r="P386" s="170"/>
      <c r="Q386" s="171"/>
      <c r="R386" s="82"/>
      <c r="S386" s="82"/>
      <c r="T386" s="82"/>
      <c r="U386" s="82"/>
      <c r="V386" s="82"/>
      <c r="X386" s="82"/>
      <c r="Y386" s="82"/>
      <c r="AB386" s="34"/>
      <c r="AC386" s="34"/>
    </row>
    <row r="387" spans="2:29" s="24" customFormat="1">
      <c r="B387" s="104"/>
      <c r="P387" s="170"/>
      <c r="Q387" s="171"/>
      <c r="R387" s="82"/>
      <c r="S387" s="82"/>
      <c r="T387" s="82"/>
      <c r="U387" s="82"/>
      <c r="V387" s="82"/>
      <c r="X387" s="82"/>
      <c r="Y387" s="82"/>
      <c r="AB387" s="173"/>
      <c r="AC387" s="34"/>
    </row>
    <row r="388" spans="2:29" s="24" customFormat="1">
      <c r="B388" s="104"/>
      <c r="P388" s="170"/>
      <c r="Q388" s="171"/>
      <c r="R388" s="82"/>
      <c r="S388" s="82"/>
      <c r="T388" s="82"/>
      <c r="U388" s="82"/>
      <c r="V388" s="82"/>
      <c r="X388" s="82"/>
      <c r="Y388" s="82"/>
      <c r="AB388" s="34"/>
      <c r="AC388" s="34"/>
    </row>
    <row r="389" spans="2:29" s="24" customFormat="1">
      <c r="B389" s="104"/>
      <c r="P389" s="170"/>
      <c r="Q389" s="171"/>
      <c r="R389" s="82"/>
      <c r="S389" s="82"/>
      <c r="T389" s="82"/>
      <c r="U389" s="82"/>
      <c r="V389" s="82"/>
      <c r="X389" s="82"/>
      <c r="Y389" s="82"/>
      <c r="AB389" s="34"/>
      <c r="AC389" s="34"/>
    </row>
    <row r="390" spans="2:29" s="24" customFormat="1">
      <c r="B390" s="104"/>
      <c r="P390" s="170"/>
      <c r="Q390" s="171"/>
      <c r="R390" s="82"/>
      <c r="S390" s="82"/>
      <c r="T390" s="82"/>
      <c r="U390" s="82"/>
      <c r="V390" s="82"/>
      <c r="X390" s="82"/>
      <c r="Y390" s="82"/>
      <c r="AB390" s="34"/>
      <c r="AC390" s="34"/>
    </row>
    <row r="391" spans="2:29" s="24" customFormat="1">
      <c r="B391" s="104"/>
      <c r="P391" s="170"/>
      <c r="Q391" s="171"/>
      <c r="R391" s="82"/>
      <c r="S391" s="82"/>
      <c r="T391" s="82"/>
      <c r="U391" s="82"/>
      <c r="V391" s="82"/>
      <c r="X391" s="82"/>
      <c r="Y391" s="82"/>
      <c r="AB391" s="34"/>
      <c r="AC391" s="34"/>
    </row>
    <row r="392" spans="2:29" s="24" customFormat="1">
      <c r="B392" s="104"/>
      <c r="P392" s="170"/>
      <c r="Q392" s="171"/>
      <c r="R392" s="82"/>
      <c r="S392" s="82"/>
      <c r="T392" s="82"/>
      <c r="U392" s="82"/>
      <c r="V392" s="82"/>
      <c r="X392" s="82"/>
      <c r="Y392" s="82"/>
      <c r="AB392" s="34"/>
      <c r="AC392" s="34"/>
    </row>
    <row r="393" spans="2:29" s="24" customFormat="1">
      <c r="B393" s="104"/>
      <c r="P393" s="170"/>
      <c r="Q393" s="171"/>
      <c r="R393" s="82"/>
      <c r="S393" s="82"/>
      <c r="T393" s="82"/>
      <c r="U393" s="82"/>
      <c r="V393" s="82"/>
      <c r="X393" s="82"/>
      <c r="Y393" s="82"/>
      <c r="AB393" s="34"/>
      <c r="AC393" s="34"/>
    </row>
    <row r="394" spans="2:29" s="24" customFormat="1">
      <c r="B394" s="104"/>
      <c r="P394" s="170"/>
      <c r="Q394" s="171"/>
      <c r="R394" s="82"/>
      <c r="S394" s="82"/>
      <c r="T394" s="82"/>
      <c r="U394" s="82"/>
      <c r="V394" s="82"/>
      <c r="X394" s="82"/>
      <c r="Y394" s="82"/>
      <c r="AB394" s="34"/>
      <c r="AC394" s="34"/>
    </row>
    <row r="395" spans="2:29" s="24" customFormat="1">
      <c r="B395" s="104"/>
      <c r="P395" s="170"/>
      <c r="Q395" s="171"/>
      <c r="R395" s="82"/>
      <c r="S395" s="82"/>
      <c r="T395" s="82"/>
      <c r="U395" s="82"/>
      <c r="V395" s="82"/>
      <c r="X395" s="82"/>
      <c r="Y395" s="82"/>
      <c r="AB395" s="34"/>
      <c r="AC395" s="34"/>
    </row>
    <row r="396" spans="2:29" s="24" customFormat="1">
      <c r="B396" s="104"/>
      <c r="P396" s="170"/>
      <c r="Q396" s="171"/>
      <c r="R396" s="82"/>
      <c r="S396" s="82"/>
      <c r="T396" s="82"/>
      <c r="U396" s="82"/>
      <c r="V396" s="82"/>
      <c r="X396" s="82"/>
      <c r="Y396" s="82"/>
      <c r="AB396" s="34"/>
      <c r="AC396" s="34"/>
    </row>
    <row r="397" spans="2:29" s="24" customFormat="1">
      <c r="B397" s="104"/>
      <c r="P397" s="170"/>
      <c r="Q397" s="171"/>
      <c r="R397" s="82"/>
      <c r="S397" s="82"/>
      <c r="T397" s="82"/>
      <c r="U397" s="82"/>
      <c r="V397" s="82"/>
      <c r="X397" s="82"/>
      <c r="Y397" s="82"/>
      <c r="AB397" s="34"/>
      <c r="AC397" s="34"/>
    </row>
    <row r="398" spans="2:29" s="24" customFormat="1">
      <c r="B398" s="104"/>
      <c r="P398" s="170"/>
      <c r="Q398" s="171"/>
      <c r="R398" s="82"/>
      <c r="S398" s="82"/>
      <c r="T398" s="82"/>
      <c r="U398" s="82"/>
      <c r="V398" s="82"/>
      <c r="X398" s="82"/>
      <c r="Y398" s="82"/>
      <c r="AB398" s="34"/>
      <c r="AC398" s="34"/>
    </row>
    <row r="399" spans="2:29" s="24" customFormat="1">
      <c r="B399" s="104"/>
      <c r="P399" s="170"/>
      <c r="Q399" s="171"/>
      <c r="R399" s="82"/>
      <c r="S399" s="82"/>
      <c r="T399" s="82"/>
      <c r="U399" s="82"/>
      <c r="V399" s="82"/>
      <c r="X399" s="82"/>
      <c r="Y399" s="82"/>
      <c r="AB399" s="34"/>
      <c r="AC399" s="34"/>
    </row>
    <row r="400" spans="2:29" s="24" customFormat="1">
      <c r="B400" s="104"/>
      <c r="P400" s="170"/>
      <c r="Q400" s="171"/>
      <c r="R400" s="82"/>
      <c r="S400" s="82"/>
      <c r="T400" s="82"/>
      <c r="U400" s="82"/>
      <c r="V400" s="82"/>
      <c r="X400" s="82"/>
      <c r="Y400" s="82"/>
      <c r="AB400" s="34"/>
      <c r="AC400" s="34"/>
    </row>
    <row r="401" spans="2:29" s="24" customFormat="1">
      <c r="B401" s="104"/>
      <c r="P401" s="170"/>
      <c r="Q401" s="171"/>
      <c r="R401" s="82"/>
      <c r="S401" s="82"/>
      <c r="T401" s="82"/>
      <c r="U401" s="82"/>
      <c r="V401" s="82"/>
      <c r="X401" s="82"/>
      <c r="Y401" s="82"/>
      <c r="AB401" s="34"/>
      <c r="AC401" s="34"/>
    </row>
    <row r="402" spans="2:29" s="24" customFormat="1">
      <c r="B402" s="104"/>
      <c r="P402" s="170"/>
      <c r="Q402" s="171"/>
      <c r="R402" s="82"/>
      <c r="S402" s="82"/>
      <c r="T402" s="82"/>
      <c r="U402" s="82"/>
      <c r="V402" s="82"/>
      <c r="X402" s="82"/>
      <c r="Y402" s="82"/>
      <c r="AB402" s="34"/>
      <c r="AC402" s="34"/>
    </row>
    <row r="403" spans="2:29" s="24" customFormat="1">
      <c r="B403" s="104"/>
      <c r="P403" s="170"/>
      <c r="Q403" s="171"/>
      <c r="R403" s="82"/>
      <c r="S403" s="82"/>
      <c r="T403" s="82"/>
      <c r="U403" s="82"/>
      <c r="V403" s="82"/>
      <c r="X403" s="82"/>
      <c r="Y403" s="82"/>
      <c r="AB403" s="34"/>
      <c r="AC403" s="34"/>
    </row>
    <row r="404" spans="2:29" s="24" customFormat="1">
      <c r="B404" s="104"/>
      <c r="P404" s="170"/>
      <c r="Q404" s="171"/>
      <c r="R404" s="82"/>
      <c r="S404" s="82"/>
      <c r="T404" s="82"/>
      <c r="U404" s="82"/>
      <c r="V404" s="82"/>
      <c r="X404" s="82"/>
      <c r="Y404" s="82"/>
      <c r="AB404" s="34"/>
      <c r="AC404" s="34"/>
    </row>
    <row r="405" spans="2:29" s="24" customFormat="1">
      <c r="B405" s="104"/>
      <c r="P405" s="170"/>
      <c r="Q405" s="171"/>
      <c r="R405" s="82"/>
      <c r="S405" s="82"/>
      <c r="T405" s="82"/>
      <c r="U405" s="82"/>
      <c r="V405" s="82"/>
      <c r="X405" s="82"/>
      <c r="Y405" s="82"/>
      <c r="AB405" s="34"/>
      <c r="AC405" s="34"/>
    </row>
    <row r="406" spans="2:29" s="24" customFormat="1">
      <c r="B406" s="104"/>
      <c r="P406" s="170"/>
      <c r="Q406" s="171"/>
      <c r="R406" s="82"/>
      <c r="S406" s="82"/>
      <c r="T406" s="82"/>
      <c r="U406" s="82"/>
      <c r="V406" s="82"/>
      <c r="X406" s="82"/>
      <c r="Y406" s="82"/>
      <c r="AB406" s="34"/>
      <c r="AC406" s="34"/>
    </row>
    <row r="407" spans="2:29" s="24" customFormat="1">
      <c r="B407" s="104"/>
      <c r="P407" s="170"/>
      <c r="Q407" s="171"/>
      <c r="R407" s="82"/>
      <c r="S407" s="82"/>
      <c r="T407" s="82"/>
      <c r="U407" s="82"/>
      <c r="V407" s="82"/>
      <c r="X407" s="82"/>
      <c r="Y407" s="82"/>
      <c r="AB407" s="34"/>
      <c r="AC407" s="34"/>
    </row>
    <row r="408" spans="2:29" s="24" customFormat="1">
      <c r="B408" s="104"/>
      <c r="P408" s="170"/>
      <c r="Q408" s="171"/>
      <c r="R408" s="82"/>
      <c r="S408" s="82"/>
      <c r="T408" s="82"/>
      <c r="U408" s="82"/>
      <c r="V408" s="82"/>
      <c r="X408" s="82"/>
      <c r="Y408" s="82"/>
      <c r="AB408" s="34"/>
      <c r="AC408" s="34"/>
    </row>
    <row r="409" spans="2:29" s="24" customFormat="1">
      <c r="B409" s="104"/>
      <c r="P409" s="170"/>
      <c r="Q409" s="171"/>
      <c r="R409" s="82"/>
      <c r="S409" s="82"/>
      <c r="T409" s="82"/>
      <c r="U409" s="82"/>
      <c r="V409" s="82"/>
      <c r="X409" s="82"/>
      <c r="Y409" s="82"/>
      <c r="AB409" s="34"/>
      <c r="AC409" s="34"/>
    </row>
    <row r="410" spans="2:29" s="24" customFormat="1">
      <c r="B410" s="104"/>
      <c r="P410" s="170"/>
      <c r="Q410" s="171"/>
      <c r="R410" s="82"/>
      <c r="S410" s="82"/>
      <c r="T410" s="82"/>
      <c r="U410" s="82"/>
      <c r="V410" s="82"/>
      <c r="X410" s="82"/>
      <c r="Y410" s="82"/>
      <c r="AB410" s="34"/>
      <c r="AC410" s="34"/>
    </row>
    <row r="411" spans="2:29" s="24" customFormat="1">
      <c r="B411" s="104"/>
      <c r="P411" s="170"/>
      <c r="Q411" s="171"/>
      <c r="R411" s="82"/>
      <c r="S411" s="82"/>
      <c r="T411" s="82"/>
      <c r="U411" s="82"/>
      <c r="V411" s="82"/>
      <c r="X411" s="82"/>
      <c r="Y411" s="82"/>
      <c r="AB411" s="34"/>
      <c r="AC411" s="34"/>
    </row>
    <row r="412" spans="2:29" s="24" customFormat="1">
      <c r="B412" s="104"/>
      <c r="P412" s="170"/>
      <c r="Q412" s="171"/>
      <c r="R412" s="82"/>
      <c r="S412" s="82"/>
      <c r="T412" s="82"/>
      <c r="U412" s="82"/>
      <c r="V412" s="82"/>
      <c r="X412" s="82"/>
      <c r="Y412" s="82"/>
      <c r="AB412" s="34"/>
      <c r="AC412" s="34"/>
    </row>
    <row r="413" spans="2:29" s="24" customFormat="1">
      <c r="B413" s="104"/>
      <c r="P413" s="170"/>
      <c r="Q413" s="171"/>
      <c r="R413" s="82"/>
      <c r="S413" s="82"/>
      <c r="T413" s="82"/>
      <c r="U413" s="82"/>
      <c r="V413" s="82"/>
      <c r="X413" s="82"/>
      <c r="Y413" s="82"/>
      <c r="AB413" s="34"/>
      <c r="AC413" s="34"/>
    </row>
    <row r="414" spans="2:29" s="24" customFormat="1">
      <c r="B414" s="104"/>
      <c r="P414" s="170"/>
      <c r="Q414" s="171"/>
      <c r="R414" s="82"/>
      <c r="S414" s="82"/>
      <c r="T414" s="82"/>
      <c r="U414" s="82"/>
      <c r="V414" s="82"/>
      <c r="X414" s="82"/>
      <c r="Y414" s="82"/>
      <c r="AB414" s="34"/>
      <c r="AC414" s="34"/>
    </row>
    <row r="415" spans="2:29" s="24" customFormat="1">
      <c r="B415" s="104"/>
      <c r="P415" s="170"/>
      <c r="Q415" s="171"/>
      <c r="R415" s="82"/>
      <c r="S415" s="82"/>
      <c r="T415" s="82"/>
      <c r="U415" s="82"/>
      <c r="V415" s="82"/>
      <c r="X415" s="82"/>
      <c r="Y415" s="82"/>
      <c r="AB415" s="34"/>
      <c r="AC415" s="34"/>
    </row>
    <row r="416" spans="2:29" s="24" customFormat="1">
      <c r="B416" s="104"/>
      <c r="P416" s="170"/>
      <c r="Q416" s="171"/>
      <c r="R416" s="82"/>
      <c r="S416" s="82"/>
      <c r="T416" s="82"/>
      <c r="U416" s="82"/>
      <c r="V416" s="82"/>
      <c r="X416" s="82"/>
      <c r="Y416" s="82"/>
      <c r="AB416" s="34"/>
      <c r="AC416" s="34"/>
    </row>
    <row r="417" spans="2:29" s="24" customFormat="1">
      <c r="B417" s="104"/>
      <c r="P417" s="170"/>
      <c r="Q417" s="171"/>
      <c r="R417" s="82"/>
      <c r="S417" s="82"/>
      <c r="T417" s="82"/>
      <c r="U417" s="82"/>
      <c r="V417" s="82"/>
      <c r="X417" s="82"/>
      <c r="Y417" s="82"/>
      <c r="AB417" s="34"/>
      <c r="AC417" s="34"/>
    </row>
    <row r="418" spans="2:29" s="24" customFormat="1">
      <c r="B418" s="104"/>
      <c r="P418" s="170"/>
      <c r="Q418" s="171"/>
      <c r="R418" s="82"/>
      <c r="S418" s="82"/>
      <c r="T418" s="82"/>
      <c r="U418" s="82"/>
      <c r="V418" s="82"/>
      <c r="X418" s="82"/>
      <c r="Y418" s="82"/>
      <c r="AB418" s="34"/>
      <c r="AC418" s="34"/>
    </row>
    <row r="419" spans="2:29" s="24" customFormat="1">
      <c r="B419" s="104"/>
      <c r="P419" s="170"/>
      <c r="Q419" s="171"/>
      <c r="R419" s="82"/>
      <c r="S419" s="82"/>
      <c r="T419" s="82"/>
      <c r="U419" s="82"/>
      <c r="V419" s="82"/>
      <c r="X419" s="82"/>
      <c r="Y419" s="82"/>
      <c r="AB419" s="34"/>
      <c r="AC419" s="34"/>
    </row>
    <row r="420" spans="2:29" s="24" customFormat="1">
      <c r="B420" s="104"/>
      <c r="P420" s="170"/>
      <c r="Q420" s="171"/>
      <c r="R420" s="82"/>
      <c r="S420" s="82"/>
      <c r="T420" s="82"/>
      <c r="U420" s="82"/>
      <c r="V420" s="82"/>
      <c r="X420" s="82"/>
      <c r="Y420" s="82"/>
      <c r="AB420" s="34"/>
      <c r="AC420" s="34"/>
    </row>
    <row r="421" spans="2:29" s="24" customFormat="1">
      <c r="B421" s="104"/>
      <c r="P421" s="170"/>
      <c r="Q421" s="171"/>
      <c r="R421" s="82"/>
      <c r="S421" s="82"/>
      <c r="T421" s="82"/>
      <c r="U421" s="82"/>
      <c r="V421" s="82"/>
      <c r="X421" s="82"/>
      <c r="Y421" s="82"/>
      <c r="AB421" s="34"/>
      <c r="AC421" s="34"/>
    </row>
    <row r="422" spans="2:29" s="24" customFormat="1">
      <c r="B422" s="104"/>
      <c r="P422" s="170"/>
      <c r="Q422" s="171"/>
      <c r="R422" s="82"/>
      <c r="S422" s="82"/>
      <c r="T422" s="82"/>
      <c r="U422" s="82"/>
      <c r="V422" s="82"/>
      <c r="X422" s="82"/>
      <c r="Y422" s="82"/>
      <c r="AB422" s="34"/>
      <c r="AC422" s="34"/>
    </row>
    <row r="423" spans="2:29" s="24" customFormat="1">
      <c r="B423" s="104"/>
      <c r="P423" s="170"/>
      <c r="Q423" s="171"/>
      <c r="R423" s="82"/>
      <c r="S423" s="82"/>
      <c r="T423" s="82"/>
      <c r="U423" s="82"/>
      <c r="V423" s="82"/>
      <c r="X423" s="82"/>
      <c r="Y423" s="82"/>
      <c r="AB423" s="34"/>
      <c r="AC423" s="34"/>
    </row>
    <row r="424" spans="2:29" s="24" customFormat="1">
      <c r="B424" s="104"/>
      <c r="P424" s="170"/>
      <c r="Q424" s="171"/>
      <c r="R424" s="82"/>
      <c r="S424" s="82"/>
      <c r="T424" s="82"/>
      <c r="U424" s="82"/>
      <c r="V424" s="82"/>
      <c r="X424" s="82"/>
      <c r="Y424" s="82"/>
      <c r="AB424" s="34"/>
      <c r="AC424" s="34"/>
    </row>
    <row r="425" spans="2:29" s="24" customFormat="1">
      <c r="B425" s="104"/>
      <c r="P425" s="170"/>
      <c r="Q425" s="171"/>
      <c r="R425" s="82"/>
      <c r="S425" s="82"/>
      <c r="T425" s="82"/>
      <c r="U425" s="82"/>
      <c r="V425" s="82"/>
      <c r="X425" s="82"/>
      <c r="Y425" s="82"/>
      <c r="AB425" s="34"/>
      <c r="AC425" s="34"/>
    </row>
    <row r="426" spans="2:29" s="24" customFormat="1">
      <c r="B426" s="104"/>
      <c r="P426" s="170"/>
      <c r="Q426" s="171"/>
      <c r="R426" s="82"/>
      <c r="S426" s="82"/>
      <c r="T426" s="82"/>
      <c r="U426" s="82"/>
      <c r="V426" s="82"/>
      <c r="X426" s="82"/>
      <c r="Y426" s="82"/>
      <c r="AB426" s="34"/>
      <c r="AC426" s="34"/>
    </row>
    <row r="427" spans="2:29" s="24" customFormat="1">
      <c r="B427" s="104"/>
      <c r="P427" s="170"/>
      <c r="Q427" s="171"/>
      <c r="R427" s="82"/>
      <c r="S427" s="82"/>
      <c r="T427" s="82"/>
      <c r="U427" s="82"/>
      <c r="V427" s="82"/>
      <c r="X427" s="82"/>
      <c r="Y427" s="82"/>
      <c r="AB427" s="34"/>
      <c r="AC427" s="34"/>
    </row>
    <row r="428" spans="2:29" s="24" customFormat="1">
      <c r="B428" s="104"/>
      <c r="P428" s="170"/>
      <c r="Q428" s="171"/>
      <c r="R428" s="82"/>
      <c r="S428" s="82"/>
      <c r="T428" s="82"/>
      <c r="U428" s="82"/>
      <c r="V428" s="82"/>
      <c r="X428" s="82"/>
      <c r="Y428" s="82"/>
      <c r="AB428" s="34"/>
      <c r="AC428" s="34"/>
    </row>
    <row r="429" spans="2:29" s="24" customFormat="1">
      <c r="B429" s="104"/>
      <c r="P429" s="170"/>
      <c r="Q429" s="171"/>
      <c r="R429" s="82"/>
      <c r="S429" s="82"/>
      <c r="T429" s="82"/>
      <c r="U429" s="82"/>
      <c r="V429" s="82"/>
      <c r="X429" s="82"/>
      <c r="Y429" s="82"/>
      <c r="AB429" s="34"/>
      <c r="AC429" s="34"/>
    </row>
    <row r="430" spans="2:29" s="24" customFormat="1">
      <c r="B430" s="104"/>
      <c r="P430" s="170"/>
      <c r="Q430" s="171"/>
      <c r="R430" s="82"/>
      <c r="S430" s="82"/>
      <c r="T430" s="82"/>
      <c r="U430" s="82"/>
      <c r="V430" s="82"/>
      <c r="X430" s="82"/>
      <c r="Y430" s="82"/>
      <c r="AB430" s="34"/>
      <c r="AC430" s="34"/>
    </row>
    <row r="431" spans="2:29" s="24" customFormat="1">
      <c r="B431" s="104"/>
      <c r="P431" s="170"/>
      <c r="Q431" s="171"/>
      <c r="R431" s="82"/>
      <c r="S431" s="82"/>
      <c r="T431" s="82"/>
      <c r="U431" s="82"/>
      <c r="V431" s="82"/>
      <c r="X431" s="82"/>
      <c r="Y431" s="82"/>
      <c r="AB431" s="34"/>
      <c r="AC431" s="34"/>
    </row>
    <row r="432" spans="2:29" s="24" customFormat="1">
      <c r="B432" s="104"/>
      <c r="P432" s="170"/>
      <c r="Q432" s="171"/>
      <c r="R432" s="82"/>
      <c r="S432" s="82"/>
      <c r="T432" s="82"/>
      <c r="U432" s="82"/>
      <c r="V432" s="82"/>
      <c r="X432" s="82"/>
      <c r="Y432" s="82"/>
      <c r="AB432" s="34"/>
      <c r="AC432" s="34"/>
    </row>
    <row r="433" spans="2:30" s="24" customFormat="1">
      <c r="B433" s="104"/>
      <c r="P433" s="170"/>
      <c r="Q433" s="171"/>
      <c r="R433" s="82"/>
      <c r="S433" s="82"/>
      <c r="T433" s="82"/>
      <c r="U433" s="82"/>
      <c r="V433" s="82"/>
      <c r="X433" s="82"/>
      <c r="Y433" s="82"/>
      <c r="AB433" s="34"/>
      <c r="AC433" s="34"/>
    </row>
    <row r="434" spans="2:30" s="24" customFormat="1">
      <c r="B434" s="104"/>
      <c r="P434" s="170"/>
      <c r="Q434" s="171"/>
      <c r="R434" s="82"/>
      <c r="S434" s="82"/>
      <c r="T434" s="82"/>
      <c r="U434" s="82"/>
      <c r="V434" s="82"/>
      <c r="X434" s="82"/>
      <c r="Y434" s="82"/>
      <c r="AB434" s="34"/>
      <c r="AC434" s="34"/>
    </row>
    <row r="435" spans="2:30" s="24" customFormat="1">
      <c r="B435" s="104"/>
      <c r="P435" s="170"/>
      <c r="Q435" s="171"/>
      <c r="R435" s="82"/>
      <c r="S435" s="82"/>
      <c r="T435" s="82"/>
      <c r="U435" s="82"/>
      <c r="V435" s="82"/>
      <c r="X435" s="82"/>
      <c r="Y435" s="82"/>
      <c r="AB435" s="34"/>
      <c r="AC435" s="34"/>
    </row>
    <row r="436" spans="2:30" s="24" customFormat="1">
      <c r="B436" s="104"/>
      <c r="P436" s="170"/>
      <c r="Q436" s="171"/>
      <c r="R436" s="82"/>
      <c r="S436" s="82"/>
      <c r="T436" s="82"/>
      <c r="U436" s="82"/>
      <c r="V436" s="82"/>
      <c r="X436" s="82"/>
      <c r="Y436" s="82"/>
      <c r="AB436" s="34"/>
      <c r="AC436" s="34"/>
    </row>
    <row r="437" spans="2:30" s="24" customFormat="1">
      <c r="B437" s="104"/>
      <c r="P437" s="170"/>
      <c r="Q437" s="171"/>
      <c r="R437" s="82"/>
      <c r="S437" s="82"/>
      <c r="T437" s="82"/>
      <c r="U437" s="82"/>
      <c r="V437" s="82"/>
      <c r="X437" s="82"/>
      <c r="Y437" s="82"/>
      <c r="AB437" s="34"/>
      <c r="AC437" s="34"/>
    </row>
    <row r="438" spans="2:30" s="24" customFormat="1">
      <c r="B438" s="104"/>
      <c r="P438" s="170"/>
      <c r="Q438" s="171"/>
      <c r="R438" s="82"/>
      <c r="S438" s="82"/>
      <c r="T438" s="82"/>
      <c r="U438" s="82"/>
      <c r="V438" s="82"/>
      <c r="X438" s="82"/>
      <c r="Y438" s="82"/>
      <c r="AB438" s="34"/>
      <c r="AC438" s="34"/>
    </row>
    <row r="439" spans="2:30" s="24" customFormat="1">
      <c r="B439" s="104"/>
      <c r="P439" s="170"/>
      <c r="Q439" s="171"/>
      <c r="R439" s="82"/>
      <c r="S439" s="82"/>
      <c r="T439" s="82"/>
      <c r="U439" s="82"/>
      <c r="V439" s="82"/>
      <c r="X439" s="82"/>
      <c r="Y439" s="82"/>
      <c r="AB439" s="34"/>
      <c r="AC439" s="34"/>
    </row>
    <row r="440" spans="2:30" s="24" customFormat="1">
      <c r="B440" s="104"/>
      <c r="P440" s="170"/>
      <c r="Q440" s="171"/>
      <c r="R440" s="82"/>
      <c r="S440" s="82"/>
      <c r="T440" s="82"/>
      <c r="U440" s="82"/>
      <c r="V440" s="82"/>
      <c r="X440" s="82"/>
      <c r="Y440" s="82"/>
      <c r="AB440" s="34"/>
      <c r="AC440" s="34"/>
    </row>
    <row r="441" spans="2:30" s="24" customFormat="1">
      <c r="B441" s="104"/>
      <c r="P441" s="170"/>
      <c r="Q441" s="171"/>
      <c r="R441" s="82"/>
      <c r="S441" s="82"/>
      <c r="T441" s="82"/>
      <c r="U441" s="82"/>
      <c r="V441" s="82"/>
      <c r="X441" s="82"/>
      <c r="Y441" s="82"/>
      <c r="AB441" s="34"/>
      <c r="AC441" s="34"/>
    </row>
    <row r="442" spans="2:30">
      <c r="AB442" s="34"/>
      <c r="AC442" s="34"/>
      <c r="AD442" s="24"/>
    </row>
    <row r="443" spans="2:30">
      <c r="AB443" s="34"/>
      <c r="AC443" s="34"/>
      <c r="AD443" s="24"/>
    </row>
    <row r="444" spans="2:30">
      <c r="AB444" s="34"/>
      <c r="AC444" s="34"/>
      <c r="AD444" s="24"/>
    </row>
    <row r="445" spans="2:30">
      <c r="AB445" s="34"/>
      <c r="AC445" s="34"/>
      <c r="AD445" s="24"/>
    </row>
    <row r="446" spans="2:30">
      <c r="AB446" s="34"/>
      <c r="AC446" s="34"/>
      <c r="AD446" s="24"/>
    </row>
    <row r="447" spans="2:30">
      <c r="AB447" s="34"/>
      <c r="AC447" s="34"/>
      <c r="AD447" s="24"/>
    </row>
    <row r="448" spans="2:30">
      <c r="AB448" s="34"/>
      <c r="AC448" s="34"/>
      <c r="AD448" s="24"/>
    </row>
    <row r="449" spans="28:30">
      <c r="AB449" s="34"/>
      <c r="AC449" s="34"/>
      <c r="AD449" s="24"/>
    </row>
    <row r="450" spans="28:30">
      <c r="AB450" s="34"/>
      <c r="AC450" s="34"/>
      <c r="AD450" s="24"/>
    </row>
    <row r="451" spans="28:30">
      <c r="AB451" s="34"/>
      <c r="AC451" s="34"/>
      <c r="AD451" s="24"/>
    </row>
    <row r="452" spans="28:30">
      <c r="AB452" s="34"/>
      <c r="AC452" s="34"/>
      <c r="AD452" s="24"/>
    </row>
    <row r="453" spans="28:30">
      <c r="AB453" s="176"/>
      <c r="AC453" s="34"/>
      <c r="AD453" s="24"/>
    </row>
    <row r="454" spans="28:30">
      <c r="AB454" s="176"/>
      <c r="AC454" s="34"/>
      <c r="AD454" s="24"/>
    </row>
    <row r="455" spans="28:30">
      <c r="AB455" s="176"/>
      <c r="AC455" s="34"/>
      <c r="AD455" s="24"/>
    </row>
    <row r="456" spans="28:30">
      <c r="AB456" s="176"/>
      <c r="AC456" s="34"/>
      <c r="AD456" s="24"/>
    </row>
    <row r="457" spans="28:30">
      <c r="AB457" s="176"/>
      <c r="AC457" s="34"/>
      <c r="AD457" s="24"/>
    </row>
    <row r="458" spans="28:30">
      <c r="AB458" s="176"/>
      <c r="AC458" s="34"/>
      <c r="AD458" s="24"/>
    </row>
    <row r="459" spans="28:30">
      <c r="AB459" s="176"/>
      <c r="AC459" s="34"/>
      <c r="AD459" s="24"/>
    </row>
    <row r="460" spans="28:30">
      <c r="AB460" s="34"/>
      <c r="AC460" s="34"/>
      <c r="AD460" s="24"/>
    </row>
    <row r="461" spans="28:30">
      <c r="AB461" s="34"/>
      <c r="AC461" s="34"/>
      <c r="AD461" s="24"/>
    </row>
    <row r="462" spans="28:30">
      <c r="AB462" s="34"/>
      <c r="AC462" s="34"/>
      <c r="AD462" s="24"/>
    </row>
    <row r="463" spans="28:30">
      <c r="AB463" s="34"/>
      <c r="AC463" s="34"/>
      <c r="AD463" s="24"/>
    </row>
    <row r="464" spans="28:30">
      <c r="AB464" s="34"/>
      <c r="AC464" s="34"/>
      <c r="AD464" s="24"/>
    </row>
    <row r="465" spans="28:30">
      <c r="AB465" s="34"/>
      <c r="AC465" s="34"/>
      <c r="AD465" s="24"/>
    </row>
    <row r="466" spans="28:30">
      <c r="AB466" s="34"/>
      <c r="AC466" s="34"/>
      <c r="AD466" s="24"/>
    </row>
    <row r="467" spans="28:30">
      <c r="AB467" s="34"/>
      <c r="AC467" s="34"/>
      <c r="AD467" s="24"/>
    </row>
    <row r="468" spans="28:30">
      <c r="AB468" s="34"/>
      <c r="AC468" s="34"/>
      <c r="AD468" s="24"/>
    </row>
    <row r="469" spans="28:30">
      <c r="AB469" s="34"/>
      <c r="AC469" s="34"/>
      <c r="AD469" s="24"/>
    </row>
    <row r="470" spans="28:30">
      <c r="AB470" s="34"/>
      <c r="AC470" s="34"/>
      <c r="AD470" s="24"/>
    </row>
    <row r="471" spans="28:30">
      <c r="AB471" s="34"/>
      <c r="AC471" s="34"/>
      <c r="AD471" s="24"/>
    </row>
    <row r="472" spans="28:30">
      <c r="AB472" s="34"/>
      <c r="AC472" s="34"/>
      <c r="AD472" s="24"/>
    </row>
    <row r="473" spans="28:30">
      <c r="AB473" s="34"/>
      <c r="AC473" s="34"/>
      <c r="AD473" s="24"/>
    </row>
    <row r="474" spans="28:30">
      <c r="AB474" s="34"/>
      <c r="AC474" s="34"/>
      <c r="AD474" s="24"/>
    </row>
    <row r="475" spans="28:30">
      <c r="AB475" s="34"/>
      <c r="AC475" s="34"/>
      <c r="AD475" s="24"/>
    </row>
    <row r="476" spans="28:30">
      <c r="AB476" s="34"/>
      <c r="AC476" s="34"/>
      <c r="AD476" s="24"/>
    </row>
    <row r="477" spans="28:30">
      <c r="AB477" s="34"/>
      <c r="AC477" s="34"/>
      <c r="AD477" s="24"/>
    </row>
    <row r="478" spans="28:30">
      <c r="AB478" s="34"/>
      <c r="AC478" s="34"/>
      <c r="AD478" s="24"/>
    </row>
    <row r="479" spans="28:30">
      <c r="AB479" s="34"/>
      <c r="AC479" s="34"/>
      <c r="AD479" s="24"/>
    </row>
    <row r="480" spans="28:30">
      <c r="AB480" s="34"/>
      <c r="AC480" s="34"/>
      <c r="AD480" s="24"/>
    </row>
    <row r="481" spans="28:30">
      <c r="AB481" s="34"/>
      <c r="AC481" s="34"/>
      <c r="AD481" s="24"/>
    </row>
    <row r="482" spans="28:30">
      <c r="AB482" s="34"/>
      <c r="AC482" s="34"/>
      <c r="AD482" s="24"/>
    </row>
    <row r="483" spans="28:30">
      <c r="AB483" s="34"/>
      <c r="AC483" s="34"/>
      <c r="AD483" s="24"/>
    </row>
    <row r="484" spans="28:30">
      <c r="AB484" s="34"/>
      <c r="AC484" s="84"/>
      <c r="AD484" s="24"/>
    </row>
    <row r="485" spans="28:30">
      <c r="AB485" s="34"/>
      <c r="AC485" s="84"/>
      <c r="AD485" s="24"/>
    </row>
    <row r="486" spans="28:30">
      <c r="AB486" s="34"/>
      <c r="AC486" s="84"/>
      <c r="AD486" s="24"/>
    </row>
    <row r="487" spans="28:30">
      <c r="AB487" s="34"/>
      <c r="AC487" s="84"/>
      <c r="AD487" s="24"/>
    </row>
    <row r="488" spans="28:30">
      <c r="AB488" s="34"/>
      <c r="AC488" s="84"/>
      <c r="AD488" s="24"/>
    </row>
    <row r="489" spans="28:30">
      <c r="AB489" s="34"/>
      <c r="AC489" s="84"/>
      <c r="AD489" s="24"/>
    </row>
    <row r="490" spans="28:30">
      <c r="AB490" s="34"/>
      <c r="AC490" s="84"/>
      <c r="AD490" s="24"/>
    </row>
    <row r="491" spans="28:30">
      <c r="AB491" s="34"/>
      <c r="AC491" s="84"/>
      <c r="AD491" s="24"/>
    </row>
    <row r="492" spans="28:30">
      <c r="AB492" s="34"/>
      <c r="AC492" s="84"/>
      <c r="AD492" s="24"/>
    </row>
    <row r="493" spans="28:30">
      <c r="AB493" s="34"/>
      <c r="AC493" s="84"/>
      <c r="AD493" s="24"/>
    </row>
    <row r="494" spans="28:30">
      <c r="AB494" s="34"/>
      <c r="AC494" s="84"/>
      <c r="AD494" s="24"/>
    </row>
    <row r="495" spans="28:30">
      <c r="AB495" s="34"/>
      <c r="AC495" s="84"/>
      <c r="AD495" s="24"/>
    </row>
    <row r="496" spans="28:30">
      <c r="AB496" s="34"/>
      <c r="AC496" s="84"/>
      <c r="AD496" s="24"/>
    </row>
    <row r="497" spans="28:30">
      <c r="AB497" s="34"/>
      <c r="AC497" s="84"/>
      <c r="AD497" s="24"/>
    </row>
    <row r="498" spans="28:30">
      <c r="AB498" s="34"/>
      <c r="AC498" s="84"/>
      <c r="AD498" s="24"/>
    </row>
    <row r="499" spans="28:30">
      <c r="AB499" s="34"/>
      <c r="AC499" s="84"/>
      <c r="AD499" s="24"/>
    </row>
    <row r="500" spans="28:30">
      <c r="AB500" s="34"/>
      <c r="AC500" s="84"/>
      <c r="AD500" s="24"/>
    </row>
    <row r="501" spans="28:30">
      <c r="AB501" s="34"/>
      <c r="AC501" s="84"/>
      <c r="AD501" s="24"/>
    </row>
    <row r="502" spans="28:30">
      <c r="AB502" s="34"/>
      <c r="AC502" s="84"/>
      <c r="AD502" s="24"/>
    </row>
    <row r="503" spans="28:30">
      <c r="AB503" s="34"/>
      <c r="AC503" s="84"/>
      <c r="AD503" s="24"/>
    </row>
    <row r="504" spans="28:30">
      <c r="AB504" s="34"/>
      <c r="AC504" s="84"/>
      <c r="AD504" s="24"/>
    </row>
    <row r="505" spans="28:30">
      <c r="AB505" s="34"/>
      <c r="AC505" s="84"/>
      <c r="AD505" s="24"/>
    </row>
    <row r="506" spans="28:30">
      <c r="AB506" s="34"/>
      <c r="AC506" s="84"/>
      <c r="AD506" s="24"/>
    </row>
    <row r="507" spans="28:30">
      <c r="AB507" s="34"/>
      <c r="AC507" s="84"/>
      <c r="AD507" s="24"/>
    </row>
    <row r="508" spans="28:30">
      <c r="AB508" s="34"/>
      <c r="AC508" s="84"/>
      <c r="AD508" s="24"/>
    </row>
    <row r="509" spans="28:30">
      <c r="AB509" s="34"/>
      <c r="AC509" s="84"/>
      <c r="AD509" s="24"/>
    </row>
    <row r="510" spans="28:30">
      <c r="AB510" s="34"/>
      <c r="AC510" s="84"/>
      <c r="AD510" s="24"/>
    </row>
    <row r="511" spans="28:30">
      <c r="AB511" s="34"/>
      <c r="AC511" s="84"/>
      <c r="AD511" s="24"/>
    </row>
    <row r="512" spans="28:30">
      <c r="AB512" s="34"/>
      <c r="AC512" s="84"/>
      <c r="AD512" s="24"/>
    </row>
    <row r="513" spans="28:30">
      <c r="AB513" s="34"/>
      <c r="AC513" s="84"/>
      <c r="AD513" s="24"/>
    </row>
    <row r="514" spans="28:30">
      <c r="AB514" s="34"/>
      <c r="AC514" s="84"/>
      <c r="AD514" s="24"/>
    </row>
    <row r="515" spans="28:30">
      <c r="AB515" s="34"/>
      <c r="AC515" s="84"/>
      <c r="AD515" s="24"/>
    </row>
    <row r="516" spans="28:30">
      <c r="AB516" s="34"/>
      <c r="AC516" s="84"/>
      <c r="AD516" s="24"/>
    </row>
    <row r="517" spans="28:30">
      <c r="AB517" s="34"/>
      <c r="AC517" s="84"/>
      <c r="AD517" s="24"/>
    </row>
    <row r="518" spans="28:30">
      <c r="AB518" s="34"/>
      <c r="AC518" s="84"/>
      <c r="AD518" s="24"/>
    </row>
    <row r="519" spans="28:30">
      <c r="AB519" s="34"/>
      <c r="AC519" s="84"/>
      <c r="AD519" s="24"/>
    </row>
    <row r="520" spans="28:30">
      <c r="AB520" s="34"/>
      <c r="AC520" s="84"/>
      <c r="AD520" s="24"/>
    </row>
    <row r="521" spans="28:30">
      <c r="AB521" s="34"/>
      <c r="AC521" s="84"/>
      <c r="AD521" s="24"/>
    </row>
    <row r="522" spans="28:30">
      <c r="AB522" s="34"/>
      <c r="AC522" s="84"/>
      <c r="AD522" s="24"/>
    </row>
    <row r="523" spans="28:30">
      <c r="AB523" s="34"/>
      <c r="AC523" s="84"/>
      <c r="AD523" s="24"/>
    </row>
    <row r="524" spans="28:30">
      <c r="AB524" s="34"/>
      <c r="AC524" s="84"/>
      <c r="AD524" s="24"/>
    </row>
    <row r="525" spans="28:30">
      <c r="AB525" s="34"/>
      <c r="AC525" s="84"/>
      <c r="AD525" s="24"/>
    </row>
    <row r="526" spans="28:30">
      <c r="AB526" s="34"/>
      <c r="AC526" s="84"/>
      <c r="AD526" s="24"/>
    </row>
    <row r="527" spans="28:30">
      <c r="AB527" s="34"/>
      <c r="AC527" s="84"/>
      <c r="AD527" s="24"/>
    </row>
    <row r="528" spans="28:30">
      <c r="AB528" s="34"/>
      <c r="AC528" s="84"/>
      <c r="AD528" s="24"/>
    </row>
    <row r="529" spans="28:30">
      <c r="AB529" s="34"/>
      <c r="AC529" s="84"/>
      <c r="AD529" s="24"/>
    </row>
    <row r="530" spans="28:30">
      <c r="AB530" s="34"/>
      <c r="AC530" s="84"/>
      <c r="AD530" s="24"/>
    </row>
    <row r="531" spans="28:30">
      <c r="AB531" s="34"/>
      <c r="AC531" s="84"/>
      <c r="AD531" s="24"/>
    </row>
    <row r="532" spans="28:30">
      <c r="AB532" s="83"/>
      <c r="AC532" s="84"/>
    </row>
    <row r="533" spans="28:30">
      <c r="AB533" s="83"/>
      <c r="AC533" s="84"/>
    </row>
    <row r="534" spans="28:30">
      <c r="AB534" s="83"/>
      <c r="AC534" s="84"/>
    </row>
    <row r="535" spans="28:30">
      <c r="AB535" s="83"/>
      <c r="AC535" s="84"/>
    </row>
    <row r="536" spans="28:30">
      <c r="AB536" s="83"/>
      <c r="AC536" s="84"/>
    </row>
    <row r="537" spans="28:30">
      <c r="AB537" s="83"/>
      <c r="AC537" s="84"/>
    </row>
    <row r="538" spans="28:30">
      <c r="AB538" s="83"/>
      <c r="AC538" s="84"/>
    </row>
    <row r="539" spans="28:30">
      <c r="AB539" s="83"/>
      <c r="AC539" s="84"/>
    </row>
    <row r="540" spans="28:30">
      <c r="AB540" s="83"/>
      <c r="AC540" s="84"/>
    </row>
    <row r="541" spans="28:30">
      <c r="AB541" s="83"/>
      <c r="AC541" s="84"/>
    </row>
    <row r="542" spans="28:30">
      <c r="AB542" s="83"/>
      <c r="AC542" s="84"/>
    </row>
    <row r="543" spans="28:30">
      <c r="AB543" s="83"/>
      <c r="AC543" s="84"/>
    </row>
    <row r="544" spans="28:30">
      <c r="AB544" s="83"/>
      <c r="AC544" s="84"/>
    </row>
    <row r="545" spans="28:29">
      <c r="AB545" s="83"/>
      <c r="AC545" s="84"/>
    </row>
    <row r="546" spans="28:29">
      <c r="AB546" s="83"/>
      <c r="AC546" s="84"/>
    </row>
    <row r="547" spans="28:29">
      <c r="AB547" s="83"/>
      <c r="AC547" s="84"/>
    </row>
    <row r="548" spans="28:29">
      <c r="AB548" s="83"/>
      <c r="AC548" s="84"/>
    </row>
    <row r="549" spans="28:29">
      <c r="AB549" s="83"/>
      <c r="AC549" s="84"/>
    </row>
    <row r="550" spans="28:29">
      <c r="AB550" s="83"/>
      <c r="AC550" s="84"/>
    </row>
    <row r="551" spans="28:29">
      <c r="AB551" s="83"/>
      <c r="AC551" s="84"/>
    </row>
    <row r="552" spans="28:29">
      <c r="AB552" s="83"/>
      <c r="AC552" s="84"/>
    </row>
    <row r="553" spans="28:29">
      <c r="AB553" s="83"/>
      <c r="AC553" s="84"/>
    </row>
    <row r="554" spans="28:29">
      <c r="AB554" s="83"/>
      <c r="AC554" s="84"/>
    </row>
    <row r="555" spans="28:29">
      <c r="AB555" s="83"/>
      <c r="AC555" s="84"/>
    </row>
    <row r="556" spans="28:29">
      <c r="AB556" s="83"/>
      <c r="AC556" s="84"/>
    </row>
    <row r="557" spans="28:29">
      <c r="AB557" s="83"/>
      <c r="AC557" s="84"/>
    </row>
    <row r="558" spans="28:29">
      <c r="AB558" s="83"/>
      <c r="AC558" s="84"/>
    </row>
    <row r="559" spans="28:29">
      <c r="AB559" s="83"/>
      <c r="AC559" s="84"/>
    </row>
    <row r="560" spans="28:29">
      <c r="AB560" s="83"/>
      <c r="AC560" s="84"/>
    </row>
    <row r="561" spans="28:29">
      <c r="AB561" s="83"/>
      <c r="AC561" s="84"/>
    </row>
    <row r="562" spans="28:29">
      <c r="AB562" s="83"/>
      <c r="AC562" s="84"/>
    </row>
    <row r="563" spans="28:29">
      <c r="AB563" s="83"/>
      <c r="AC563" s="84"/>
    </row>
    <row r="564" spans="28:29">
      <c r="AB564" s="83"/>
      <c r="AC564" s="84"/>
    </row>
    <row r="565" spans="28:29">
      <c r="AB565" s="83"/>
      <c r="AC565" s="84"/>
    </row>
    <row r="566" spans="28:29">
      <c r="AB566" s="83"/>
      <c r="AC566" s="84"/>
    </row>
    <row r="567" spans="28:29">
      <c r="AB567" s="83"/>
      <c r="AC567" s="84"/>
    </row>
    <row r="568" spans="28:29">
      <c r="AB568" s="83"/>
      <c r="AC568" s="84"/>
    </row>
    <row r="569" spans="28:29">
      <c r="AB569" s="83"/>
      <c r="AC569" s="84"/>
    </row>
    <row r="570" spans="28:29">
      <c r="AB570" s="83"/>
      <c r="AC570" s="84"/>
    </row>
    <row r="571" spans="28:29">
      <c r="AB571" s="83"/>
      <c r="AC571" s="84"/>
    </row>
    <row r="572" spans="28:29">
      <c r="AB572" s="83"/>
      <c r="AC572" s="84"/>
    </row>
    <row r="573" spans="28:29">
      <c r="AB573" s="83"/>
      <c r="AC573" s="84"/>
    </row>
    <row r="574" spans="28:29">
      <c r="AB574" s="83"/>
      <c r="AC574" s="84"/>
    </row>
    <row r="575" spans="28:29">
      <c r="AB575" s="83"/>
      <c r="AC575" s="84"/>
    </row>
    <row r="576" spans="28:29">
      <c r="AB576" s="83"/>
      <c r="AC576" s="84"/>
    </row>
    <row r="577" spans="28:29">
      <c r="AB577" s="83"/>
      <c r="AC577" s="84"/>
    </row>
    <row r="578" spans="28:29">
      <c r="AB578" s="83"/>
      <c r="AC578" s="84"/>
    </row>
    <row r="579" spans="28:29">
      <c r="AB579" s="83"/>
      <c r="AC579" s="84"/>
    </row>
    <row r="580" spans="28:29">
      <c r="AB580" s="83"/>
      <c r="AC580" s="84"/>
    </row>
    <row r="581" spans="28:29">
      <c r="AB581" s="83"/>
      <c r="AC581" s="84"/>
    </row>
    <row r="582" spans="28:29">
      <c r="AB582" s="83"/>
      <c r="AC582" s="84"/>
    </row>
    <row r="583" spans="28:29">
      <c r="AB583" s="83"/>
      <c r="AC583" s="84"/>
    </row>
    <row r="584" spans="28:29">
      <c r="AB584" s="83"/>
      <c r="AC584" s="84"/>
    </row>
    <row r="585" spans="28:29">
      <c r="AB585" s="83"/>
      <c r="AC585" s="84"/>
    </row>
    <row r="586" spans="28:29">
      <c r="AB586" s="83"/>
      <c r="AC586" s="84"/>
    </row>
    <row r="587" spans="28:29">
      <c r="AB587" s="83"/>
      <c r="AC587" s="84"/>
    </row>
    <row r="588" spans="28:29">
      <c r="AB588" s="83"/>
      <c r="AC588" s="84"/>
    </row>
    <row r="589" spans="28:29">
      <c r="AB589" s="83"/>
      <c r="AC589" s="84"/>
    </row>
    <row r="590" spans="28:29">
      <c r="AB590" s="83"/>
      <c r="AC590" s="84"/>
    </row>
    <row r="591" spans="28:29">
      <c r="AB591" s="83"/>
      <c r="AC591" s="84"/>
    </row>
    <row r="592" spans="28:29">
      <c r="AB592" s="83"/>
      <c r="AC592" s="84"/>
    </row>
    <row r="593" spans="28:29">
      <c r="AB593" s="83"/>
      <c r="AC593" s="84"/>
    </row>
    <row r="594" spans="28:29">
      <c r="AB594" s="83"/>
      <c r="AC594" s="84"/>
    </row>
    <row r="595" spans="28:29">
      <c r="AB595" s="83"/>
      <c r="AC595" s="84"/>
    </row>
    <row r="596" spans="28:29">
      <c r="AB596" s="83"/>
      <c r="AC596" s="84"/>
    </row>
    <row r="597" spans="28:29">
      <c r="AB597" s="83"/>
      <c r="AC597" s="84"/>
    </row>
    <row r="598" spans="28:29">
      <c r="AB598" s="83"/>
      <c r="AC598" s="84"/>
    </row>
    <row r="599" spans="28:29">
      <c r="AB599" s="83"/>
      <c r="AC599" s="84"/>
    </row>
    <row r="600" spans="28:29">
      <c r="AB600" s="83"/>
      <c r="AC600" s="84"/>
    </row>
    <row r="601" spans="28:29">
      <c r="AB601" s="83"/>
      <c r="AC601" s="84"/>
    </row>
    <row r="602" spans="28:29">
      <c r="AB602" s="83"/>
      <c r="AC602" s="84"/>
    </row>
    <row r="603" spans="28:29">
      <c r="AB603" s="83"/>
      <c r="AC603" s="84"/>
    </row>
    <row r="604" spans="28:29">
      <c r="AB604" s="83"/>
      <c r="AC604" s="84"/>
    </row>
    <row r="605" spans="28:29">
      <c r="AB605" s="83"/>
      <c r="AC605" s="84"/>
    </row>
    <row r="606" spans="28:29">
      <c r="AB606" s="83"/>
      <c r="AC606" s="84"/>
    </row>
    <row r="607" spans="28:29">
      <c r="AB607" s="83"/>
      <c r="AC607" s="84"/>
    </row>
    <row r="608" spans="28:29">
      <c r="AB608" s="83"/>
      <c r="AC608" s="84"/>
    </row>
    <row r="609" spans="28:29">
      <c r="AB609" s="83"/>
      <c r="AC609" s="84"/>
    </row>
    <row r="610" spans="28:29">
      <c r="AB610" s="83"/>
      <c r="AC610" s="84"/>
    </row>
    <row r="611" spans="28:29">
      <c r="AB611" s="83"/>
      <c r="AC611" s="84"/>
    </row>
    <row r="612" spans="28:29">
      <c r="AB612" s="83"/>
      <c r="AC612" s="84"/>
    </row>
    <row r="613" spans="28:29">
      <c r="AB613" s="83"/>
      <c r="AC613" s="84"/>
    </row>
    <row r="614" spans="28:29">
      <c r="AB614" s="83"/>
      <c r="AC614" s="84"/>
    </row>
    <row r="615" spans="28:29">
      <c r="AB615" s="83"/>
      <c r="AC615" s="84"/>
    </row>
    <row r="616" spans="28:29">
      <c r="AB616" s="83"/>
      <c r="AC616" s="84"/>
    </row>
    <row r="617" spans="28:29">
      <c r="AB617" s="83"/>
      <c r="AC617" s="84"/>
    </row>
    <row r="618" spans="28:29">
      <c r="AB618" s="83"/>
      <c r="AC618" s="84"/>
    </row>
    <row r="619" spans="28:29">
      <c r="AB619" s="83"/>
      <c r="AC619" s="84"/>
    </row>
    <row r="620" spans="28:29">
      <c r="AB620" s="83"/>
      <c r="AC620" s="84"/>
    </row>
    <row r="621" spans="28:29">
      <c r="AB621" s="83"/>
      <c r="AC621" s="84"/>
    </row>
    <row r="622" spans="28:29">
      <c r="AB622" s="83"/>
      <c r="AC622" s="84"/>
    </row>
    <row r="623" spans="28:29">
      <c r="AB623" s="83"/>
      <c r="AC623" s="84"/>
    </row>
    <row r="624" spans="28:29">
      <c r="AB624" s="83"/>
      <c r="AC624" s="84"/>
    </row>
    <row r="625" spans="28:29">
      <c r="AB625" s="83"/>
      <c r="AC625" s="84"/>
    </row>
    <row r="626" spans="28:29">
      <c r="AB626" s="83"/>
      <c r="AC626" s="84"/>
    </row>
    <row r="627" spans="28:29">
      <c r="AB627" s="83"/>
      <c r="AC627" s="84"/>
    </row>
    <row r="628" spans="28:29">
      <c r="AB628" s="83"/>
      <c r="AC628" s="84"/>
    </row>
    <row r="629" spans="28:29">
      <c r="AB629" s="83"/>
      <c r="AC629" s="84"/>
    </row>
    <row r="630" spans="28:29">
      <c r="AB630" s="83"/>
      <c r="AC630" s="84"/>
    </row>
    <row r="631" spans="28:29">
      <c r="AB631" s="83"/>
      <c r="AC631" s="84"/>
    </row>
    <row r="632" spans="28:29">
      <c r="AB632" s="83"/>
      <c r="AC632" s="84"/>
    </row>
    <row r="633" spans="28:29">
      <c r="AB633" s="83"/>
      <c r="AC633" s="84"/>
    </row>
    <row r="634" spans="28:29">
      <c r="AB634" s="83"/>
      <c r="AC634" s="84"/>
    </row>
    <row r="635" spans="28:29">
      <c r="AB635" s="83"/>
      <c r="AC635" s="84"/>
    </row>
    <row r="636" spans="28:29">
      <c r="AB636" s="83"/>
      <c r="AC636" s="84"/>
    </row>
    <row r="637" spans="28:29">
      <c r="AB637" s="83"/>
      <c r="AC637" s="84"/>
    </row>
    <row r="638" spans="28:29">
      <c r="AB638" s="83"/>
      <c r="AC638" s="84"/>
    </row>
    <row r="639" spans="28:29">
      <c r="AB639" s="83"/>
      <c r="AC639" s="84"/>
    </row>
    <row r="640" spans="28:29">
      <c r="AB640" s="83"/>
      <c r="AC640" s="84"/>
    </row>
    <row r="641" spans="28:29">
      <c r="AB641" s="83"/>
      <c r="AC641" s="84"/>
    </row>
    <row r="642" spans="28:29">
      <c r="AB642" s="83"/>
      <c r="AC642" s="84"/>
    </row>
    <row r="643" spans="28:29">
      <c r="AB643" s="83"/>
      <c r="AC643" s="84"/>
    </row>
    <row r="644" spans="28:29">
      <c r="AB644" s="83"/>
      <c r="AC644" s="84"/>
    </row>
    <row r="645" spans="28:29">
      <c r="AB645" s="83"/>
      <c r="AC645" s="84"/>
    </row>
    <row r="646" spans="28:29">
      <c r="AB646" s="83"/>
      <c r="AC646" s="84"/>
    </row>
    <row r="647" spans="28:29">
      <c r="AB647" s="83"/>
      <c r="AC647" s="84"/>
    </row>
    <row r="648" spans="28:29">
      <c r="AB648" s="83"/>
      <c r="AC648" s="84"/>
    </row>
    <row r="649" spans="28:29">
      <c r="AB649" s="83"/>
      <c r="AC649" s="84"/>
    </row>
    <row r="650" spans="28:29">
      <c r="AB650" s="83"/>
      <c r="AC650" s="84"/>
    </row>
    <row r="651" spans="28:29">
      <c r="AB651" s="83"/>
      <c r="AC651" s="84"/>
    </row>
    <row r="652" spans="28:29">
      <c r="AB652" s="83"/>
      <c r="AC652" s="84"/>
    </row>
    <row r="653" spans="28:29">
      <c r="AB653" s="83"/>
      <c r="AC653" s="84"/>
    </row>
    <row r="654" spans="28:29">
      <c r="AB654" s="83"/>
      <c r="AC654" s="84"/>
    </row>
    <row r="655" spans="28:29">
      <c r="AB655" s="83"/>
      <c r="AC655" s="84"/>
    </row>
    <row r="656" spans="28:29">
      <c r="AB656" s="83"/>
      <c r="AC656" s="84"/>
    </row>
    <row r="657" spans="28:29">
      <c r="AB657" s="83"/>
      <c r="AC657" s="84"/>
    </row>
    <row r="658" spans="28:29">
      <c r="AB658" s="83"/>
      <c r="AC658" s="84"/>
    </row>
    <row r="659" spans="28:29">
      <c r="AB659" s="83"/>
      <c r="AC659" s="84"/>
    </row>
    <row r="660" spans="28:29">
      <c r="AB660" s="83"/>
      <c r="AC660" s="84"/>
    </row>
    <row r="661" spans="28:29">
      <c r="AB661" s="83"/>
      <c r="AC661" s="84"/>
    </row>
    <row r="662" spans="28:29">
      <c r="AB662" s="83"/>
      <c r="AC662" s="84"/>
    </row>
    <row r="663" spans="28:29">
      <c r="AB663" s="83"/>
      <c r="AC663" s="84"/>
    </row>
    <row r="664" spans="28:29">
      <c r="AB664" s="83"/>
      <c r="AC664" s="84"/>
    </row>
    <row r="665" spans="28:29">
      <c r="AB665" s="83"/>
      <c r="AC665" s="84"/>
    </row>
    <row r="666" spans="28:29">
      <c r="AB666" s="83"/>
      <c r="AC666" s="84"/>
    </row>
    <row r="667" spans="28:29">
      <c r="AB667" s="83"/>
      <c r="AC667" s="84"/>
    </row>
    <row r="668" spans="28:29">
      <c r="AB668" s="83"/>
      <c r="AC668" s="84"/>
    </row>
    <row r="669" spans="28:29">
      <c r="AB669" s="83"/>
      <c r="AC669" s="84"/>
    </row>
    <row r="670" spans="28:29">
      <c r="AB670" s="83"/>
      <c r="AC670" s="84"/>
    </row>
    <row r="671" spans="28:29">
      <c r="AB671" s="83"/>
      <c r="AC671" s="84"/>
    </row>
    <row r="672" spans="28:29">
      <c r="AB672" s="83"/>
      <c r="AC672" s="84"/>
    </row>
    <row r="673" spans="28:29">
      <c r="AB673" s="83"/>
      <c r="AC673" s="84"/>
    </row>
    <row r="674" spans="28:29">
      <c r="AB674" s="83"/>
      <c r="AC674" s="84"/>
    </row>
    <row r="675" spans="28:29">
      <c r="AB675" s="83"/>
      <c r="AC675" s="84"/>
    </row>
    <row r="676" spans="28:29">
      <c r="AB676" s="83"/>
      <c r="AC676" s="84"/>
    </row>
    <row r="677" spans="28:29">
      <c r="AB677" s="83"/>
      <c r="AC677" s="84"/>
    </row>
    <row r="678" spans="28:29">
      <c r="AB678" s="83"/>
      <c r="AC678" s="84"/>
    </row>
    <row r="679" spans="28:29">
      <c r="AB679" s="83"/>
      <c r="AC679" s="84"/>
    </row>
    <row r="680" spans="28:29">
      <c r="AB680" s="83"/>
      <c r="AC680" s="84"/>
    </row>
    <row r="681" spans="28:29">
      <c r="AB681" s="83"/>
      <c r="AC681" s="84"/>
    </row>
    <row r="682" spans="28:29">
      <c r="AB682" s="83"/>
      <c r="AC682" s="84"/>
    </row>
    <row r="683" spans="28:29">
      <c r="AB683" s="83"/>
      <c r="AC683" s="84"/>
    </row>
    <row r="684" spans="28:29">
      <c r="AB684" s="83"/>
      <c r="AC684" s="84"/>
    </row>
    <row r="685" spans="28:29">
      <c r="AB685" s="83"/>
      <c r="AC685" s="84"/>
    </row>
    <row r="686" spans="28:29">
      <c r="AB686" s="83"/>
      <c r="AC686" s="84"/>
    </row>
    <row r="687" spans="28:29">
      <c r="AB687" s="83"/>
      <c r="AC687" s="84"/>
    </row>
    <row r="688" spans="28:29">
      <c r="AB688" s="83"/>
      <c r="AC688" s="84"/>
    </row>
    <row r="689" spans="28:29">
      <c r="AB689" s="83"/>
      <c r="AC689" s="84"/>
    </row>
    <row r="690" spans="28:29">
      <c r="AB690" s="83"/>
      <c r="AC690" s="84"/>
    </row>
    <row r="691" spans="28:29">
      <c r="AB691" s="83"/>
      <c r="AC691" s="84"/>
    </row>
    <row r="692" spans="28:29">
      <c r="AB692" s="83"/>
      <c r="AC692" s="84"/>
    </row>
    <row r="693" spans="28:29">
      <c r="AB693" s="83"/>
      <c r="AC693" s="84"/>
    </row>
    <row r="694" spans="28:29">
      <c r="AB694" s="83"/>
      <c r="AC694" s="84"/>
    </row>
    <row r="695" spans="28:29">
      <c r="AB695" s="83"/>
      <c r="AC695" s="84"/>
    </row>
    <row r="696" spans="28:29">
      <c r="AB696" s="83"/>
      <c r="AC696" s="84"/>
    </row>
    <row r="697" spans="28:29">
      <c r="AB697" s="83"/>
      <c r="AC697" s="84"/>
    </row>
    <row r="698" spans="28:29">
      <c r="AB698" s="83"/>
      <c r="AC698" s="84"/>
    </row>
    <row r="699" spans="28:29">
      <c r="AB699" s="83"/>
      <c r="AC699" s="84"/>
    </row>
    <row r="700" spans="28:29">
      <c r="AB700" s="83"/>
      <c r="AC700" s="84"/>
    </row>
    <row r="701" spans="28:29">
      <c r="AB701" s="83"/>
      <c r="AC701" s="84"/>
    </row>
    <row r="702" spans="28:29">
      <c r="AB702" s="83"/>
      <c r="AC702" s="84"/>
    </row>
    <row r="703" spans="28:29">
      <c r="AB703" s="83"/>
      <c r="AC703" s="84"/>
    </row>
    <row r="704" spans="28:29">
      <c r="AB704" s="83"/>
      <c r="AC704" s="84"/>
    </row>
    <row r="705" spans="28:29">
      <c r="AB705" s="83"/>
      <c r="AC705" s="84"/>
    </row>
    <row r="706" spans="28:29">
      <c r="AB706" s="83"/>
      <c r="AC706" s="84"/>
    </row>
    <row r="707" spans="28:29">
      <c r="AB707" s="83"/>
      <c r="AC707" s="84"/>
    </row>
    <row r="708" spans="28:29">
      <c r="AB708" s="83"/>
      <c r="AC708" s="84"/>
    </row>
    <row r="709" spans="28:29">
      <c r="AB709" s="83"/>
      <c r="AC709" s="84"/>
    </row>
    <row r="710" spans="28:29">
      <c r="AB710" s="83"/>
      <c r="AC710" s="84"/>
    </row>
    <row r="711" spans="28:29">
      <c r="AB711" s="83"/>
      <c r="AC711" s="84"/>
    </row>
    <row r="712" spans="28:29">
      <c r="AB712" s="83"/>
      <c r="AC712" s="84"/>
    </row>
    <row r="713" spans="28:29">
      <c r="AB713" s="83"/>
      <c r="AC713" s="84"/>
    </row>
    <row r="714" spans="28:29">
      <c r="AB714" s="83"/>
      <c r="AC714" s="84"/>
    </row>
    <row r="715" spans="28:29">
      <c r="AB715" s="83"/>
      <c r="AC715" s="84"/>
    </row>
    <row r="716" spans="28:29">
      <c r="AB716" s="83"/>
      <c r="AC716" s="84"/>
    </row>
    <row r="717" spans="28:29">
      <c r="AB717" s="83"/>
      <c r="AC717" s="84"/>
    </row>
    <row r="718" spans="28:29">
      <c r="AB718" s="83"/>
      <c r="AC718" s="84"/>
    </row>
    <row r="719" spans="28:29">
      <c r="AB719" s="83"/>
      <c r="AC719" s="84"/>
    </row>
    <row r="720" spans="28:29">
      <c r="AB720" s="83"/>
      <c r="AC720" s="84"/>
    </row>
    <row r="721" spans="28:29">
      <c r="AB721" s="83"/>
      <c r="AC721" s="84"/>
    </row>
    <row r="722" spans="28:29">
      <c r="AB722" s="83"/>
      <c r="AC722" s="84"/>
    </row>
    <row r="723" spans="28:29">
      <c r="AB723" s="83"/>
      <c r="AC723" s="84"/>
    </row>
    <row r="724" spans="28:29">
      <c r="AB724" s="83"/>
      <c r="AC724" s="84"/>
    </row>
    <row r="725" spans="28:29">
      <c r="AB725" s="83"/>
      <c r="AC725" s="84"/>
    </row>
    <row r="726" spans="28:29">
      <c r="AB726" s="83"/>
      <c r="AC726" s="84"/>
    </row>
    <row r="727" spans="28:29">
      <c r="AB727" s="83"/>
      <c r="AC727" s="84"/>
    </row>
    <row r="728" spans="28:29">
      <c r="AB728" s="83"/>
      <c r="AC728" s="84"/>
    </row>
    <row r="729" spans="28:29">
      <c r="AB729" s="83"/>
      <c r="AC729" s="84"/>
    </row>
    <row r="730" spans="28:29">
      <c r="AB730" s="83"/>
      <c r="AC730" s="84"/>
    </row>
    <row r="731" spans="28:29">
      <c r="AB731" s="83"/>
      <c r="AC731" s="84"/>
    </row>
    <row r="732" spans="28:29">
      <c r="AB732" s="83"/>
      <c r="AC732" s="84"/>
    </row>
    <row r="733" spans="28:29">
      <c r="AB733" s="83"/>
      <c r="AC733" s="84"/>
    </row>
    <row r="734" spans="28:29">
      <c r="AB734" s="83"/>
      <c r="AC734" s="84"/>
    </row>
    <row r="735" spans="28:29">
      <c r="AB735" s="83"/>
      <c r="AC735" s="84"/>
    </row>
    <row r="736" spans="28:29">
      <c r="AB736" s="83"/>
      <c r="AC736" s="84"/>
    </row>
    <row r="737" spans="28:29">
      <c r="AB737" s="83"/>
      <c r="AC737" s="84"/>
    </row>
    <row r="738" spans="28:29">
      <c r="AB738" s="83"/>
      <c r="AC738" s="84"/>
    </row>
    <row r="739" spans="28:29">
      <c r="AB739" s="83"/>
      <c r="AC739" s="84"/>
    </row>
    <row r="740" spans="28:29">
      <c r="AB740" s="83"/>
      <c r="AC740" s="84"/>
    </row>
    <row r="741" spans="28:29">
      <c r="AB741" s="83"/>
      <c r="AC741" s="84"/>
    </row>
    <row r="742" spans="28:29">
      <c r="AB742" s="83"/>
      <c r="AC742" s="84"/>
    </row>
    <row r="743" spans="28:29">
      <c r="AB743" s="83"/>
      <c r="AC743" s="84"/>
    </row>
    <row r="744" spans="28:29">
      <c r="AB744" s="83"/>
      <c r="AC744" s="84"/>
    </row>
    <row r="745" spans="28:29">
      <c r="AB745" s="83"/>
      <c r="AC745" s="84"/>
    </row>
    <row r="746" spans="28:29">
      <c r="AB746" s="83"/>
      <c r="AC746" s="84"/>
    </row>
    <row r="747" spans="28:29">
      <c r="AB747" s="83"/>
      <c r="AC747" s="84"/>
    </row>
    <row r="748" spans="28:29">
      <c r="AB748" s="83"/>
      <c r="AC748" s="84"/>
    </row>
    <row r="749" spans="28:29">
      <c r="AB749" s="83"/>
      <c r="AC749" s="84"/>
    </row>
    <row r="750" spans="28:29">
      <c r="AB750" s="83"/>
      <c r="AC750" s="84"/>
    </row>
    <row r="751" spans="28:29">
      <c r="AB751" s="83"/>
      <c r="AC751" s="84"/>
    </row>
    <row r="752" spans="28:29">
      <c r="AB752" s="83"/>
      <c r="AC752" s="84"/>
    </row>
    <row r="753" spans="28:29">
      <c r="AB753" s="17"/>
      <c r="AC753" s="20"/>
    </row>
    <row r="754" spans="28:29">
      <c r="AB754" s="17"/>
      <c r="AC754" s="20"/>
    </row>
    <row r="755" spans="28:29">
      <c r="AB755" s="17"/>
      <c r="AC755" s="20"/>
    </row>
    <row r="756" spans="28:29">
      <c r="AB756" s="17"/>
      <c r="AC756" s="20"/>
    </row>
    <row r="757" spans="28:29">
      <c r="AB757" s="17"/>
      <c r="AC757" s="20"/>
    </row>
    <row r="758" spans="28:29">
      <c r="AB758" s="17"/>
      <c r="AC758" s="20"/>
    </row>
    <row r="759" spans="28:29">
      <c r="AB759" s="17"/>
      <c r="AC759" s="20"/>
    </row>
    <row r="760" spans="28:29">
      <c r="AB760" s="17"/>
      <c r="AC760" s="20"/>
    </row>
    <row r="761" spans="28:29">
      <c r="AB761" s="17"/>
      <c r="AC761" s="20"/>
    </row>
    <row r="762" spans="28:29">
      <c r="AB762" s="17"/>
      <c r="AC762" s="20"/>
    </row>
    <row r="763" spans="28:29">
      <c r="AB763" s="17"/>
      <c r="AC763" s="20"/>
    </row>
    <row r="764" spans="28:29">
      <c r="AB764" s="17"/>
      <c r="AC764" s="20"/>
    </row>
    <row r="765" spans="28:29">
      <c r="AB765" s="17"/>
      <c r="AC765" s="20"/>
    </row>
    <row r="766" spans="28:29">
      <c r="AB766" s="17"/>
      <c r="AC766" s="20"/>
    </row>
    <row r="767" spans="28:29">
      <c r="AB767" s="17"/>
      <c r="AC767" s="20"/>
    </row>
    <row r="768" spans="28:29">
      <c r="AB768" s="17"/>
      <c r="AC768" s="20"/>
    </row>
    <row r="769" spans="28:29">
      <c r="AB769" s="17"/>
      <c r="AC769" s="20"/>
    </row>
    <row r="770" spans="28:29">
      <c r="AB770" s="17"/>
      <c r="AC770" s="20"/>
    </row>
    <row r="771" spans="28:29">
      <c r="AB771" s="17"/>
      <c r="AC771" s="20"/>
    </row>
    <row r="772" spans="28:29">
      <c r="AB772" s="17"/>
      <c r="AC772" s="20"/>
    </row>
    <row r="773" spans="28:29">
      <c r="AB773" s="17"/>
      <c r="AC773" s="20"/>
    </row>
    <row r="774" spans="28:29">
      <c r="AB774" s="17"/>
      <c r="AC774" s="20"/>
    </row>
    <row r="775" spans="28:29">
      <c r="AB775" s="17"/>
      <c r="AC775" s="20"/>
    </row>
    <row r="776" spans="28:29">
      <c r="AB776" s="17"/>
      <c r="AC776" s="20"/>
    </row>
    <row r="777" spans="28:29">
      <c r="AB777" s="17"/>
      <c r="AC777" s="20"/>
    </row>
    <row r="778" spans="28:29">
      <c r="AB778" s="17"/>
      <c r="AC778" s="20"/>
    </row>
    <row r="779" spans="28:29">
      <c r="AB779" s="17"/>
      <c r="AC779" s="20"/>
    </row>
    <row r="780" spans="28:29">
      <c r="AB780" s="17"/>
      <c r="AC780" s="20"/>
    </row>
    <row r="781" spans="28:29">
      <c r="AB781" s="17"/>
      <c r="AC781" s="20"/>
    </row>
    <row r="782" spans="28:29">
      <c r="AB782" s="17"/>
      <c r="AC782" s="20"/>
    </row>
    <row r="783" spans="28:29">
      <c r="AB783" s="17"/>
      <c r="AC783" s="20"/>
    </row>
    <row r="784" spans="28:29">
      <c r="AB784" s="17"/>
      <c r="AC784" s="20"/>
    </row>
    <row r="785" spans="28:29">
      <c r="AB785" s="17"/>
      <c r="AC785" s="20"/>
    </row>
    <row r="786" spans="28:29">
      <c r="AB786" s="17"/>
      <c r="AC786" s="20"/>
    </row>
    <row r="787" spans="28:29">
      <c r="AB787" s="17"/>
      <c r="AC787" s="20"/>
    </row>
    <row r="788" spans="28:29">
      <c r="AB788" s="17"/>
      <c r="AC788" s="20"/>
    </row>
    <row r="789" spans="28:29">
      <c r="AB789" s="17"/>
      <c r="AC789" s="20"/>
    </row>
    <row r="790" spans="28:29">
      <c r="AB790" s="17"/>
      <c r="AC790" s="20"/>
    </row>
    <row r="791" spans="28:29">
      <c r="AB791" s="17"/>
      <c r="AC791" s="20"/>
    </row>
    <row r="792" spans="28:29">
      <c r="AB792" s="17"/>
      <c r="AC792" s="20"/>
    </row>
    <row r="793" spans="28:29">
      <c r="AB793" s="17"/>
      <c r="AC793" s="20"/>
    </row>
    <row r="794" spans="28:29">
      <c r="AB794" s="17"/>
      <c r="AC794" s="20"/>
    </row>
    <row r="795" spans="28:29">
      <c r="AB795" s="17"/>
      <c r="AC795" s="20"/>
    </row>
    <row r="796" spans="28:29">
      <c r="AB796" s="17"/>
      <c r="AC796" s="20"/>
    </row>
    <row r="797" spans="28:29">
      <c r="AB797" s="17"/>
      <c r="AC797" s="20"/>
    </row>
    <row r="798" spans="28:29">
      <c r="AB798" s="17"/>
      <c r="AC798" s="20"/>
    </row>
    <row r="799" spans="28:29">
      <c r="AB799" s="17"/>
      <c r="AC799" s="20"/>
    </row>
    <row r="800" spans="28:29">
      <c r="AB800" s="17"/>
      <c r="AC800" s="20"/>
    </row>
    <row r="801" spans="28:29">
      <c r="AB801" s="17"/>
      <c r="AC801" s="20"/>
    </row>
    <row r="802" spans="28:29">
      <c r="AB802" s="17"/>
      <c r="AC802" s="20"/>
    </row>
    <row r="803" spans="28:29">
      <c r="AB803" s="17"/>
      <c r="AC803" s="20"/>
    </row>
    <row r="804" spans="28:29">
      <c r="AB804" s="17"/>
      <c r="AC804" s="20"/>
    </row>
    <row r="805" spans="28:29">
      <c r="AB805" s="17"/>
      <c r="AC805" s="20"/>
    </row>
    <row r="806" spans="28:29">
      <c r="AB806" s="17"/>
      <c r="AC806" s="20"/>
    </row>
    <row r="807" spans="28:29">
      <c r="AB807" s="17"/>
      <c r="AC807" s="20"/>
    </row>
    <row r="808" spans="28:29">
      <c r="AB808" s="17"/>
      <c r="AC808" s="20"/>
    </row>
    <row r="809" spans="28:29">
      <c r="AB809" s="17"/>
      <c r="AC809" s="20"/>
    </row>
    <row r="810" spans="28:29">
      <c r="AB810" s="17"/>
      <c r="AC810" s="20"/>
    </row>
    <row r="811" spans="28:29">
      <c r="AB811" s="17"/>
      <c r="AC811" s="20"/>
    </row>
    <row r="812" spans="28:29">
      <c r="AB812" s="17"/>
      <c r="AC812" s="20"/>
    </row>
    <row r="813" spans="28:29">
      <c r="AB813" s="17"/>
      <c r="AC813" s="20"/>
    </row>
    <row r="814" spans="28:29">
      <c r="AB814" s="17"/>
      <c r="AC814" s="20"/>
    </row>
    <row r="815" spans="28:29">
      <c r="AB815" s="17"/>
      <c r="AC815" s="20"/>
    </row>
    <row r="816" spans="28:29">
      <c r="AB816" s="17"/>
      <c r="AC816" s="20"/>
    </row>
    <row r="817" spans="28:29">
      <c r="AB817" s="17"/>
      <c r="AC817" s="20"/>
    </row>
    <row r="818" spans="28:29">
      <c r="AB818" s="17"/>
      <c r="AC818" s="20"/>
    </row>
    <row r="819" spans="28:29">
      <c r="AB819" s="17"/>
      <c r="AC819" s="20"/>
    </row>
    <row r="820" spans="28:29">
      <c r="AB820" s="17"/>
      <c r="AC820" s="20"/>
    </row>
    <row r="821" spans="28:29">
      <c r="AB821" s="17"/>
      <c r="AC821" s="20"/>
    </row>
    <row r="822" spans="28:29">
      <c r="AB822" s="17"/>
      <c r="AC822" s="20"/>
    </row>
    <row r="823" spans="28:29">
      <c r="AB823" s="17"/>
      <c r="AC823" s="20"/>
    </row>
    <row r="824" spans="28:29">
      <c r="AB824" s="17"/>
      <c r="AC824" s="20"/>
    </row>
    <row r="825" spans="28:29">
      <c r="AB825" s="17"/>
      <c r="AC825" s="20"/>
    </row>
    <row r="826" spans="28:29">
      <c r="AB826" s="17"/>
      <c r="AC826" s="20"/>
    </row>
    <row r="827" spans="28:29">
      <c r="AB827" s="17"/>
      <c r="AC827" s="20"/>
    </row>
    <row r="828" spans="28:29">
      <c r="AB828" s="17"/>
      <c r="AC828" s="20"/>
    </row>
    <row r="829" spans="28:29">
      <c r="AB829" s="17"/>
      <c r="AC829" s="20"/>
    </row>
    <row r="830" spans="28:29">
      <c r="AB830" s="17"/>
      <c r="AC830" s="20"/>
    </row>
    <row r="831" spans="28:29">
      <c r="AB831" s="17"/>
      <c r="AC831" s="20"/>
    </row>
    <row r="832" spans="28:29">
      <c r="AB832" s="17"/>
      <c r="AC832" s="20"/>
    </row>
    <row r="833" spans="28:29">
      <c r="AB833" s="17"/>
      <c r="AC833" s="20"/>
    </row>
    <row r="834" spans="28:29">
      <c r="AB834" s="17"/>
      <c r="AC834" s="20"/>
    </row>
    <row r="835" spans="28:29">
      <c r="AB835" s="17"/>
      <c r="AC835" s="20"/>
    </row>
    <row r="836" spans="28:29">
      <c r="AB836" s="17"/>
      <c r="AC836" s="20"/>
    </row>
    <row r="837" spans="28:29">
      <c r="AB837" s="17"/>
      <c r="AC837" s="20"/>
    </row>
    <row r="838" spans="28:29">
      <c r="AB838" s="17"/>
      <c r="AC838" s="20"/>
    </row>
    <row r="839" spans="28:29">
      <c r="AB839" s="17"/>
      <c r="AC839" s="20"/>
    </row>
    <row r="840" spans="28:29">
      <c r="AB840" s="17"/>
      <c r="AC840" s="20"/>
    </row>
    <row r="841" spans="28:29">
      <c r="AB841" s="17"/>
      <c r="AC841" s="20"/>
    </row>
    <row r="842" spans="28:29">
      <c r="AB842" s="17"/>
      <c r="AC842" s="20"/>
    </row>
    <row r="843" spans="28:29">
      <c r="AB843" s="17"/>
      <c r="AC843" s="20"/>
    </row>
    <row r="844" spans="28:29">
      <c r="AB844" s="17"/>
      <c r="AC844" s="20"/>
    </row>
    <row r="845" spans="28:29">
      <c r="AB845" s="17"/>
      <c r="AC845" s="20"/>
    </row>
    <row r="846" spans="28:29">
      <c r="AB846" s="17"/>
      <c r="AC846" s="20"/>
    </row>
    <row r="847" spans="28:29">
      <c r="AB847" s="17"/>
      <c r="AC847" s="20"/>
    </row>
    <row r="848" spans="28:29">
      <c r="AB848" s="17"/>
      <c r="AC848" s="20"/>
    </row>
    <row r="849" spans="28:29">
      <c r="AB849" s="17"/>
      <c r="AC849" s="20"/>
    </row>
    <row r="850" spans="28:29">
      <c r="AB850" s="17"/>
      <c r="AC850" s="20"/>
    </row>
    <row r="851" spans="28:29">
      <c r="AB851" s="17"/>
      <c r="AC851" s="20"/>
    </row>
    <row r="852" spans="28:29">
      <c r="AB852" s="17"/>
      <c r="AC852" s="20"/>
    </row>
    <row r="853" spans="28:29">
      <c r="AB853" s="17"/>
      <c r="AC853" s="20"/>
    </row>
    <row r="854" spans="28:29">
      <c r="AB854" s="17"/>
      <c r="AC854" s="20"/>
    </row>
    <row r="855" spans="28:29">
      <c r="AB855" s="17"/>
      <c r="AC855" s="20"/>
    </row>
    <row r="856" spans="28:29">
      <c r="AB856" s="17"/>
      <c r="AC856" s="20"/>
    </row>
    <row r="857" spans="28:29">
      <c r="AB857" s="17"/>
      <c r="AC857" s="20"/>
    </row>
    <row r="858" spans="28:29">
      <c r="AB858" s="17"/>
      <c r="AC858" s="20"/>
    </row>
    <row r="859" spans="28:29">
      <c r="AB859" s="17"/>
      <c r="AC859" s="20"/>
    </row>
    <row r="860" spans="28:29">
      <c r="AB860" s="17"/>
      <c r="AC860" s="20"/>
    </row>
    <row r="861" spans="28:29">
      <c r="AB861" s="17"/>
      <c r="AC861" s="20"/>
    </row>
    <row r="862" spans="28:29">
      <c r="AB862" s="17"/>
      <c r="AC862" s="20"/>
    </row>
    <row r="863" spans="28:29">
      <c r="AB863" s="17"/>
      <c r="AC863" s="20"/>
    </row>
    <row r="864" spans="28:29">
      <c r="AB864" s="17"/>
      <c r="AC864" s="20"/>
    </row>
    <row r="865" spans="28:29">
      <c r="AB865" s="17"/>
      <c r="AC865" s="20"/>
    </row>
    <row r="866" spans="28:29">
      <c r="AB866" s="17"/>
      <c r="AC866" s="20"/>
    </row>
    <row r="867" spans="28:29">
      <c r="AB867" s="17"/>
      <c r="AC867" s="20"/>
    </row>
    <row r="868" spans="28:29">
      <c r="AB868" s="17"/>
      <c r="AC868" s="20"/>
    </row>
    <row r="869" spans="28:29">
      <c r="AB869" s="17"/>
      <c r="AC869" s="20"/>
    </row>
    <row r="870" spans="28:29">
      <c r="AB870" s="17"/>
      <c r="AC870" s="20"/>
    </row>
    <row r="871" spans="28:29">
      <c r="AB871" s="17"/>
      <c r="AC871" s="20"/>
    </row>
    <row r="872" spans="28:29">
      <c r="AB872" s="17"/>
      <c r="AC872" s="20"/>
    </row>
    <row r="873" spans="28:29">
      <c r="AB873" s="17"/>
      <c r="AC873" s="20"/>
    </row>
    <row r="874" spans="28:29">
      <c r="AB874" s="17"/>
      <c r="AC874" s="20"/>
    </row>
    <row r="875" spans="28:29">
      <c r="AB875" s="17"/>
      <c r="AC875" s="20"/>
    </row>
    <row r="876" spans="28:29">
      <c r="AB876" s="17"/>
      <c r="AC876" s="20"/>
    </row>
    <row r="877" spans="28:29">
      <c r="AB877" s="17"/>
      <c r="AC877" s="20"/>
    </row>
    <row r="878" spans="28:29">
      <c r="AB878" s="17"/>
      <c r="AC878" s="20"/>
    </row>
    <row r="879" spans="28:29">
      <c r="AB879" s="17"/>
      <c r="AC879" s="20"/>
    </row>
    <row r="880" spans="28:29">
      <c r="AB880" s="17"/>
      <c r="AC880" s="20"/>
    </row>
    <row r="881" spans="28:29">
      <c r="AB881" s="17"/>
      <c r="AC881" s="20"/>
    </row>
    <row r="882" spans="28:29">
      <c r="AB882" s="17"/>
      <c r="AC882" s="20"/>
    </row>
    <row r="883" spans="28:29">
      <c r="AB883" s="17"/>
      <c r="AC883" s="20"/>
    </row>
    <row r="884" spans="28:29">
      <c r="AB884" s="17"/>
      <c r="AC884" s="20"/>
    </row>
    <row r="885" spans="28:29">
      <c r="AB885" s="17"/>
      <c r="AC885" s="20"/>
    </row>
    <row r="886" spans="28:29">
      <c r="AB886" s="17"/>
      <c r="AC886" s="20"/>
    </row>
    <row r="887" spans="28:29">
      <c r="AB887" s="17"/>
      <c r="AC887" s="20"/>
    </row>
    <row r="888" spans="28:29">
      <c r="AB888" s="17"/>
      <c r="AC888" s="20"/>
    </row>
    <row r="889" spans="28:29">
      <c r="AB889" s="17"/>
      <c r="AC889" s="20"/>
    </row>
    <row r="890" spans="28:29">
      <c r="AB890" s="17"/>
      <c r="AC890" s="20"/>
    </row>
    <row r="891" spans="28:29">
      <c r="AB891" s="17"/>
      <c r="AC891" s="20"/>
    </row>
    <row r="892" spans="28:29">
      <c r="AB892" s="17"/>
      <c r="AC892" s="20"/>
    </row>
    <row r="893" spans="28:29">
      <c r="AB893" s="17"/>
      <c r="AC893" s="20"/>
    </row>
    <row r="894" spans="28:29">
      <c r="AB894" s="17"/>
      <c r="AC894" s="20"/>
    </row>
    <row r="895" spans="28:29">
      <c r="AB895" s="17"/>
      <c r="AC895" s="20"/>
    </row>
    <row r="896" spans="28:29">
      <c r="AB896" s="17"/>
      <c r="AC896" s="20"/>
    </row>
    <row r="897" spans="28:29">
      <c r="AB897" s="17"/>
      <c r="AC897" s="20"/>
    </row>
    <row r="898" spans="28:29">
      <c r="AB898" s="17"/>
      <c r="AC898" s="20"/>
    </row>
    <row r="899" spans="28:29">
      <c r="AB899" s="17"/>
      <c r="AC899" s="20"/>
    </row>
    <row r="900" spans="28:29">
      <c r="AB900" s="17"/>
      <c r="AC900" s="20"/>
    </row>
    <row r="901" spans="28:29">
      <c r="AB901" s="17"/>
      <c r="AC901" s="20"/>
    </row>
    <row r="902" spans="28:29">
      <c r="AB902" s="17"/>
      <c r="AC902" s="20"/>
    </row>
    <row r="903" spans="28:29">
      <c r="AB903" s="17"/>
      <c r="AC903" s="20"/>
    </row>
    <row r="904" spans="28:29">
      <c r="AB904" s="17"/>
      <c r="AC904" s="20"/>
    </row>
    <row r="905" spans="28:29">
      <c r="AB905" s="17"/>
      <c r="AC905" s="20"/>
    </row>
    <row r="906" spans="28:29">
      <c r="AB906" s="17"/>
      <c r="AC906" s="20"/>
    </row>
    <row r="907" spans="28:29">
      <c r="AB907" s="17"/>
      <c r="AC907" s="20"/>
    </row>
    <row r="908" spans="28:29">
      <c r="AB908" s="17"/>
      <c r="AC908" s="20"/>
    </row>
    <row r="909" spans="28:29">
      <c r="AB909" s="17"/>
      <c r="AC909" s="20"/>
    </row>
    <row r="910" spans="28:29">
      <c r="AB910" s="17"/>
      <c r="AC910" s="20"/>
    </row>
    <row r="911" spans="28:29">
      <c r="AB911" s="17"/>
      <c r="AC911" s="20"/>
    </row>
    <row r="912" spans="28:29">
      <c r="AB912" s="17"/>
      <c r="AC912" s="20"/>
    </row>
    <row r="913" spans="28:29">
      <c r="AB913" s="17"/>
      <c r="AC913" s="20"/>
    </row>
    <row r="914" spans="28:29">
      <c r="AB914" s="17"/>
      <c r="AC914" s="20"/>
    </row>
    <row r="915" spans="28:29">
      <c r="AB915" s="17"/>
      <c r="AC915" s="20"/>
    </row>
    <row r="916" spans="28:29">
      <c r="AB916" s="17"/>
      <c r="AC916" s="20"/>
    </row>
    <row r="917" spans="28:29">
      <c r="AB917" s="17"/>
      <c r="AC917" s="20"/>
    </row>
    <row r="918" spans="28:29">
      <c r="AB918" s="17"/>
      <c r="AC918" s="20"/>
    </row>
    <row r="919" spans="28:29">
      <c r="AB919" s="17"/>
      <c r="AC919" s="20"/>
    </row>
    <row r="920" spans="28:29">
      <c r="AB920" s="17"/>
      <c r="AC920" s="20"/>
    </row>
    <row r="921" spans="28:29">
      <c r="AB921" s="17"/>
      <c r="AC921" s="20"/>
    </row>
    <row r="922" spans="28:29">
      <c r="AB922" s="17"/>
      <c r="AC922" s="20"/>
    </row>
    <row r="923" spans="28:29">
      <c r="AB923" s="17"/>
      <c r="AC923" s="20"/>
    </row>
    <row r="924" spans="28:29">
      <c r="AB924" s="17"/>
      <c r="AC924" s="20"/>
    </row>
    <row r="925" spans="28:29">
      <c r="AB925" s="17"/>
      <c r="AC925" s="20"/>
    </row>
    <row r="926" spans="28:29">
      <c r="AB926" s="17"/>
      <c r="AC926" s="20"/>
    </row>
    <row r="927" spans="28:29">
      <c r="AB927" s="17"/>
      <c r="AC927" s="20"/>
    </row>
    <row r="928" spans="28:29">
      <c r="AB928" s="17"/>
      <c r="AC928" s="20"/>
    </row>
    <row r="929" spans="28:29">
      <c r="AB929" s="17"/>
      <c r="AC929" s="20"/>
    </row>
    <row r="930" spans="28:29">
      <c r="AB930" s="17"/>
      <c r="AC930" s="20"/>
    </row>
    <row r="931" spans="28:29">
      <c r="AB931" s="17"/>
      <c r="AC931" s="20"/>
    </row>
    <row r="932" spans="28:29">
      <c r="AB932" s="17"/>
      <c r="AC932" s="20"/>
    </row>
    <row r="933" spans="28:29">
      <c r="AB933" s="17"/>
      <c r="AC933" s="20"/>
    </row>
    <row r="934" spans="28:29">
      <c r="AB934" s="17"/>
      <c r="AC934" s="20"/>
    </row>
    <row r="935" spans="28:29">
      <c r="AB935" s="17"/>
      <c r="AC935" s="20"/>
    </row>
    <row r="936" spans="28:29">
      <c r="AB936" s="17"/>
      <c r="AC936" s="20"/>
    </row>
    <row r="937" spans="28:29">
      <c r="AB937" s="17"/>
      <c r="AC937" s="20"/>
    </row>
    <row r="938" spans="28:29">
      <c r="AB938" s="17"/>
      <c r="AC938" s="20"/>
    </row>
    <row r="939" spans="28:29">
      <c r="AB939" s="17"/>
      <c r="AC939" s="20"/>
    </row>
    <row r="940" spans="28:29">
      <c r="AB940" s="17"/>
      <c r="AC940" s="20"/>
    </row>
    <row r="941" spans="28:29">
      <c r="AB941" s="17"/>
      <c r="AC941" s="20"/>
    </row>
    <row r="942" spans="28:29">
      <c r="AB942" s="17"/>
      <c r="AC942" s="20"/>
    </row>
    <row r="943" spans="28:29">
      <c r="AB943" s="17"/>
      <c r="AC943" s="20"/>
    </row>
    <row r="944" spans="28:29">
      <c r="AB944" s="17"/>
      <c r="AC944" s="20"/>
    </row>
    <row r="945" spans="28:29">
      <c r="AB945" s="17"/>
      <c r="AC945" s="20"/>
    </row>
    <row r="946" spans="28:29">
      <c r="AB946" s="17"/>
      <c r="AC946" s="20"/>
    </row>
    <row r="947" spans="28:29">
      <c r="AB947" s="17"/>
      <c r="AC947" s="20"/>
    </row>
    <row r="948" spans="28:29">
      <c r="AB948" s="17"/>
      <c r="AC948" s="20"/>
    </row>
    <row r="949" spans="28:29">
      <c r="AB949" s="17"/>
      <c r="AC949" s="20"/>
    </row>
    <row r="950" spans="28:29">
      <c r="AB950" s="17"/>
      <c r="AC950" s="20"/>
    </row>
    <row r="951" spans="28:29">
      <c r="AB951" s="17"/>
      <c r="AC951" s="20"/>
    </row>
    <row r="952" spans="28:29">
      <c r="AB952" s="17"/>
      <c r="AC952" s="20"/>
    </row>
    <row r="953" spans="28:29">
      <c r="AB953" s="17"/>
      <c r="AC953" s="20"/>
    </row>
    <row r="954" spans="28:29">
      <c r="AB954" s="17"/>
      <c r="AC954" s="20"/>
    </row>
    <row r="955" spans="28:29">
      <c r="AB955" s="17"/>
      <c r="AC955" s="20"/>
    </row>
    <row r="956" spans="28:29">
      <c r="AB956" s="17"/>
      <c r="AC956" s="20"/>
    </row>
    <row r="957" spans="28:29">
      <c r="AB957" s="17"/>
      <c r="AC957" s="20"/>
    </row>
    <row r="958" spans="28:29">
      <c r="AB958" s="17"/>
      <c r="AC958" s="20"/>
    </row>
    <row r="959" spans="28:29">
      <c r="AB959" s="17"/>
      <c r="AC959" s="20"/>
    </row>
    <row r="960" spans="28:29">
      <c r="AB960" s="17"/>
      <c r="AC960" s="20"/>
    </row>
    <row r="961" spans="28:29">
      <c r="AB961" s="17"/>
      <c r="AC961" s="20"/>
    </row>
    <row r="962" spans="28:29">
      <c r="AB962" s="17"/>
      <c r="AC962" s="20"/>
    </row>
    <row r="963" spans="28:29">
      <c r="AB963" s="17"/>
      <c r="AC963" s="20"/>
    </row>
    <row r="964" spans="28:29">
      <c r="AB964" s="17"/>
      <c r="AC964" s="20"/>
    </row>
    <row r="965" spans="28:29">
      <c r="AB965" s="17"/>
      <c r="AC965" s="20"/>
    </row>
    <row r="966" spans="28:29">
      <c r="AB966" s="17"/>
      <c r="AC966" s="20"/>
    </row>
    <row r="967" spans="28:29">
      <c r="AB967" s="17"/>
      <c r="AC967" s="20"/>
    </row>
    <row r="968" spans="28:29">
      <c r="AB968" s="17"/>
      <c r="AC968" s="20"/>
    </row>
    <row r="969" spans="28:29">
      <c r="AB969" s="17"/>
      <c r="AC969" s="20"/>
    </row>
    <row r="970" spans="28:29">
      <c r="AB970" s="17"/>
      <c r="AC970" s="20"/>
    </row>
    <row r="971" spans="28:29">
      <c r="AB971" s="17"/>
      <c r="AC971" s="20"/>
    </row>
    <row r="972" spans="28:29">
      <c r="AB972" s="17"/>
      <c r="AC972" s="20"/>
    </row>
    <row r="973" spans="28:29">
      <c r="AB973" s="17"/>
      <c r="AC973" s="20"/>
    </row>
    <row r="974" spans="28:29">
      <c r="AB974" s="17"/>
      <c r="AC974" s="20"/>
    </row>
    <row r="975" spans="28:29">
      <c r="AB975" s="17"/>
      <c r="AC975" s="20"/>
    </row>
    <row r="976" spans="28:29">
      <c r="AB976" s="17"/>
      <c r="AC976" s="20"/>
    </row>
    <row r="977" spans="28:29">
      <c r="AB977" s="17"/>
      <c r="AC977" s="20"/>
    </row>
    <row r="978" spans="28:29">
      <c r="AB978" s="17"/>
      <c r="AC978" s="20"/>
    </row>
    <row r="979" spans="28:29">
      <c r="AB979" s="17"/>
      <c r="AC979" s="20"/>
    </row>
    <row r="980" spans="28:29">
      <c r="AB980" s="17"/>
      <c r="AC980" s="20"/>
    </row>
    <row r="981" spans="28:29">
      <c r="AB981" s="17"/>
      <c r="AC981" s="20"/>
    </row>
    <row r="982" spans="28:29">
      <c r="AB982" s="17"/>
      <c r="AC982" s="20"/>
    </row>
    <row r="983" spans="28:29">
      <c r="AB983" s="17"/>
      <c r="AC983" s="20"/>
    </row>
    <row r="984" spans="28:29">
      <c r="AB984" s="17"/>
      <c r="AC984" s="20"/>
    </row>
    <row r="985" spans="28:29">
      <c r="AB985" s="17"/>
      <c r="AC985" s="20"/>
    </row>
    <row r="986" spans="28:29">
      <c r="AB986" s="17"/>
      <c r="AC986" s="20"/>
    </row>
    <row r="987" spans="28:29">
      <c r="AB987" s="17"/>
      <c r="AC987" s="20"/>
    </row>
    <row r="988" spans="28:29">
      <c r="AB988" s="17"/>
      <c r="AC988" s="20"/>
    </row>
    <row r="989" spans="28:29">
      <c r="AB989" s="17"/>
      <c r="AC989" s="20"/>
    </row>
    <row r="990" spans="28:29">
      <c r="AB990" s="17"/>
      <c r="AC990" s="20"/>
    </row>
    <row r="991" spans="28:29">
      <c r="AB991" s="17"/>
      <c r="AC991" s="20"/>
    </row>
    <row r="992" spans="28:29">
      <c r="AB992" s="17"/>
      <c r="AC992" s="20"/>
    </row>
    <row r="993" spans="28:29">
      <c r="AB993" s="17"/>
      <c r="AC993" s="20"/>
    </row>
    <row r="994" spans="28:29">
      <c r="AB994" s="17"/>
      <c r="AC994" s="20"/>
    </row>
    <row r="995" spans="28:29">
      <c r="AB995" s="17"/>
      <c r="AC995" s="20"/>
    </row>
    <row r="996" spans="28:29">
      <c r="AB996" s="17"/>
      <c r="AC996" s="20"/>
    </row>
    <row r="997" spans="28:29">
      <c r="AB997" s="17"/>
      <c r="AC997" s="20"/>
    </row>
    <row r="998" spans="28:29">
      <c r="AB998" s="17"/>
      <c r="AC998" s="20"/>
    </row>
    <row r="999" spans="28:29">
      <c r="AB999" s="17"/>
      <c r="AC999" s="20"/>
    </row>
    <row r="1000" spans="28:29">
      <c r="AB1000" s="17"/>
      <c r="AC1000" s="20"/>
    </row>
    <row r="1001" spans="28:29">
      <c r="AB1001" s="17"/>
      <c r="AC1001" s="20"/>
    </row>
    <row r="1002" spans="28:29">
      <c r="AB1002" s="17"/>
      <c r="AC1002" s="20"/>
    </row>
    <row r="1003" spans="28:29">
      <c r="AB1003" s="17"/>
      <c r="AC1003" s="20"/>
    </row>
    <row r="1004" spans="28:29">
      <c r="AB1004" s="17"/>
      <c r="AC1004" s="20"/>
    </row>
    <row r="1005" spans="28:29">
      <c r="AB1005" s="17"/>
      <c r="AC1005" s="20"/>
    </row>
    <row r="1006" spans="28:29">
      <c r="AB1006" s="17"/>
      <c r="AC1006" s="20"/>
    </row>
    <row r="1007" spans="28:29">
      <c r="AB1007" s="17"/>
      <c r="AC1007" s="20"/>
    </row>
    <row r="1008" spans="28:29">
      <c r="AB1008" s="17"/>
      <c r="AC1008" s="20"/>
    </row>
    <row r="1009" spans="28:29">
      <c r="AB1009" s="17"/>
      <c r="AC1009" s="20"/>
    </row>
    <row r="1010" spans="28:29">
      <c r="AB1010" s="17"/>
      <c r="AC1010" s="20"/>
    </row>
    <row r="1011" spans="28:29">
      <c r="AB1011" s="17"/>
      <c r="AC1011" s="20"/>
    </row>
    <row r="1012" spans="28:29">
      <c r="AB1012" s="17"/>
      <c r="AC1012" s="20"/>
    </row>
    <row r="1013" spans="28:29">
      <c r="AB1013" s="17"/>
      <c r="AC1013" s="20"/>
    </row>
    <row r="1014" spans="28:29">
      <c r="AB1014" s="17"/>
      <c r="AC1014" s="20"/>
    </row>
    <row r="1015" spans="28:29">
      <c r="AB1015" s="17"/>
      <c r="AC1015" s="20"/>
    </row>
    <row r="1016" spans="28:29">
      <c r="AB1016" s="17"/>
      <c r="AC1016" s="20"/>
    </row>
    <row r="1017" spans="28:29">
      <c r="AB1017" s="17"/>
      <c r="AC1017" s="20"/>
    </row>
    <row r="1018" spans="28:29">
      <c r="AB1018" s="17"/>
      <c r="AC1018" s="20"/>
    </row>
    <row r="1019" spans="28:29">
      <c r="AB1019" s="17"/>
      <c r="AC1019" s="20"/>
    </row>
    <row r="1020" spans="28:29">
      <c r="AB1020" s="17"/>
      <c r="AC1020" s="20"/>
    </row>
    <row r="1021" spans="28:29">
      <c r="AB1021" s="17"/>
      <c r="AC1021" s="20"/>
    </row>
    <row r="1022" spans="28:29">
      <c r="AB1022" s="17"/>
      <c r="AC1022" s="20"/>
    </row>
    <row r="1023" spans="28:29">
      <c r="AB1023" s="17"/>
      <c r="AC1023" s="20"/>
    </row>
    <row r="1024" spans="28:29">
      <c r="AB1024" s="17"/>
      <c r="AC1024" s="20"/>
    </row>
    <row r="1025" spans="28:29">
      <c r="AB1025" s="17"/>
      <c r="AC1025" s="20"/>
    </row>
    <row r="1026" spans="28:29">
      <c r="AB1026" s="17"/>
      <c r="AC1026" s="20"/>
    </row>
    <row r="1027" spans="28:29">
      <c r="AB1027" s="17"/>
      <c r="AC1027" s="20"/>
    </row>
    <row r="1028" spans="28:29">
      <c r="AB1028" s="17"/>
      <c r="AC1028" s="20"/>
    </row>
    <row r="1029" spans="28:29">
      <c r="AB1029" s="17"/>
      <c r="AC1029" s="20"/>
    </row>
    <row r="1030" spans="28:29">
      <c r="AB1030" s="17"/>
      <c r="AC1030" s="20"/>
    </row>
    <row r="1031" spans="28:29">
      <c r="AB1031" s="17"/>
      <c r="AC1031" s="20"/>
    </row>
    <row r="1032" spans="28:29">
      <c r="AB1032" s="17"/>
      <c r="AC1032" s="20"/>
    </row>
    <row r="1033" spans="28:29">
      <c r="AB1033" s="17"/>
      <c r="AC1033" s="20"/>
    </row>
    <row r="1034" spans="28:29">
      <c r="AB1034" s="17"/>
      <c r="AC1034" s="20"/>
    </row>
    <row r="1035" spans="28:29">
      <c r="AB1035" s="17"/>
      <c r="AC1035" s="20"/>
    </row>
    <row r="1036" spans="28:29">
      <c r="AB1036" s="17"/>
      <c r="AC1036" s="20"/>
    </row>
    <row r="1037" spans="28:29">
      <c r="AB1037" s="17"/>
      <c r="AC1037" s="20"/>
    </row>
    <row r="1038" spans="28:29">
      <c r="AB1038" s="17"/>
      <c r="AC1038" s="20"/>
    </row>
    <row r="1039" spans="28:29">
      <c r="AB1039" s="17"/>
      <c r="AC1039" s="20"/>
    </row>
    <row r="1040" spans="28:29">
      <c r="AB1040" s="17"/>
      <c r="AC1040" s="20"/>
    </row>
    <row r="1041" spans="28:29">
      <c r="AB1041" s="17"/>
      <c r="AC1041" s="20"/>
    </row>
    <row r="1042" spans="28:29">
      <c r="AB1042" s="17"/>
      <c r="AC1042" s="20"/>
    </row>
    <row r="1043" spans="28:29">
      <c r="AB1043" s="17"/>
      <c r="AC1043" s="20"/>
    </row>
    <row r="1044" spans="28:29">
      <c r="AB1044" s="17"/>
      <c r="AC1044" s="20"/>
    </row>
    <row r="1045" spans="28:29">
      <c r="AB1045" s="17"/>
      <c r="AC1045" s="20"/>
    </row>
    <row r="1046" spans="28:29">
      <c r="AB1046" s="17"/>
      <c r="AC1046" s="20"/>
    </row>
    <row r="1047" spans="28:29">
      <c r="AB1047" s="17"/>
      <c r="AC1047" s="20"/>
    </row>
    <row r="1048" spans="28:29">
      <c r="AB1048" s="17"/>
      <c r="AC1048" s="20"/>
    </row>
    <row r="1049" spans="28:29">
      <c r="AB1049" s="17"/>
      <c r="AC1049" s="20"/>
    </row>
    <row r="1050" spans="28:29">
      <c r="AB1050" s="17"/>
      <c r="AC1050" s="20"/>
    </row>
    <row r="1051" spans="28:29">
      <c r="AB1051" s="17"/>
      <c r="AC1051" s="20"/>
    </row>
    <row r="1052" spans="28:29">
      <c r="AB1052" s="17"/>
      <c r="AC1052" s="20"/>
    </row>
    <row r="1053" spans="28:29">
      <c r="AB1053" s="17"/>
      <c r="AC1053" s="20"/>
    </row>
    <row r="1054" spans="28:29">
      <c r="AB1054" s="17"/>
      <c r="AC1054" s="20"/>
    </row>
    <row r="1055" spans="28:29">
      <c r="AB1055" s="17"/>
      <c r="AC1055" s="20"/>
    </row>
    <row r="1056" spans="28:29">
      <c r="AB1056" s="17"/>
      <c r="AC1056" s="20"/>
    </row>
    <row r="1057" spans="28:29">
      <c r="AB1057" s="17"/>
      <c r="AC1057" s="20"/>
    </row>
    <row r="1058" spans="28:29">
      <c r="AB1058" s="17"/>
      <c r="AC1058" s="20"/>
    </row>
    <row r="1059" spans="28:29">
      <c r="AB1059" s="17"/>
      <c r="AC1059" s="20"/>
    </row>
    <row r="1060" spans="28:29">
      <c r="AB1060" s="17"/>
      <c r="AC1060" s="20"/>
    </row>
    <row r="1061" spans="28:29">
      <c r="AB1061" s="17"/>
      <c r="AC1061" s="20"/>
    </row>
    <row r="1062" spans="28:29">
      <c r="AB1062" s="17"/>
      <c r="AC1062" s="20"/>
    </row>
    <row r="1063" spans="28:29">
      <c r="AB1063" s="17"/>
      <c r="AC1063" s="20"/>
    </row>
    <row r="1064" spans="28:29">
      <c r="AB1064" s="17"/>
      <c r="AC1064" s="20"/>
    </row>
    <row r="1065" spans="28:29">
      <c r="AB1065" s="17"/>
      <c r="AC1065" s="20"/>
    </row>
    <row r="1066" spans="28:29">
      <c r="AB1066" s="17"/>
      <c r="AC1066" s="20"/>
    </row>
    <row r="1067" spans="28:29">
      <c r="AB1067" s="17"/>
      <c r="AC1067" s="20"/>
    </row>
    <row r="1068" spans="28:29">
      <c r="AB1068" s="17"/>
      <c r="AC1068" s="20"/>
    </row>
    <row r="1069" spans="28:29">
      <c r="AB1069" s="17"/>
      <c r="AC1069" s="20"/>
    </row>
    <row r="1070" spans="28:29">
      <c r="AB1070" s="17"/>
      <c r="AC1070" s="20"/>
    </row>
    <row r="1071" spans="28:29">
      <c r="AB1071" s="17"/>
      <c r="AC1071" s="20"/>
    </row>
    <row r="1072" spans="28:29">
      <c r="AB1072" s="17"/>
      <c r="AC1072" s="20"/>
    </row>
    <row r="1073" spans="28:29">
      <c r="AB1073" s="17"/>
      <c r="AC1073" s="20"/>
    </row>
    <row r="1074" spans="28:29">
      <c r="AB1074" s="17"/>
      <c r="AC1074" s="20"/>
    </row>
    <row r="1075" spans="28:29">
      <c r="AB1075" s="17"/>
      <c r="AC1075" s="20"/>
    </row>
    <row r="1076" spans="28:29">
      <c r="AB1076" s="17"/>
      <c r="AC1076" s="20"/>
    </row>
    <row r="1077" spans="28:29">
      <c r="AB1077" s="17"/>
      <c r="AC1077" s="20"/>
    </row>
    <row r="1078" spans="28:29">
      <c r="AB1078" s="17"/>
      <c r="AC1078" s="20"/>
    </row>
    <row r="1079" spans="28:29">
      <c r="AB1079" s="17"/>
      <c r="AC1079" s="20"/>
    </row>
    <row r="1080" spans="28:29">
      <c r="AB1080" s="17"/>
      <c r="AC1080" s="20"/>
    </row>
    <row r="1081" spans="28:29">
      <c r="AB1081" s="17"/>
      <c r="AC1081" s="20"/>
    </row>
    <row r="1082" spans="28:29">
      <c r="AB1082" s="17"/>
      <c r="AC1082" s="20"/>
    </row>
    <row r="1083" spans="28:29">
      <c r="AB1083" s="17"/>
      <c r="AC1083" s="20"/>
    </row>
    <row r="1084" spans="28:29">
      <c r="AB1084" s="17"/>
      <c r="AC1084" s="20"/>
    </row>
    <row r="1085" spans="28:29">
      <c r="AB1085" s="17"/>
      <c r="AC1085" s="20"/>
    </row>
    <row r="1086" spans="28:29">
      <c r="AB1086" s="17"/>
      <c r="AC1086" s="20"/>
    </row>
    <row r="1087" spans="28:29">
      <c r="AB1087" s="17"/>
      <c r="AC1087" s="20"/>
    </row>
    <row r="1088" spans="28:29">
      <c r="AB1088" s="17"/>
      <c r="AC1088" s="20"/>
    </row>
    <row r="1089" spans="28:29">
      <c r="AB1089" s="17"/>
      <c r="AC1089" s="20"/>
    </row>
    <row r="1090" spans="28:29">
      <c r="AB1090" s="17"/>
      <c r="AC1090" s="20"/>
    </row>
    <row r="1091" spans="28:29">
      <c r="AB1091" s="17"/>
      <c r="AC1091" s="20"/>
    </row>
    <row r="1092" spans="28:29">
      <c r="AB1092" s="17"/>
      <c r="AC1092" s="20"/>
    </row>
    <row r="1093" spans="28:29">
      <c r="AB1093" s="17"/>
      <c r="AC1093" s="20"/>
    </row>
    <row r="1094" spans="28:29">
      <c r="AB1094" s="17"/>
      <c r="AC1094" s="20"/>
    </row>
    <row r="1095" spans="28:29">
      <c r="AB1095" s="17"/>
      <c r="AC1095" s="20"/>
    </row>
    <row r="1096" spans="28:29">
      <c r="AB1096" s="17"/>
      <c r="AC1096" s="20"/>
    </row>
    <row r="1097" spans="28:29">
      <c r="AB1097" s="17"/>
      <c r="AC1097" s="20"/>
    </row>
    <row r="1098" spans="28:29">
      <c r="AB1098" s="17"/>
      <c r="AC1098" s="20"/>
    </row>
    <row r="1099" spans="28:29">
      <c r="AB1099" s="17"/>
      <c r="AC1099" s="20"/>
    </row>
    <row r="1100" spans="28:29">
      <c r="AB1100" s="17"/>
      <c r="AC1100" s="20"/>
    </row>
    <row r="1101" spans="28:29">
      <c r="AB1101" s="17"/>
      <c r="AC1101" s="20"/>
    </row>
    <row r="1102" spans="28:29">
      <c r="AB1102" s="17"/>
      <c r="AC1102" s="20"/>
    </row>
    <row r="1103" spans="28:29">
      <c r="AB1103" s="17"/>
      <c r="AC1103" s="20"/>
    </row>
    <row r="1104" spans="28:29">
      <c r="AB1104" s="17"/>
      <c r="AC1104" s="20"/>
    </row>
    <row r="1105" spans="28:29">
      <c r="AB1105" s="17"/>
      <c r="AC1105" s="20"/>
    </row>
    <row r="1106" spans="28:29">
      <c r="AB1106" s="17"/>
      <c r="AC1106" s="20"/>
    </row>
    <row r="1107" spans="28:29">
      <c r="AB1107" s="17"/>
      <c r="AC1107" s="20"/>
    </row>
    <row r="1108" spans="28:29">
      <c r="AB1108" s="17"/>
      <c r="AC1108" s="20"/>
    </row>
    <row r="1109" spans="28:29">
      <c r="AB1109" s="17"/>
      <c r="AC1109" s="20"/>
    </row>
    <row r="1110" spans="28:29">
      <c r="AB1110" s="17"/>
      <c r="AC1110" s="20"/>
    </row>
    <row r="1111" spans="28:29">
      <c r="AB1111" s="17"/>
      <c r="AC1111" s="20"/>
    </row>
    <row r="1112" spans="28:29">
      <c r="AB1112" s="17"/>
      <c r="AC1112" s="20"/>
    </row>
    <row r="1113" spans="28:29">
      <c r="AB1113" s="17"/>
      <c r="AC1113" s="20"/>
    </row>
    <row r="1114" spans="28:29">
      <c r="AB1114" s="17"/>
      <c r="AC1114" s="20"/>
    </row>
    <row r="1115" spans="28:29">
      <c r="AB1115" s="17"/>
      <c r="AC1115" s="20"/>
    </row>
    <row r="1116" spans="28:29">
      <c r="AB1116" s="17"/>
      <c r="AC1116" s="20"/>
    </row>
    <row r="1117" spans="28:29">
      <c r="AB1117" s="17"/>
      <c r="AC1117" s="20"/>
    </row>
    <row r="1118" spans="28:29">
      <c r="AB1118" s="17"/>
      <c r="AC1118" s="20"/>
    </row>
    <row r="1119" spans="28:29">
      <c r="AB1119" s="17"/>
      <c r="AC1119" s="20"/>
    </row>
    <row r="1120" spans="28:29">
      <c r="AB1120" s="17"/>
      <c r="AC1120" s="20"/>
    </row>
    <row r="1121" spans="28:29">
      <c r="AB1121" s="17"/>
      <c r="AC1121" s="20"/>
    </row>
    <row r="1122" spans="28:29">
      <c r="AB1122" s="17"/>
      <c r="AC1122" s="20"/>
    </row>
    <row r="1123" spans="28:29">
      <c r="AB1123" s="17"/>
      <c r="AC1123" s="20"/>
    </row>
    <row r="1124" spans="28:29">
      <c r="AB1124" s="17"/>
      <c r="AC1124" s="20"/>
    </row>
    <row r="1125" spans="28:29">
      <c r="AB1125" s="17"/>
      <c r="AC1125" s="20"/>
    </row>
    <row r="1126" spans="28:29">
      <c r="AB1126" s="17"/>
      <c r="AC1126" s="20"/>
    </row>
    <row r="1127" spans="28:29">
      <c r="AB1127" s="17"/>
      <c r="AC1127" s="20"/>
    </row>
    <row r="1128" spans="28:29">
      <c r="AB1128" s="17"/>
      <c r="AC1128" s="20"/>
    </row>
    <row r="1129" spans="28:29">
      <c r="AB1129" s="17"/>
      <c r="AC1129" s="20"/>
    </row>
    <row r="1130" spans="28:29">
      <c r="AB1130" s="17"/>
      <c r="AC1130" s="20"/>
    </row>
    <row r="1131" spans="28:29">
      <c r="AB1131" s="17"/>
      <c r="AC1131" s="20"/>
    </row>
    <row r="1132" spans="28:29">
      <c r="AB1132" s="17"/>
      <c r="AC1132" s="20"/>
    </row>
    <row r="1133" spans="28:29">
      <c r="AB1133" s="17"/>
      <c r="AC1133" s="20"/>
    </row>
    <row r="1134" spans="28:29">
      <c r="AB1134" s="17"/>
      <c r="AC1134" s="20"/>
    </row>
    <row r="1135" spans="28:29">
      <c r="AB1135" s="17"/>
      <c r="AC1135" s="20"/>
    </row>
    <row r="1136" spans="28:29">
      <c r="AB1136" s="17"/>
      <c r="AC1136" s="20"/>
    </row>
    <row r="1137" spans="28:29">
      <c r="AB1137" s="17"/>
      <c r="AC1137" s="20"/>
    </row>
    <row r="1138" spans="28:29">
      <c r="AB1138" s="17"/>
      <c r="AC1138" s="20"/>
    </row>
    <row r="1139" spans="28:29">
      <c r="AB1139" s="17"/>
      <c r="AC1139" s="20"/>
    </row>
    <row r="1140" spans="28:29">
      <c r="AB1140" s="17"/>
      <c r="AC1140" s="20"/>
    </row>
    <row r="1141" spans="28:29">
      <c r="AB1141" s="17"/>
      <c r="AC1141" s="20"/>
    </row>
    <row r="1142" spans="28:29">
      <c r="AB1142" s="17"/>
      <c r="AC1142" s="20"/>
    </row>
    <row r="1143" spans="28:29">
      <c r="AB1143" s="17"/>
      <c r="AC1143" s="20"/>
    </row>
    <row r="1144" spans="28:29">
      <c r="AB1144" s="17"/>
      <c r="AC1144" s="20"/>
    </row>
    <row r="1145" spans="28:29">
      <c r="AB1145" s="17"/>
      <c r="AC1145" s="20"/>
    </row>
    <row r="1146" spans="28:29">
      <c r="AB1146" s="17"/>
      <c r="AC1146" s="20"/>
    </row>
    <row r="1147" spans="28:29">
      <c r="AB1147" s="17"/>
      <c r="AC1147" s="20"/>
    </row>
    <row r="1148" spans="28:29">
      <c r="AB1148" s="17"/>
      <c r="AC1148" s="20"/>
    </row>
    <row r="1149" spans="28:29">
      <c r="AB1149" s="17"/>
      <c r="AC1149" s="20"/>
    </row>
    <row r="1150" spans="28:29">
      <c r="AB1150" s="17"/>
      <c r="AC1150" s="20"/>
    </row>
    <row r="1151" spans="28:29">
      <c r="AB1151" s="17"/>
      <c r="AC1151" s="20"/>
    </row>
    <row r="1152" spans="28:29">
      <c r="AB1152" s="17"/>
      <c r="AC1152" s="20"/>
    </row>
    <row r="1153" spans="28:29">
      <c r="AB1153" s="17"/>
      <c r="AC1153" s="20"/>
    </row>
    <row r="1154" spans="28:29">
      <c r="AB1154" s="17"/>
      <c r="AC1154" s="20"/>
    </row>
    <row r="1155" spans="28:29">
      <c r="AB1155" s="17"/>
      <c r="AC1155" s="20"/>
    </row>
    <row r="1156" spans="28:29">
      <c r="AB1156" s="17"/>
      <c r="AC1156" s="20"/>
    </row>
    <row r="1157" spans="28:29">
      <c r="AB1157" s="17"/>
      <c r="AC1157" s="20"/>
    </row>
    <row r="1158" spans="28:29">
      <c r="AB1158" s="17"/>
      <c r="AC1158" s="20"/>
    </row>
    <row r="1159" spans="28:29">
      <c r="AB1159" s="17"/>
      <c r="AC1159" s="20"/>
    </row>
    <row r="1160" spans="28:29">
      <c r="AB1160" s="17"/>
      <c r="AC1160" s="20"/>
    </row>
    <row r="1161" spans="28:29">
      <c r="AB1161" s="17"/>
      <c r="AC1161" s="20"/>
    </row>
    <row r="1162" spans="28:29">
      <c r="AB1162" s="17"/>
      <c r="AC1162" s="20"/>
    </row>
    <row r="1163" spans="28:29">
      <c r="AB1163" s="17"/>
      <c r="AC1163" s="20"/>
    </row>
    <row r="1164" spans="28:29">
      <c r="AB1164" s="17"/>
      <c r="AC1164" s="20"/>
    </row>
    <row r="1165" spans="28:29">
      <c r="AB1165" s="17"/>
      <c r="AC1165" s="20"/>
    </row>
    <row r="1166" spans="28:29">
      <c r="AB1166" s="17"/>
      <c r="AC1166" s="20"/>
    </row>
    <row r="1167" spans="28:29">
      <c r="AB1167" s="17"/>
      <c r="AC1167" s="20"/>
    </row>
    <row r="1168" spans="28:29">
      <c r="AB1168" s="17"/>
      <c r="AC1168" s="20"/>
    </row>
    <row r="1169" spans="28:29">
      <c r="AB1169" s="17"/>
      <c r="AC1169" s="20"/>
    </row>
    <row r="1170" spans="28:29">
      <c r="AB1170" s="17"/>
      <c r="AC1170" s="20"/>
    </row>
    <row r="1171" spans="28:29">
      <c r="AB1171" s="17"/>
      <c r="AC1171" s="20"/>
    </row>
    <row r="1172" spans="28:29">
      <c r="AB1172" s="17"/>
      <c r="AC1172" s="20"/>
    </row>
    <row r="1173" spans="28:29">
      <c r="AB1173" s="17"/>
      <c r="AC1173" s="20"/>
    </row>
    <row r="1174" spans="28:29">
      <c r="AB1174" s="17"/>
      <c r="AC1174" s="20"/>
    </row>
    <row r="1175" spans="28:29">
      <c r="AB1175" s="17"/>
      <c r="AC1175" s="20"/>
    </row>
    <row r="1176" spans="28:29">
      <c r="AB1176" s="17"/>
      <c r="AC1176" s="20"/>
    </row>
    <row r="1177" spans="28:29">
      <c r="AB1177" s="17"/>
      <c r="AC1177" s="20"/>
    </row>
    <row r="1178" spans="28:29">
      <c r="AB1178" s="17"/>
      <c r="AC1178" s="20"/>
    </row>
    <row r="1179" spans="28:29">
      <c r="AB1179" s="17"/>
      <c r="AC1179" s="20"/>
    </row>
    <row r="1180" spans="28:29">
      <c r="AB1180" s="17"/>
      <c r="AC1180" s="20"/>
    </row>
    <row r="1181" spans="28:29">
      <c r="AB1181" s="17"/>
      <c r="AC1181" s="20"/>
    </row>
    <row r="1182" spans="28:29">
      <c r="AB1182" s="17"/>
      <c r="AC1182" s="20"/>
    </row>
    <row r="1183" spans="28:29">
      <c r="AB1183" s="17"/>
      <c r="AC1183" s="20"/>
    </row>
    <row r="1184" spans="28:29">
      <c r="AB1184" s="17"/>
      <c r="AC1184" s="20"/>
    </row>
    <row r="1185" spans="28:29">
      <c r="AB1185" s="17"/>
      <c r="AC1185" s="20"/>
    </row>
    <row r="1186" spans="28:29">
      <c r="AB1186" s="17"/>
      <c r="AC1186" s="20"/>
    </row>
    <row r="1187" spans="28:29">
      <c r="AB1187" s="17"/>
      <c r="AC1187" s="20"/>
    </row>
    <row r="1188" spans="28:29">
      <c r="AB1188" s="17"/>
      <c r="AC1188" s="20"/>
    </row>
    <row r="1189" spans="28:29">
      <c r="AB1189" s="17"/>
      <c r="AC1189" s="20"/>
    </row>
    <row r="1190" spans="28:29">
      <c r="AB1190" s="17"/>
      <c r="AC1190" s="20"/>
    </row>
    <row r="1191" spans="28:29">
      <c r="AB1191" s="17"/>
      <c r="AC1191" s="20"/>
    </row>
    <row r="1192" spans="28:29">
      <c r="AB1192" s="17"/>
      <c r="AC1192" s="20"/>
    </row>
    <row r="1193" spans="28:29">
      <c r="AB1193" s="17"/>
      <c r="AC1193" s="20"/>
    </row>
    <row r="1194" spans="28:29">
      <c r="AB1194" s="17"/>
      <c r="AC1194" s="20"/>
    </row>
    <row r="1195" spans="28:29">
      <c r="AB1195" s="17"/>
      <c r="AC1195" s="20"/>
    </row>
    <row r="1196" spans="28:29">
      <c r="AB1196" s="17"/>
      <c r="AC1196" s="20"/>
    </row>
    <row r="1197" spans="28:29">
      <c r="AB1197" s="17"/>
      <c r="AC1197" s="20"/>
    </row>
    <row r="1198" spans="28:29">
      <c r="AB1198" s="17"/>
      <c r="AC1198" s="20"/>
    </row>
    <row r="1199" spans="28:29">
      <c r="AB1199" s="17"/>
      <c r="AC1199" s="20"/>
    </row>
    <row r="1200" spans="28:29">
      <c r="AB1200" s="17"/>
      <c r="AC1200" s="20"/>
    </row>
    <row r="1201" spans="28:29">
      <c r="AB1201" s="17"/>
      <c r="AC1201" s="20"/>
    </row>
    <row r="1202" spans="28:29">
      <c r="AB1202" s="17"/>
      <c r="AC1202" s="20"/>
    </row>
    <row r="1203" spans="28:29">
      <c r="AB1203" s="17"/>
      <c r="AC1203" s="20"/>
    </row>
    <row r="1204" spans="28:29">
      <c r="AB1204" s="17"/>
      <c r="AC1204" s="20"/>
    </row>
    <row r="1205" spans="28:29">
      <c r="AB1205" s="17"/>
      <c r="AC1205" s="20"/>
    </row>
    <row r="1206" spans="28:29">
      <c r="AB1206" s="17"/>
      <c r="AC1206" s="20"/>
    </row>
    <row r="1207" spans="28:29">
      <c r="AB1207" s="17"/>
      <c r="AC1207" s="20"/>
    </row>
    <row r="1208" spans="28:29">
      <c r="AB1208" s="17"/>
      <c r="AC1208" s="20"/>
    </row>
    <row r="1209" spans="28:29">
      <c r="AB1209" s="17"/>
      <c r="AC1209" s="20"/>
    </row>
    <row r="1210" spans="28:29">
      <c r="AB1210" s="17"/>
      <c r="AC1210" s="20"/>
    </row>
    <row r="1211" spans="28:29">
      <c r="AB1211" s="17"/>
      <c r="AC1211" s="20"/>
    </row>
    <row r="1212" spans="28:29">
      <c r="AB1212" s="17"/>
      <c r="AC1212" s="20"/>
    </row>
    <row r="1213" spans="28:29">
      <c r="AB1213" s="17"/>
      <c r="AC1213" s="20"/>
    </row>
    <row r="1214" spans="28:29">
      <c r="AB1214" s="17"/>
      <c r="AC1214" s="20"/>
    </row>
    <row r="1215" spans="28:29">
      <c r="AB1215" s="17"/>
      <c r="AC1215" s="20"/>
    </row>
    <row r="1216" spans="28:29">
      <c r="AB1216" s="17"/>
      <c r="AC1216" s="20"/>
    </row>
    <row r="1217" spans="28:29">
      <c r="AB1217" s="17"/>
      <c r="AC1217" s="20"/>
    </row>
    <row r="1218" spans="28:29">
      <c r="AB1218" s="17"/>
      <c r="AC1218" s="20"/>
    </row>
    <row r="1219" spans="28:29">
      <c r="AB1219" s="17"/>
      <c r="AC1219" s="20"/>
    </row>
    <row r="1220" spans="28:29">
      <c r="AB1220" s="17"/>
      <c r="AC1220" s="20"/>
    </row>
    <row r="1221" spans="28:29">
      <c r="AB1221" s="17"/>
      <c r="AC1221" s="20"/>
    </row>
    <row r="1222" spans="28:29">
      <c r="AB1222" s="17"/>
      <c r="AC1222" s="20"/>
    </row>
    <row r="1223" spans="28:29">
      <c r="AB1223" s="17"/>
      <c r="AC1223" s="20"/>
    </row>
    <row r="1224" spans="28:29">
      <c r="AB1224" s="17"/>
      <c r="AC1224" s="20"/>
    </row>
    <row r="1225" spans="28:29">
      <c r="AB1225" s="17"/>
      <c r="AC1225" s="20"/>
    </row>
    <row r="1226" spans="28:29">
      <c r="AB1226" s="17"/>
      <c r="AC1226" s="20"/>
    </row>
    <row r="1227" spans="28:29">
      <c r="AB1227" s="17"/>
      <c r="AC1227" s="20"/>
    </row>
    <row r="1228" spans="28:29">
      <c r="AB1228" s="17"/>
      <c r="AC1228" s="20"/>
    </row>
    <row r="1229" spans="28:29">
      <c r="AB1229" s="17"/>
      <c r="AC1229" s="20"/>
    </row>
    <row r="1230" spans="28:29">
      <c r="AB1230" s="17"/>
      <c r="AC1230" s="20"/>
    </row>
    <row r="1231" spans="28:29">
      <c r="AB1231" s="17"/>
      <c r="AC1231" s="20"/>
    </row>
    <row r="1232" spans="28:29">
      <c r="AB1232" s="17"/>
      <c r="AC1232" s="20"/>
    </row>
    <row r="1233" spans="28:29">
      <c r="AB1233" s="17"/>
      <c r="AC1233" s="20"/>
    </row>
    <row r="1234" spans="28:29">
      <c r="AB1234" s="17"/>
      <c r="AC1234" s="20"/>
    </row>
    <row r="1235" spans="28:29">
      <c r="AB1235" s="17"/>
      <c r="AC1235" s="20"/>
    </row>
    <row r="1236" spans="28:29">
      <c r="AB1236" s="17"/>
      <c r="AC1236" s="20"/>
    </row>
    <row r="1237" spans="28:29">
      <c r="AB1237" s="17"/>
      <c r="AC1237" s="20"/>
    </row>
    <row r="1238" spans="28:29">
      <c r="AB1238" s="17"/>
      <c r="AC1238" s="20"/>
    </row>
    <row r="1239" spans="28:29">
      <c r="AB1239" s="17"/>
      <c r="AC1239" s="20"/>
    </row>
    <row r="1240" spans="28:29">
      <c r="AB1240" s="17"/>
      <c r="AC1240" s="20"/>
    </row>
    <row r="1241" spans="28:29">
      <c r="AB1241" s="17"/>
      <c r="AC1241" s="20"/>
    </row>
    <row r="1242" spans="28:29">
      <c r="AB1242" s="17"/>
      <c r="AC1242" s="20"/>
    </row>
    <row r="1243" spans="28:29">
      <c r="AB1243" s="17"/>
      <c r="AC1243" s="20"/>
    </row>
    <row r="1244" spans="28:29">
      <c r="AB1244" s="17"/>
      <c r="AC1244" s="20"/>
    </row>
    <row r="1245" spans="28:29">
      <c r="AB1245" s="17"/>
      <c r="AC1245" s="20"/>
    </row>
    <row r="1246" spans="28:29">
      <c r="AB1246" s="17"/>
      <c r="AC1246" s="20"/>
    </row>
    <row r="1247" spans="28:29">
      <c r="AB1247" s="17"/>
      <c r="AC1247" s="20"/>
    </row>
    <row r="1248" spans="28:29">
      <c r="AB1248" s="17"/>
      <c r="AC1248" s="20"/>
    </row>
    <row r="1249" spans="28:29">
      <c r="AB1249" s="17"/>
      <c r="AC1249" s="20"/>
    </row>
    <row r="1250" spans="28:29">
      <c r="AB1250" s="17"/>
      <c r="AC1250" s="20"/>
    </row>
    <row r="1251" spans="28:29">
      <c r="AB1251" s="17"/>
      <c r="AC1251" s="20"/>
    </row>
    <row r="1252" spans="28:29">
      <c r="AB1252" s="17"/>
      <c r="AC1252" s="20"/>
    </row>
    <row r="1253" spans="28:29">
      <c r="AB1253" s="17"/>
      <c r="AC1253" s="20"/>
    </row>
    <row r="1254" spans="28:29">
      <c r="AB1254" s="17"/>
      <c r="AC1254" s="20"/>
    </row>
    <row r="1255" spans="28:29">
      <c r="AB1255" s="17"/>
      <c r="AC1255" s="20"/>
    </row>
    <row r="1256" spans="28:29">
      <c r="AB1256" s="17"/>
      <c r="AC1256" s="20"/>
    </row>
    <row r="1257" spans="28:29">
      <c r="AB1257" s="17"/>
      <c r="AC1257" s="20"/>
    </row>
    <row r="1258" spans="28:29">
      <c r="AB1258" s="17"/>
      <c r="AC1258" s="20"/>
    </row>
    <row r="1259" spans="28:29">
      <c r="AB1259" s="17"/>
      <c r="AC1259" s="20"/>
    </row>
    <row r="1260" spans="28:29">
      <c r="AB1260" s="17"/>
      <c r="AC1260" s="20"/>
    </row>
    <row r="1261" spans="28:29">
      <c r="AB1261" s="17"/>
      <c r="AC1261" s="20"/>
    </row>
    <row r="1262" spans="28:29">
      <c r="AB1262" s="17"/>
      <c r="AC1262" s="20"/>
    </row>
    <row r="1263" spans="28:29">
      <c r="AB1263" s="17"/>
      <c r="AC1263" s="20"/>
    </row>
    <row r="1264" spans="28:29">
      <c r="AB1264" s="17"/>
      <c r="AC1264" s="20"/>
    </row>
    <row r="1265" spans="28:29">
      <c r="AB1265" s="17"/>
      <c r="AC1265" s="20"/>
    </row>
    <row r="1266" spans="28:29">
      <c r="AB1266" s="17"/>
      <c r="AC1266" s="20"/>
    </row>
    <row r="1267" spans="28:29">
      <c r="AB1267" s="17"/>
      <c r="AC1267" s="20"/>
    </row>
    <row r="1268" spans="28:29">
      <c r="AB1268" s="17"/>
      <c r="AC1268" s="20"/>
    </row>
    <row r="1269" spans="28:29">
      <c r="AB1269" s="17"/>
      <c r="AC1269" s="20"/>
    </row>
    <row r="1270" spans="28:29">
      <c r="AB1270" s="17"/>
      <c r="AC1270" s="20"/>
    </row>
    <row r="1271" spans="28:29">
      <c r="AB1271" s="17"/>
      <c r="AC1271" s="20"/>
    </row>
    <row r="1272" spans="28:29">
      <c r="AB1272" s="17"/>
      <c r="AC1272" s="20"/>
    </row>
    <row r="1273" spans="28:29">
      <c r="AB1273" s="17"/>
      <c r="AC1273" s="20"/>
    </row>
    <row r="1274" spans="28:29">
      <c r="AB1274" s="17"/>
      <c r="AC1274" s="20"/>
    </row>
    <row r="1275" spans="28:29">
      <c r="AB1275" s="17"/>
      <c r="AC1275" s="20"/>
    </row>
    <row r="1276" spans="28:29">
      <c r="AB1276" s="17"/>
      <c r="AC1276" s="20"/>
    </row>
    <row r="1277" spans="28:29">
      <c r="AB1277" s="17"/>
      <c r="AC1277" s="20"/>
    </row>
    <row r="1278" spans="28:29">
      <c r="AB1278" s="17"/>
      <c r="AC1278" s="20"/>
    </row>
    <row r="1279" spans="28:29">
      <c r="AB1279" s="17"/>
      <c r="AC1279" s="20"/>
    </row>
    <row r="1280" spans="28:29">
      <c r="AB1280" s="17"/>
      <c r="AC1280" s="20"/>
    </row>
    <row r="1281" spans="28:29">
      <c r="AB1281" s="17"/>
      <c r="AC1281" s="20"/>
    </row>
    <row r="1282" spans="28:29">
      <c r="AB1282" s="17"/>
      <c r="AC1282" s="20"/>
    </row>
    <row r="1283" spans="28:29">
      <c r="AB1283" s="17"/>
      <c r="AC1283" s="20"/>
    </row>
    <row r="1284" spans="28:29">
      <c r="AB1284" s="17"/>
      <c r="AC1284" s="20"/>
    </row>
    <row r="1285" spans="28:29">
      <c r="AB1285" s="17"/>
      <c r="AC1285" s="20"/>
    </row>
    <row r="1286" spans="28:29">
      <c r="AB1286" s="17"/>
      <c r="AC1286" s="20"/>
    </row>
    <row r="1287" spans="28:29">
      <c r="AB1287" s="17"/>
      <c r="AC1287" s="20"/>
    </row>
    <row r="1288" spans="28:29">
      <c r="AB1288" s="17"/>
      <c r="AC1288" s="20"/>
    </row>
    <row r="1289" spans="28:29">
      <c r="AB1289" s="17"/>
      <c r="AC1289" s="20"/>
    </row>
    <row r="1290" spans="28:29">
      <c r="AB1290" s="17"/>
      <c r="AC1290" s="20"/>
    </row>
    <row r="1291" spans="28:29">
      <c r="AB1291" s="17"/>
      <c r="AC1291" s="20"/>
    </row>
    <row r="1292" spans="28:29">
      <c r="AB1292" s="17"/>
      <c r="AC1292" s="20"/>
    </row>
    <row r="1293" spans="28:29">
      <c r="AB1293" s="17"/>
      <c r="AC1293" s="20"/>
    </row>
    <row r="1294" spans="28:29">
      <c r="AB1294" s="17"/>
      <c r="AC1294" s="20"/>
    </row>
    <row r="1295" spans="28:29">
      <c r="AB1295" s="17"/>
      <c r="AC1295" s="20"/>
    </row>
    <row r="1296" spans="28:29">
      <c r="AB1296" s="17"/>
      <c r="AC1296" s="20"/>
    </row>
    <row r="1297" spans="28:29">
      <c r="AB1297" s="17"/>
      <c r="AC1297" s="20"/>
    </row>
    <row r="1298" spans="28:29">
      <c r="AB1298" s="17"/>
      <c r="AC1298" s="20"/>
    </row>
    <row r="1299" spans="28:29">
      <c r="AB1299" s="17"/>
      <c r="AC1299" s="20"/>
    </row>
    <row r="1300" spans="28:29">
      <c r="AB1300" s="17"/>
      <c r="AC1300" s="20"/>
    </row>
    <row r="1301" spans="28:29">
      <c r="AB1301" s="17"/>
      <c r="AC1301" s="20"/>
    </row>
    <row r="1302" spans="28:29">
      <c r="AB1302" s="17"/>
      <c r="AC1302" s="20"/>
    </row>
    <row r="1303" spans="28:29">
      <c r="AB1303" s="17"/>
      <c r="AC1303" s="20"/>
    </row>
    <row r="1304" spans="28:29">
      <c r="AB1304" s="17"/>
      <c r="AC1304" s="20"/>
    </row>
    <row r="1305" spans="28:29">
      <c r="AB1305" s="17"/>
      <c r="AC1305" s="20"/>
    </row>
    <row r="1306" spans="28:29">
      <c r="AB1306" s="17"/>
      <c r="AC1306" s="20"/>
    </row>
    <row r="1307" spans="28:29">
      <c r="AB1307" s="17"/>
      <c r="AC1307" s="20"/>
    </row>
    <row r="1308" spans="28:29">
      <c r="AB1308" s="17"/>
      <c r="AC1308" s="20"/>
    </row>
    <row r="1309" spans="28:29">
      <c r="AB1309" s="17"/>
      <c r="AC1309" s="20"/>
    </row>
    <row r="1310" spans="28:29">
      <c r="AB1310" s="17"/>
      <c r="AC1310" s="20"/>
    </row>
    <row r="1311" spans="28:29">
      <c r="AB1311" s="17"/>
      <c r="AC1311" s="20"/>
    </row>
    <row r="1312" spans="28:29">
      <c r="AB1312" s="17"/>
      <c r="AC1312" s="20"/>
    </row>
    <row r="1313" spans="28:29">
      <c r="AB1313" s="17"/>
      <c r="AC1313" s="20"/>
    </row>
    <row r="1314" spans="28:29">
      <c r="AB1314" s="17"/>
      <c r="AC1314" s="20"/>
    </row>
    <row r="1315" spans="28:29">
      <c r="AB1315" s="17"/>
      <c r="AC1315" s="20"/>
    </row>
    <row r="1316" spans="28:29">
      <c r="AB1316" s="17"/>
      <c r="AC1316" s="20"/>
    </row>
    <row r="1317" spans="28:29">
      <c r="AB1317" s="17"/>
      <c r="AC1317" s="20"/>
    </row>
    <row r="1318" spans="28:29">
      <c r="AB1318" s="17"/>
      <c r="AC1318" s="20"/>
    </row>
    <row r="1319" spans="28:29">
      <c r="AB1319" s="17"/>
      <c r="AC1319" s="20"/>
    </row>
    <row r="1320" spans="28:29">
      <c r="AB1320" s="17"/>
      <c r="AC1320" s="20"/>
    </row>
    <row r="1321" spans="28:29">
      <c r="AB1321" s="17"/>
      <c r="AC1321" s="20"/>
    </row>
    <row r="1322" spans="28:29">
      <c r="AB1322" s="17"/>
      <c r="AC1322" s="20"/>
    </row>
    <row r="1323" spans="28:29">
      <c r="AB1323" s="17"/>
      <c r="AC1323" s="20"/>
    </row>
    <row r="1324" spans="28:29">
      <c r="AB1324" s="17"/>
      <c r="AC1324" s="20"/>
    </row>
    <row r="1325" spans="28:29">
      <c r="AB1325" s="17"/>
      <c r="AC1325" s="20"/>
    </row>
    <row r="1326" spans="28:29">
      <c r="AB1326" s="17"/>
      <c r="AC1326" s="20"/>
    </row>
    <row r="1327" spans="28:29">
      <c r="AB1327" s="17"/>
      <c r="AC1327" s="20"/>
    </row>
    <row r="1328" spans="28:29">
      <c r="AB1328" s="17"/>
      <c r="AC1328" s="20"/>
    </row>
    <row r="1329" spans="28:29">
      <c r="AB1329" s="17"/>
      <c r="AC1329" s="20"/>
    </row>
    <row r="1330" spans="28:29">
      <c r="AB1330" s="17"/>
      <c r="AC1330" s="20"/>
    </row>
    <row r="1331" spans="28:29">
      <c r="AB1331" s="17"/>
      <c r="AC1331" s="20"/>
    </row>
    <row r="1332" spans="28:29">
      <c r="AB1332" s="17"/>
      <c r="AC1332" s="20"/>
    </row>
    <row r="1333" spans="28:29">
      <c r="AB1333" s="17"/>
      <c r="AC1333" s="20"/>
    </row>
    <row r="1334" spans="28:29">
      <c r="AB1334" s="17"/>
      <c r="AC1334" s="20"/>
    </row>
    <row r="1335" spans="28:29">
      <c r="AB1335" s="17"/>
      <c r="AC1335" s="20"/>
    </row>
    <row r="1336" spans="28:29">
      <c r="AB1336" s="17"/>
      <c r="AC1336" s="20"/>
    </row>
    <row r="1337" spans="28:29">
      <c r="AB1337" s="17"/>
      <c r="AC1337" s="20"/>
    </row>
    <row r="1338" spans="28:29">
      <c r="AB1338" s="17"/>
      <c r="AC1338" s="20"/>
    </row>
    <row r="1339" spans="28:29">
      <c r="AB1339" s="17"/>
      <c r="AC1339" s="20"/>
    </row>
    <row r="1340" spans="28:29">
      <c r="AB1340" s="17"/>
      <c r="AC1340" s="20"/>
    </row>
    <row r="1341" spans="28:29">
      <c r="AB1341" s="17"/>
      <c r="AC1341" s="20"/>
    </row>
    <row r="1342" spans="28:29">
      <c r="AB1342" s="17"/>
      <c r="AC1342" s="20"/>
    </row>
    <row r="1343" spans="28:29">
      <c r="AB1343" s="17"/>
      <c r="AC1343" s="20"/>
    </row>
    <row r="1344" spans="28:29">
      <c r="AB1344" s="17"/>
      <c r="AC1344" s="20"/>
    </row>
    <row r="1345" spans="28:29">
      <c r="AB1345" s="17"/>
      <c r="AC1345" s="20"/>
    </row>
    <row r="1346" spans="28:29">
      <c r="AB1346" s="17"/>
      <c r="AC1346" s="20"/>
    </row>
    <row r="1347" spans="28:29">
      <c r="AB1347" s="17"/>
      <c r="AC1347" s="20"/>
    </row>
    <row r="1348" spans="28:29">
      <c r="AB1348" s="17"/>
      <c r="AC1348" s="20"/>
    </row>
    <row r="1349" spans="28:29">
      <c r="AB1349" s="17"/>
      <c r="AC1349" s="20"/>
    </row>
    <row r="1350" spans="28:29">
      <c r="AB1350" s="17"/>
      <c r="AC1350" s="20"/>
    </row>
    <row r="1351" spans="28:29">
      <c r="AB1351" s="17"/>
      <c r="AC1351" s="20"/>
    </row>
    <row r="1352" spans="28:29">
      <c r="AB1352" s="17"/>
      <c r="AC1352" s="20"/>
    </row>
    <row r="1353" spans="28:29">
      <c r="AB1353" s="17"/>
      <c r="AC1353" s="20"/>
    </row>
    <row r="1354" spans="28:29">
      <c r="AB1354" s="17"/>
      <c r="AC1354" s="20"/>
    </row>
    <row r="1355" spans="28:29">
      <c r="AB1355" s="17"/>
      <c r="AC1355" s="20"/>
    </row>
    <row r="1356" spans="28:29">
      <c r="AB1356" s="17"/>
      <c r="AC1356" s="20"/>
    </row>
    <row r="1357" spans="28:29">
      <c r="AB1357" s="17"/>
      <c r="AC1357" s="20"/>
    </row>
    <row r="1358" spans="28:29">
      <c r="AB1358" s="17"/>
      <c r="AC1358" s="20"/>
    </row>
    <row r="1359" spans="28:29">
      <c r="AB1359" s="17"/>
      <c r="AC1359" s="20"/>
    </row>
    <row r="1360" spans="28:29">
      <c r="AB1360" s="17"/>
      <c r="AC1360" s="20"/>
    </row>
    <row r="1361" spans="28:29">
      <c r="AB1361" s="17"/>
      <c r="AC1361" s="20"/>
    </row>
    <row r="1362" spans="28:29">
      <c r="AB1362" s="17"/>
      <c r="AC1362" s="20"/>
    </row>
    <row r="1363" spans="28:29">
      <c r="AB1363" s="17"/>
      <c r="AC1363" s="20"/>
    </row>
    <row r="1364" spans="28:29">
      <c r="AB1364" s="17"/>
      <c r="AC1364" s="20"/>
    </row>
    <row r="1365" spans="28:29">
      <c r="AB1365" s="17"/>
      <c r="AC1365" s="20"/>
    </row>
    <row r="1366" spans="28:29">
      <c r="AB1366" s="17"/>
      <c r="AC1366" s="20"/>
    </row>
    <row r="1367" spans="28:29">
      <c r="AB1367" s="17"/>
      <c r="AC1367" s="20"/>
    </row>
    <row r="1368" spans="28:29">
      <c r="AB1368" s="17"/>
      <c r="AC1368" s="20"/>
    </row>
    <row r="1369" spans="28:29">
      <c r="AB1369" s="17"/>
      <c r="AC1369" s="20"/>
    </row>
    <row r="1370" spans="28:29">
      <c r="AB1370" s="17"/>
      <c r="AC1370" s="20"/>
    </row>
    <row r="1371" spans="28:29">
      <c r="AB1371" s="17"/>
      <c r="AC1371" s="20"/>
    </row>
    <row r="1372" spans="28:29">
      <c r="AB1372" s="17"/>
      <c r="AC1372" s="20"/>
    </row>
    <row r="1373" spans="28:29">
      <c r="AB1373" s="17"/>
      <c r="AC1373" s="20"/>
    </row>
    <row r="1374" spans="28:29">
      <c r="AB1374" s="17"/>
      <c r="AC1374" s="20"/>
    </row>
    <row r="1375" spans="28:29">
      <c r="AB1375" s="17"/>
      <c r="AC1375" s="20"/>
    </row>
    <row r="1376" spans="28:29">
      <c r="AB1376" s="17"/>
      <c r="AC1376" s="20"/>
    </row>
    <row r="1377" spans="28:29">
      <c r="AB1377" s="17"/>
      <c r="AC1377" s="20"/>
    </row>
    <row r="1378" spans="28:29">
      <c r="AB1378" s="17"/>
      <c r="AC1378" s="20"/>
    </row>
    <row r="1379" spans="28:29">
      <c r="AB1379" s="17"/>
      <c r="AC1379" s="20"/>
    </row>
    <row r="1380" spans="28:29">
      <c r="AB1380" s="17"/>
      <c r="AC1380" s="20"/>
    </row>
    <row r="1381" spans="28:29">
      <c r="AB1381" s="17"/>
      <c r="AC1381" s="20"/>
    </row>
    <row r="1382" spans="28:29">
      <c r="AB1382" s="17"/>
      <c r="AC1382" s="20"/>
    </row>
    <row r="1383" spans="28:29">
      <c r="AB1383" s="17"/>
      <c r="AC1383" s="20"/>
    </row>
    <row r="1384" spans="28:29">
      <c r="AB1384" s="17"/>
      <c r="AC1384" s="20"/>
    </row>
    <row r="1385" spans="28:29">
      <c r="AB1385" s="17"/>
      <c r="AC1385" s="20"/>
    </row>
    <row r="1386" spans="28:29">
      <c r="AB1386" s="17"/>
      <c r="AC1386" s="20"/>
    </row>
    <row r="1387" spans="28:29">
      <c r="AB1387" s="17"/>
      <c r="AC1387" s="20"/>
    </row>
    <row r="1388" spans="28:29">
      <c r="AB1388" s="17"/>
      <c r="AC1388" s="20"/>
    </row>
    <row r="1389" spans="28:29">
      <c r="AB1389" s="17"/>
      <c r="AC1389" s="20"/>
    </row>
    <row r="1390" spans="28:29">
      <c r="AB1390" s="17"/>
      <c r="AC1390" s="20"/>
    </row>
    <row r="1391" spans="28:29">
      <c r="AB1391" s="17"/>
      <c r="AC1391" s="20"/>
    </row>
    <row r="1392" spans="28:29">
      <c r="AB1392" s="17"/>
      <c r="AC1392" s="20"/>
    </row>
    <row r="1393" spans="28:29">
      <c r="AB1393" s="17"/>
      <c r="AC1393" s="20"/>
    </row>
    <row r="1394" spans="28:29">
      <c r="AB1394" s="17"/>
      <c r="AC1394" s="20"/>
    </row>
    <row r="1395" spans="28:29">
      <c r="AB1395" s="17"/>
      <c r="AC1395" s="20"/>
    </row>
    <row r="1396" spans="28:29">
      <c r="AB1396" s="17"/>
      <c r="AC1396" s="20"/>
    </row>
    <row r="1397" spans="28:29">
      <c r="AB1397" s="17"/>
      <c r="AC1397" s="20"/>
    </row>
    <row r="1398" spans="28:29">
      <c r="AB1398" s="17"/>
      <c r="AC1398" s="20"/>
    </row>
    <row r="1399" spans="28:29">
      <c r="AB1399" s="17"/>
      <c r="AC1399" s="20"/>
    </row>
    <row r="1400" spans="28:29">
      <c r="AB1400" s="17"/>
      <c r="AC1400" s="20"/>
    </row>
    <row r="1401" spans="28:29">
      <c r="AB1401" s="17"/>
      <c r="AC1401" s="20"/>
    </row>
    <row r="1402" spans="28:29">
      <c r="AB1402" s="17"/>
      <c r="AC1402" s="20"/>
    </row>
    <row r="1403" spans="28:29">
      <c r="AB1403" s="17"/>
      <c r="AC1403" s="20"/>
    </row>
    <row r="1404" spans="28:29">
      <c r="AB1404" s="17"/>
      <c r="AC1404" s="20"/>
    </row>
    <row r="1405" spans="28:29">
      <c r="AB1405" s="17"/>
      <c r="AC1405" s="20"/>
    </row>
    <row r="1406" spans="28:29">
      <c r="AB1406" s="17"/>
      <c r="AC1406" s="20"/>
    </row>
    <row r="1407" spans="28:29">
      <c r="AB1407" s="17"/>
      <c r="AC1407" s="20"/>
    </row>
    <row r="1408" spans="28:29">
      <c r="AB1408" s="17"/>
      <c r="AC1408" s="20"/>
    </row>
    <row r="1409" spans="28:29">
      <c r="AB1409" s="17"/>
      <c r="AC1409" s="20"/>
    </row>
    <row r="1410" spans="28:29">
      <c r="AB1410" s="17"/>
      <c r="AC1410" s="20"/>
    </row>
    <row r="1411" spans="28:29">
      <c r="AB1411" s="17"/>
      <c r="AC1411" s="20"/>
    </row>
    <row r="1412" spans="28:29">
      <c r="AB1412" s="17"/>
      <c r="AC1412" s="20"/>
    </row>
    <row r="1413" spans="28:29">
      <c r="AB1413" s="17"/>
      <c r="AC1413" s="20"/>
    </row>
    <row r="1414" spans="28:29">
      <c r="AB1414" s="17"/>
      <c r="AC1414" s="20"/>
    </row>
    <row r="1415" spans="28:29">
      <c r="AB1415" s="17"/>
      <c r="AC1415" s="20"/>
    </row>
    <row r="1416" spans="28:29">
      <c r="AB1416" s="17"/>
      <c r="AC1416" s="20"/>
    </row>
    <row r="1417" spans="28:29">
      <c r="AB1417" s="17"/>
      <c r="AC1417" s="20"/>
    </row>
    <row r="1418" spans="28:29">
      <c r="AB1418" s="17"/>
      <c r="AC1418" s="20"/>
    </row>
    <row r="1419" spans="28:29">
      <c r="AB1419" s="17"/>
      <c r="AC1419" s="20"/>
    </row>
    <row r="1420" spans="28:29">
      <c r="AB1420" s="17"/>
      <c r="AC1420" s="20"/>
    </row>
    <row r="1421" spans="28:29">
      <c r="AB1421" s="17"/>
      <c r="AC1421" s="20"/>
    </row>
    <row r="1422" spans="28:29">
      <c r="AB1422" s="17"/>
      <c r="AC1422" s="20"/>
    </row>
    <row r="1423" spans="28:29">
      <c r="AB1423" s="17"/>
      <c r="AC1423" s="20"/>
    </row>
    <row r="1424" spans="28:29">
      <c r="AB1424" s="17"/>
      <c r="AC1424" s="20"/>
    </row>
    <row r="1425" spans="28:29">
      <c r="AB1425" s="17"/>
      <c r="AC1425" s="20"/>
    </row>
    <row r="1426" spans="28:29">
      <c r="AB1426" s="17"/>
      <c r="AC1426" s="20"/>
    </row>
    <row r="1427" spans="28:29">
      <c r="AB1427" s="17"/>
      <c r="AC1427" s="20"/>
    </row>
    <row r="1428" spans="28:29">
      <c r="AB1428" s="17"/>
      <c r="AC1428" s="20"/>
    </row>
    <row r="1429" spans="28:29">
      <c r="AB1429" s="17"/>
      <c r="AC1429" s="20"/>
    </row>
    <row r="1430" spans="28:29">
      <c r="AB1430" s="17"/>
      <c r="AC1430" s="20"/>
    </row>
    <row r="1431" spans="28:29">
      <c r="AB1431" s="17"/>
      <c r="AC1431" s="20"/>
    </row>
    <row r="1432" spans="28:29">
      <c r="AB1432" s="17"/>
      <c r="AC1432" s="20"/>
    </row>
    <row r="1433" spans="28:29">
      <c r="AB1433" s="17"/>
      <c r="AC1433" s="20"/>
    </row>
    <row r="1434" spans="28:29">
      <c r="AB1434" s="17"/>
      <c r="AC1434" s="20"/>
    </row>
    <row r="1435" spans="28:29">
      <c r="AB1435" s="17"/>
      <c r="AC1435" s="20"/>
    </row>
    <row r="1436" spans="28:29">
      <c r="AB1436" s="17"/>
      <c r="AC1436" s="20"/>
    </row>
    <row r="1437" spans="28:29">
      <c r="AB1437" s="17"/>
      <c r="AC1437" s="20"/>
    </row>
    <row r="1438" spans="28:29">
      <c r="AB1438" s="17"/>
      <c r="AC1438" s="20"/>
    </row>
    <row r="1439" spans="28:29">
      <c r="AB1439" s="17"/>
      <c r="AC1439" s="20"/>
    </row>
    <row r="1440" spans="28:29">
      <c r="AB1440" s="17"/>
      <c r="AC1440" s="20"/>
    </row>
    <row r="1441" spans="28:29">
      <c r="AB1441" s="17"/>
      <c r="AC1441" s="20"/>
    </row>
    <row r="1442" spans="28:29">
      <c r="AB1442" s="17"/>
      <c r="AC1442" s="20"/>
    </row>
    <row r="1443" spans="28:29">
      <c r="AB1443" s="17"/>
      <c r="AC1443" s="20"/>
    </row>
    <row r="1444" spans="28:29">
      <c r="AB1444" s="17"/>
      <c r="AC1444" s="20"/>
    </row>
    <row r="1445" spans="28:29">
      <c r="AB1445" s="17"/>
      <c r="AC1445" s="20"/>
    </row>
    <row r="1446" spans="28:29">
      <c r="AB1446" s="17"/>
      <c r="AC1446" s="20"/>
    </row>
    <row r="1447" spans="28:29">
      <c r="AB1447" s="17"/>
      <c r="AC1447" s="20"/>
    </row>
    <row r="1448" spans="28:29">
      <c r="AB1448" s="17"/>
      <c r="AC1448" s="20"/>
    </row>
    <row r="1449" spans="28:29">
      <c r="AB1449" s="17"/>
      <c r="AC1449" s="20"/>
    </row>
    <row r="1450" spans="28:29">
      <c r="AB1450" s="17"/>
      <c r="AC1450" s="20"/>
    </row>
    <row r="1451" spans="28:29">
      <c r="AB1451" s="17"/>
      <c r="AC1451" s="20"/>
    </row>
    <row r="1452" spans="28:29">
      <c r="AB1452" s="17"/>
      <c r="AC1452" s="20"/>
    </row>
    <row r="1453" spans="28:29">
      <c r="AB1453" s="17"/>
      <c r="AC1453" s="20"/>
    </row>
    <row r="1454" spans="28:29">
      <c r="AB1454" s="17"/>
      <c r="AC1454" s="20"/>
    </row>
    <row r="1455" spans="28:29">
      <c r="AB1455" s="17"/>
      <c r="AC1455" s="20"/>
    </row>
    <row r="1456" spans="28:29">
      <c r="AB1456" s="17"/>
      <c r="AC1456" s="20"/>
    </row>
    <row r="1457" spans="28:29">
      <c r="AB1457" s="17"/>
      <c r="AC1457" s="20"/>
    </row>
    <row r="1458" spans="28:29">
      <c r="AB1458" s="17"/>
      <c r="AC1458" s="20"/>
    </row>
    <row r="1459" spans="28:29">
      <c r="AB1459" s="17"/>
      <c r="AC1459" s="20"/>
    </row>
    <row r="1460" spans="28:29">
      <c r="AB1460" s="17"/>
      <c r="AC1460" s="20"/>
    </row>
    <row r="1461" spans="28:29">
      <c r="AB1461" s="17"/>
      <c r="AC1461" s="20"/>
    </row>
    <row r="1462" spans="28:29">
      <c r="AB1462" s="17"/>
      <c r="AC1462" s="20"/>
    </row>
    <row r="1463" spans="28:29">
      <c r="AB1463" s="17"/>
      <c r="AC1463" s="20"/>
    </row>
    <row r="1464" spans="28:29">
      <c r="AB1464" s="17"/>
      <c r="AC1464" s="20"/>
    </row>
    <row r="1465" spans="28:29">
      <c r="AB1465" s="17"/>
      <c r="AC1465" s="20"/>
    </row>
    <row r="1466" spans="28:29">
      <c r="AB1466" s="17"/>
      <c r="AC1466" s="20"/>
    </row>
    <row r="1467" spans="28:29">
      <c r="AB1467" s="17"/>
      <c r="AC1467" s="20"/>
    </row>
    <row r="1468" spans="28:29">
      <c r="AB1468" s="17"/>
      <c r="AC1468" s="20"/>
    </row>
    <row r="1469" spans="28:29">
      <c r="AB1469" s="17"/>
      <c r="AC1469" s="20"/>
    </row>
    <row r="1470" spans="28:29">
      <c r="AB1470" s="17"/>
      <c r="AC1470" s="20"/>
    </row>
    <row r="1471" spans="28:29">
      <c r="AB1471" s="17"/>
      <c r="AC1471" s="20"/>
    </row>
    <row r="1472" spans="28:29">
      <c r="AB1472" s="17"/>
      <c r="AC1472" s="20"/>
    </row>
    <row r="1473" spans="28:29">
      <c r="AB1473" s="17"/>
      <c r="AC1473" s="20"/>
    </row>
    <row r="1474" spans="28:29">
      <c r="AB1474" s="17"/>
      <c r="AC1474" s="20"/>
    </row>
    <row r="1475" spans="28:29">
      <c r="AB1475" s="17"/>
      <c r="AC1475" s="20"/>
    </row>
    <row r="1476" spans="28:29">
      <c r="AB1476" s="17"/>
      <c r="AC1476" s="20"/>
    </row>
    <row r="1477" spans="28:29">
      <c r="AB1477" s="17"/>
      <c r="AC1477" s="20"/>
    </row>
    <row r="1478" spans="28:29">
      <c r="AB1478" s="17"/>
      <c r="AC1478" s="20"/>
    </row>
    <row r="1479" spans="28:29">
      <c r="AB1479" s="17"/>
      <c r="AC1479" s="20"/>
    </row>
    <row r="1480" spans="28:29">
      <c r="AB1480" s="17"/>
      <c r="AC1480" s="20"/>
    </row>
    <row r="1481" spans="28:29">
      <c r="AB1481" s="17"/>
      <c r="AC1481" s="20"/>
    </row>
    <row r="1482" spans="28:29">
      <c r="AB1482" s="17"/>
      <c r="AC1482" s="20"/>
    </row>
    <row r="1483" spans="28:29">
      <c r="AB1483" s="17"/>
      <c r="AC1483" s="20"/>
    </row>
    <row r="1484" spans="28:29">
      <c r="AB1484" s="17"/>
      <c r="AC1484" s="20"/>
    </row>
    <row r="1485" spans="28:29">
      <c r="AB1485" s="17"/>
      <c r="AC1485" s="20"/>
    </row>
    <row r="1486" spans="28:29">
      <c r="AB1486" s="17"/>
      <c r="AC1486" s="20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3B90-E57F-4445-8323-891C0CD779C3}">
  <dimension ref="B1:AC1200"/>
  <sheetViews>
    <sheetView topLeftCell="F1" zoomScale="95" zoomScaleNormal="95" zoomScaleSheetLayoutView="95" workbookViewId="0">
      <pane ySplit="1" topLeftCell="A206" activePane="bottomLeft" state="frozen"/>
      <selection activeCell="B1" sqref="B1"/>
      <selection pane="bottomLeft" activeCell="N222" sqref="N222"/>
    </sheetView>
  </sheetViews>
  <sheetFormatPr baseColWidth="10" defaultRowHeight="15"/>
  <cols>
    <col min="1" max="1" width="0" hidden="1" customWidth="1"/>
    <col min="2" max="2" width="53.5703125" customWidth="1"/>
    <col min="3" max="3" width="11.42578125" style="3" customWidth="1"/>
    <col min="4" max="10" width="14.42578125" style="3" customWidth="1"/>
    <col min="11" max="11" width="17.7109375" style="3" customWidth="1"/>
    <col min="12" max="12" width="14.42578125" style="3" customWidth="1"/>
    <col min="13" max="13" width="16" style="3" customWidth="1"/>
    <col min="14" max="15" width="11.42578125" style="3" customWidth="1"/>
    <col min="16" max="16" width="16.5703125" style="16" customWidth="1"/>
    <col min="17" max="17" width="17.42578125" style="21" customWidth="1"/>
    <col min="18" max="18" width="19.140625" customWidth="1"/>
    <col min="19" max="19" width="18.28515625" customWidth="1"/>
    <col min="20" max="24" width="16.140625" customWidth="1"/>
    <col min="25" max="27" width="20.42578125" customWidth="1"/>
    <col min="28" max="28" width="20.85546875" bestFit="1" customWidth="1"/>
    <col min="29" max="29" width="18.28515625" customWidth="1"/>
  </cols>
  <sheetData>
    <row r="1" spans="2:29" ht="30.75" customHeight="1">
      <c r="B1" s="23" t="s">
        <v>30</v>
      </c>
      <c r="C1" s="25" t="s">
        <v>6</v>
      </c>
      <c r="D1" s="25" t="s">
        <v>7</v>
      </c>
      <c r="E1" s="25" t="s">
        <v>8</v>
      </c>
      <c r="F1" s="25" t="s">
        <v>9</v>
      </c>
      <c r="G1" s="25" t="s">
        <v>10</v>
      </c>
      <c r="H1" s="25" t="s">
        <v>11</v>
      </c>
      <c r="I1" s="25" t="s">
        <v>1</v>
      </c>
      <c r="J1" s="6" t="s">
        <v>2</v>
      </c>
      <c r="K1" s="6" t="s">
        <v>3</v>
      </c>
      <c r="L1" s="6" t="s">
        <v>12</v>
      </c>
      <c r="M1" s="6" t="s">
        <v>39</v>
      </c>
      <c r="N1" s="6" t="s">
        <v>5</v>
      </c>
      <c r="O1" s="25" t="s">
        <v>0</v>
      </c>
      <c r="P1" s="13" t="s">
        <v>16</v>
      </c>
      <c r="Q1" s="19" t="s">
        <v>0</v>
      </c>
      <c r="R1" s="12" t="s">
        <v>32</v>
      </c>
      <c r="S1" s="25" t="s">
        <v>33</v>
      </c>
      <c r="T1" s="25" t="s">
        <v>34</v>
      </c>
      <c r="U1" s="25" t="s">
        <v>35</v>
      </c>
      <c r="V1" s="25" t="s">
        <v>36</v>
      </c>
      <c r="W1" s="25" t="s">
        <v>37</v>
      </c>
      <c r="X1" s="25" t="s">
        <v>38</v>
      </c>
      <c r="Y1" s="6" t="s">
        <v>31</v>
      </c>
      <c r="Z1" s="25" t="s">
        <v>40</v>
      </c>
      <c r="AA1" s="25" t="s">
        <v>41</v>
      </c>
      <c r="AB1" s="25" t="s">
        <v>42</v>
      </c>
      <c r="AC1" s="25" t="s">
        <v>43</v>
      </c>
    </row>
    <row r="2" spans="2:29" ht="30.75" customHeight="1">
      <c r="B2" s="25" t="s">
        <v>234</v>
      </c>
      <c r="C2" s="117" t="s">
        <v>6</v>
      </c>
      <c r="D2" s="25" t="s">
        <v>7</v>
      </c>
      <c r="E2" s="25" t="s">
        <v>8</v>
      </c>
      <c r="F2" s="25" t="s">
        <v>9</v>
      </c>
      <c r="G2" s="25" t="s">
        <v>10</v>
      </c>
      <c r="H2" s="25" t="s">
        <v>11</v>
      </c>
      <c r="I2" s="25" t="s">
        <v>1</v>
      </c>
      <c r="J2" s="6" t="s">
        <v>2</v>
      </c>
      <c r="K2" s="6" t="s">
        <v>3</v>
      </c>
      <c r="L2" s="6" t="s">
        <v>12</v>
      </c>
      <c r="M2" s="6" t="s">
        <v>39</v>
      </c>
      <c r="N2" s="6" t="s">
        <v>5</v>
      </c>
      <c r="O2" s="6" t="s">
        <v>0</v>
      </c>
      <c r="P2" s="13" t="s">
        <v>16</v>
      </c>
      <c r="Q2" s="118" t="s">
        <v>0</v>
      </c>
      <c r="R2" s="12" t="s">
        <v>32</v>
      </c>
      <c r="S2" s="25" t="s">
        <v>33</v>
      </c>
      <c r="T2" s="25" t="s">
        <v>34</v>
      </c>
      <c r="U2" s="25" t="s">
        <v>35</v>
      </c>
      <c r="V2" s="25" t="s">
        <v>36</v>
      </c>
      <c r="W2" s="25" t="s">
        <v>37</v>
      </c>
      <c r="X2" s="25" t="s">
        <v>38</v>
      </c>
      <c r="Y2" s="6" t="s">
        <v>31</v>
      </c>
      <c r="Z2" s="25" t="s">
        <v>40</v>
      </c>
      <c r="AA2" s="25" t="s">
        <v>41</v>
      </c>
      <c r="AB2" s="25" t="s">
        <v>42</v>
      </c>
      <c r="AC2" s="25" t="s">
        <v>43</v>
      </c>
    </row>
    <row r="3" spans="2:29">
      <c r="B3" s="4" t="s">
        <v>99</v>
      </c>
      <c r="C3" s="9">
        <v>34</v>
      </c>
      <c r="D3" s="5"/>
      <c r="E3" s="5">
        <v>64</v>
      </c>
      <c r="F3" s="5">
        <v>50</v>
      </c>
      <c r="G3" s="5">
        <v>20</v>
      </c>
      <c r="H3" s="5"/>
      <c r="I3" s="5"/>
      <c r="J3" s="7"/>
      <c r="K3" s="7"/>
      <c r="L3" s="7"/>
      <c r="M3" s="7"/>
      <c r="N3" s="7"/>
      <c r="O3" s="7">
        <f t="shared" ref="O3:O47" si="0">SUM(C3:N3)</f>
        <v>168</v>
      </c>
      <c r="P3" s="14">
        <v>3720</v>
      </c>
      <c r="Q3" s="119">
        <f t="shared" ref="Q3:Q9" si="1">O3*P3</f>
        <v>624960</v>
      </c>
      <c r="R3" s="11">
        <f>C3*P3</f>
        <v>126480</v>
      </c>
      <c r="S3" s="11">
        <f>+D3*P3</f>
        <v>0</v>
      </c>
      <c r="T3" s="11">
        <f>+E3*P3</f>
        <v>238080</v>
      </c>
      <c r="U3" s="11">
        <f>+F3*P3</f>
        <v>186000</v>
      </c>
      <c r="V3" s="11">
        <f>+G3*P3</f>
        <v>74400</v>
      </c>
      <c r="W3" s="11"/>
      <c r="X3" s="11"/>
      <c r="Y3" s="11"/>
      <c r="Z3" s="18"/>
      <c r="AA3" s="11"/>
      <c r="AB3" s="11"/>
      <c r="AC3" s="11"/>
    </row>
    <row r="4" spans="2:29">
      <c r="B4" s="4" t="s">
        <v>100</v>
      </c>
      <c r="C4" s="9">
        <v>6</v>
      </c>
      <c r="D4" s="5">
        <v>3</v>
      </c>
      <c r="E4" s="5">
        <v>6</v>
      </c>
      <c r="F4" s="5">
        <v>6</v>
      </c>
      <c r="G4" s="5">
        <v>9</v>
      </c>
      <c r="H4" s="5"/>
      <c r="I4" s="5"/>
      <c r="J4" s="7"/>
      <c r="K4" s="7"/>
      <c r="L4" s="7"/>
      <c r="M4" s="7"/>
      <c r="N4" s="7"/>
      <c r="O4" s="7">
        <f t="shared" si="0"/>
        <v>30</v>
      </c>
      <c r="P4" s="14">
        <v>9789</v>
      </c>
      <c r="Q4" s="119">
        <f t="shared" si="1"/>
        <v>293670</v>
      </c>
      <c r="R4" s="11">
        <f t="shared" ref="R4:R67" si="2">C4*P4</f>
        <v>58734</v>
      </c>
      <c r="S4" s="11">
        <f t="shared" ref="S4:S67" si="3">+D4*P4</f>
        <v>29367</v>
      </c>
      <c r="T4" s="11">
        <f t="shared" ref="T4:T68" si="4">+E4*P4</f>
        <v>58734</v>
      </c>
      <c r="U4" s="11">
        <f t="shared" ref="U4:U67" si="5">+F4*P4</f>
        <v>58734</v>
      </c>
      <c r="V4" s="11">
        <f t="shared" ref="V4:V67" si="6">+G4*P4</f>
        <v>88101</v>
      </c>
      <c r="W4" s="11"/>
      <c r="X4" s="11"/>
      <c r="Y4" s="11"/>
      <c r="Z4" s="18"/>
      <c r="AA4" s="11"/>
      <c r="AB4" s="11"/>
      <c r="AC4" s="11"/>
    </row>
    <row r="5" spans="2:29">
      <c r="B5" s="4" t="s">
        <v>101</v>
      </c>
      <c r="C5" s="9">
        <v>7</v>
      </c>
      <c r="D5" s="5"/>
      <c r="E5" s="5">
        <v>9</v>
      </c>
      <c r="F5" s="5"/>
      <c r="G5" s="5">
        <v>6</v>
      </c>
      <c r="H5" s="5"/>
      <c r="I5" s="5"/>
      <c r="J5" s="7"/>
      <c r="K5" s="7"/>
      <c r="L5" s="7"/>
      <c r="M5" s="7"/>
      <c r="N5" s="7"/>
      <c r="O5" s="7">
        <f t="shared" si="0"/>
        <v>22</v>
      </c>
      <c r="P5" s="14">
        <v>17621</v>
      </c>
      <c r="Q5" s="119">
        <f t="shared" si="1"/>
        <v>387662</v>
      </c>
      <c r="R5" s="11">
        <f t="shared" si="2"/>
        <v>123347</v>
      </c>
      <c r="S5" s="11">
        <f t="shared" si="3"/>
        <v>0</v>
      </c>
      <c r="T5" s="11">
        <f t="shared" si="4"/>
        <v>158589</v>
      </c>
      <c r="U5" s="11">
        <f t="shared" si="5"/>
        <v>0</v>
      </c>
      <c r="V5" s="11">
        <f t="shared" si="6"/>
        <v>105726</v>
      </c>
      <c r="W5" s="11"/>
      <c r="X5" s="11"/>
      <c r="Y5" s="11"/>
      <c r="Z5" s="18"/>
      <c r="AA5" s="11"/>
      <c r="AB5" s="11"/>
      <c r="AC5" s="11"/>
    </row>
    <row r="6" spans="2:29">
      <c r="B6" s="4" t="s">
        <v>266</v>
      </c>
      <c r="C6" s="9">
        <v>500</v>
      </c>
      <c r="D6" s="5"/>
      <c r="E6" s="5">
        <v>750</v>
      </c>
      <c r="F6" s="5">
        <v>750</v>
      </c>
      <c r="G6" s="5">
        <v>500</v>
      </c>
      <c r="H6" s="5"/>
      <c r="I6" s="5"/>
      <c r="J6" s="7"/>
      <c r="K6" s="7"/>
      <c r="L6" s="7"/>
      <c r="M6" s="7"/>
      <c r="N6" s="7"/>
      <c r="O6" s="7">
        <f t="shared" si="0"/>
        <v>2500</v>
      </c>
      <c r="P6" s="14">
        <v>783</v>
      </c>
      <c r="Q6" s="119">
        <f t="shared" si="1"/>
        <v>1957500</v>
      </c>
      <c r="R6" s="11">
        <f t="shared" si="2"/>
        <v>391500</v>
      </c>
      <c r="S6" s="11">
        <f t="shared" si="3"/>
        <v>0</v>
      </c>
      <c r="T6" s="11">
        <f t="shared" si="4"/>
        <v>587250</v>
      </c>
      <c r="U6" s="11">
        <f t="shared" si="5"/>
        <v>587250</v>
      </c>
      <c r="V6" s="11">
        <f t="shared" si="6"/>
        <v>391500</v>
      </c>
      <c r="W6" s="11"/>
      <c r="X6" s="11"/>
      <c r="Y6" s="11"/>
      <c r="Z6" s="18"/>
      <c r="AA6" s="11"/>
      <c r="AB6" s="11"/>
      <c r="AC6" s="11"/>
    </row>
    <row r="7" spans="2:29">
      <c r="B7" s="4" t="s">
        <v>102</v>
      </c>
      <c r="C7" s="9">
        <v>6</v>
      </c>
      <c r="D7" s="5"/>
      <c r="E7" s="5">
        <v>2</v>
      </c>
      <c r="F7" s="5">
        <v>9</v>
      </c>
      <c r="G7" s="5"/>
      <c r="H7" s="5"/>
      <c r="I7" s="5"/>
      <c r="J7" s="7"/>
      <c r="K7" s="7"/>
      <c r="L7" s="7"/>
      <c r="M7" s="7"/>
      <c r="N7" s="7"/>
      <c r="O7" s="7">
        <f t="shared" si="0"/>
        <v>17</v>
      </c>
      <c r="P7" s="14">
        <v>13000</v>
      </c>
      <c r="Q7" s="119">
        <f t="shared" si="1"/>
        <v>221000</v>
      </c>
      <c r="R7" s="11">
        <f t="shared" si="2"/>
        <v>78000</v>
      </c>
      <c r="S7" s="11">
        <f t="shared" si="3"/>
        <v>0</v>
      </c>
      <c r="T7" s="11">
        <f t="shared" si="4"/>
        <v>26000</v>
      </c>
      <c r="U7" s="11">
        <f t="shared" si="5"/>
        <v>117000</v>
      </c>
      <c r="V7" s="11">
        <f t="shared" si="6"/>
        <v>0</v>
      </c>
      <c r="W7" s="11"/>
      <c r="X7" s="11"/>
      <c r="Y7" s="11"/>
      <c r="Z7" s="18"/>
      <c r="AA7" s="11"/>
      <c r="AB7" s="11"/>
      <c r="AC7" s="11"/>
    </row>
    <row r="8" spans="2:29">
      <c r="B8" s="4" t="s">
        <v>103</v>
      </c>
      <c r="C8" s="9">
        <v>11</v>
      </c>
      <c r="D8" s="5"/>
      <c r="E8" s="5">
        <v>5</v>
      </c>
      <c r="F8" s="5"/>
      <c r="G8" s="5"/>
      <c r="H8" s="5"/>
      <c r="I8" s="5"/>
      <c r="J8" s="7"/>
      <c r="K8" s="7"/>
      <c r="L8" s="7"/>
      <c r="M8" s="7"/>
      <c r="N8" s="7"/>
      <c r="O8" s="7">
        <f t="shared" si="0"/>
        <v>16</v>
      </c>
      <c r="P8" s="14">
        <v>5100</v>
      </c>
      <c r="Q8" s="119">
        <f t="shared" si="1"/>
        <v>81600</v>
      </c>
      <c r="R8" s="11">
        <f t="shared" si="2"/>
        <v>56100</v>
      </c>
      <c r="S8" s="11">
        <f t="shared" si="3"/>
        <v>0</v>
      </c>
      <c r="T8" s="11">
        <f t="shared" si="4"/>
        <v>25500</v>
      </c>
      <c r="U8" s="11">
        <f t="shared" si="5"/>
        <v>0</v>
      </c>
      <c r="V8" s="11">
        <f t="shared" si="6"/>
        <v>0</v>
      </c>
      <c r="W8" s="11"/>
      <c r="X8" s="11"/>
      <c r="Y8" s="11"/>
      <c r="Z8" s="18"/>
      <c r="AA8" s="11"/>
      <c r="AB8" s="11"/>
      <c r="AC8" s="11"/>
    </row>
    <row r="9" spans="2:29">
      <c r="B9" s="4" t="s">
        <v>104</v>
      </c>
      <c r="C9" s="9">
        <v>11</v>
      </c>
      <c r="D9" s="5"/>
      <c r="E9" s="5">
        <v>7</v>
      </c>
      <c r="F9" s="5">
        <v>10</v>
      </c>
      <c r="G9" s="5">
        <v>10</v>
      </c>
      <c r="H9" s="5"/>
      <c r="I9" s="5"/>
      <c r="J9" s="7"/>
      <c r="K9" s="7"/>
      <c r="L9" s="7"/>
      <c r="M9" s="7"/>
      <c r="N9" s="7"/>
      <c r="O9" s="7">
        <f t="shared" si="0"/>
        <v>38</v>
      </c>
      <c r="P9" s="14">
        <v>6000</v>
      </c>
      <c r="Q9" s="119">
        <f t="shared" si="1"/>
        <v>228000</v>
      </c>
      <c r="R9" s="11">
        <f t="shared" si="2"/>
        <v>66000</v>
      </c>
      <c r="S9" s="11">
        <f t="shared" si="3"/>
        <v>0</v>
      </c>
      <c r="T9" s="11">
        <f t="shared" si="4"/>
        <v>42000</v>
      </c>
      <c r="U9" s="11">
        <f t="shared" si="5"/>
        <v>60000</v>
      </c>
      <c r="V9" s="11">
        <f t="shared" si="6"/>
        <v>60000</v>
      </c>
      <c r="W9" s="11"/>
      <c r="X9" s="11"/>
      <c r="Y9" s="11"/>
      <c r="Z9" s="18"/>
      <c r="AA9" s="11"/>
      <c r="AB9" s="11"/>
      <c r="AC9" s="11"/>
    </row>
    <row r="10" spans="2:29">
      <c r="B10" s="4" t="s">
        <v>105</v>
      </c>
      <c r="C10" s="9">
        <v>1</v>
      </c>
      <c r="D10" s="5"/>
      <c r="E10" s="5">
        <v>2</v>
      </c>
      <c r="F10" s="5">
        <v>3</v>
      </c>
      <c r="G10" s="5">
        <v>1</v>
      </c>
      <c r="H10" s="5"/>
      <c r="I10" s="5"/>
      <c r="J10" s="7"/>
      <c r="K10" s="7"/>
      <c r="L10" s="7"/>
      <c r="M10" s="7"/>
      <c r="N10" s="7"/>
      <c r="O10" s="7">
        <f t="shared" si="0"/>
        <v>7</v>
      </c>
      <c r="P10" s="14">
        <v>101815</v>
      </c>
      <c r="Q10" s="119">
        <f>C10*P10</f>
        <v>101815</v>
      </c>
      <c r="R10" s="11">
        <f t="shared" si="2"/>
        <v>101815</v>
      </c>
      <c r="S10" s="11">
        <f t="shared" si="3"/>
        <v>0</v>
      </c>
      <c r="T10" s="11">
        <f t="shared" si="4"/>
        <v>203630</v>
      </c>
      <c r="U10" s="11">
        <f t="shared" si="5"/>
        <v>305445</v>
      </c>
      <c r="V10" s="11">
        <f t="shared" si="6"/>
        <v>101815</v>
      </c>
      <c r="W10" s="11"/>
      <c r="X10" s="11"/>
      <c r="Y10" s="11"/>
      <c r="Z10" s="18"/>
      <c r="AA10" s="11"/>
      <c r="AB10" s="11"/>
      <c r="AC10" s="11"/>
    </row>
    <row r="11" spans="2:29">
      <c r="B11" s="4" t="s">
        <v>106</v>
      </c>
      <c r="C11" s="9">
        <v>8</v>
      </c>
      <c r="D11" s="5"/>
      <c r="E11" s="5"/>
      <c r="F11" s="5">
        <v>6</v>
      </c>
      <c r="G11" s="5"/>
      <c r="H11" s="5"/>
      <c r="I11" s="5"/>
      <c r="J11" s="7"/>
      <c r="K11" s="7"/>
      <c r="L11" s="7"/>
      <c r="M11" s="7"/>
      <c r="N11" s="7"/>
      <c r="O11" s="7">
        <f t="shared" si="0"/>
        <v>14</v>
      </c>
      <c r="P11" s="14">
        <v>3915</v>
      </c>
      <c r="Q11" s="119">
        <f t="shared" ref="Q11:Q74" si="7">O11*P11</f>
        <v>54810</v>
      </c>
      <c r="R11" s="11">
        <f t="shared" si="2"/>
        <v>31320</v>
      </c>
      <c r="S11" s="11">
        <f t="shared" si="3"/>
        <v>0</v>
      </c>
      <c r="T11" s="11">
        <f t="shared" si="4"/>
        <v>0</v>
      </c>
      <c r="U11" s="11">
        <f t="shared" si="5"/>
        <v>23490</v>
      </c>
      <c r="V11" s="11">
        <f t="shared" si="6"/>
        <v>0</v>
      </c>
      <c r="W11" s="11"/>
      <c r="X11" s="11"/>
      <c r="Y11" s="11"/>
      <c r="Z11" s="18"/>
      <c r="AA11" s="11"/>
      <c r="AB11" s="11"/>
      <c r="AC11" s="11"/>
    </row>
    <row r="12" spans="2:29">
      <c r="B12" s="4" t="s">
        <v>107</v>
      </c>
      <c r="C12" s="9">
        <v>2</v>
      </c>
      <c r="D12" s="5"/>
      <c r="E12" s="5">
        <v>4</v>
      </c>
      <c r="F12" s="5"/>
      <c r="G12" s="5">
        <v>2</v>
      </c>
      <c r="H12" s="5"/>
      <c r="I12" s="5"/>
      <c r="J12" s="7"/>
      <c r="K12" s="7"/>
      <c r="L12" s="7"/>
      <c r="M12" s="7"/>
      <c r="N12" s="7"/>
      <c r="O12" s="7">
        <f t="shared" si="0"/>
        <v>8</v>
      </c>
      <c r="P12" s="14">
        <v>68500</v>
      </c>
      <c r="Q12" s="119">
        <f t="shared" si="7"/>
        <v>548000</v>
      </c>
      <c r="R12" s="11">
        <f t="shared" si="2"/>
        <v>137000</v>
      </c>
      <c r="S12" s="11">
        <f t="shared" si="3"/>
        <v>0</v>
      </c>
      <c r="T12" s="11">
        <f t="shared" si="4"/>
        <v>274000</v>
      </c>
      <c r="U12" s="11">
        <f t="shared" si="5"/>
        <v>0</v>
      </c>
      <c r="V12" s="11">
        <f t="shared" si="6"/>
        <v>137000</v>
      </c>
      <c r="W12" s="11"/>
      <c r="X12" s="11"/>
      <c r="Y12" s="11"/>
      <c r="Z12" s="18"/>
      <c r="AA12" s="11"/>
      <c r="AB12" s="11"/>
      <c r="AC12" s="11"/>
    </row>
    <row r="13" spans="2:29">
      <c r="B13" s="4" t="s">
        <v>108</v>
      </c>
      <c r="C13" s="9">
        <v>6</v>
      </c>
      <c r="D13" s="5"/>
      <c r="E13" s="5">
        <v>8</v>
      </c>
      <c r="F13" s="5">
        <v>10</v>
      </c>
      <c r="G13" s="5"/>
      <c r="H13" s="5"/>
      <c r="I13" s="5"/>
      <c r="J13" s="7"/>
      <c r="K13" s="7"/>
      <c r="L13" s="7"/>
      <c r="M13" s="7"/>
      <c r="N13" s="7"/>
      <c r="O13" s="7">
        <f t="shared" si="0"/>
        <v>24</v>
      </c>
      <c r="P13" s="14">
        <v>11789</v>
      </c>
      <c r="Q13" s="119">
        <f t="shared" si="7"/>
        <v>282936</v>
      </c>
      <c r="R13" s="11">
        <f t="shared" si="2"/>
        <v>70734</v>
      </c>
      <c r="S13" s="11">
        <f t="shared" si="3"/>
        <v>0</v>
      </c>
      <c r="T13" s="11">
        <f t="shared" si="4"/>
        <v>94312</v>
      </c>
      <c r="U13" s="11">
        <f t="shared" si="5"/>
        <v>117890</v>
      </c>
      <c r="V13" s="11">
        <f t="shared" si="6"/>
        <v>0</v>
      </c>
      <c r="W13" s="11"/>
      <c r="X13" s="11"/>
      <c r="Y13" s="11"/>
      <c r="Z13" s="18"/>
      <c r="AA13" s="11"/>
      <c r="AB13" s="11"/>
      <c r="AC13" s="11"/>
    </row>
    <row r="14" spans="2:29">
      <c r="B14" s="4" t="s">
        <v>109</v>
      </c>
      <c r="C14" s="9">
        <v>7</v>
      </c>
      <c r="D14" s="5"/>
      <c r="E14" s="5">
        <v>3</v>
      </c>
      <c r="F14" s="5"/>
      <c r="G14" s="5">
        <v>3</v>
      </c>
      <c r="H14" s="5"/>
      <c r="I14" s="5"/>
      <c r="J14" s="7"/>
      <c r="K14" s="7"/>
      <c r="L14" s="7"/>
      <c r="M14" s="7"/>
      <c r="N14" s="7"/>
      <c r="O14" s="7">
        <f t="shared" si="0"/>
        <v>13</v>
      </c>
      <c r="P14" s="14">
        <v>5100</v>
      </c>
      <c r="Q14" s="119">
        <f t="shared" si="7"/>
        <v>66300</v>
      </c>
      <c r="R14" s="11">
        <f t="shared" si="2"/>
        <v>35700</v>
      </c>
      <c r="S14" s="11">
        <f t="shared" si="3"/>
        <v>0</v>
      </c>
      <c r="T14" s="11">
        <f t="shared" si="4"/>
        <v>15300</v>
      </c>
      <c r="U14" s="11">
        <f t="shared" si="5"/>
        <v>0</v>
      </c>
      <c r="V14" s="11">
        <f t="shared" si="6"/>
        <v>15300</v>
      </c>
      <c r="W14" s="11"/>
      <c r="X14" s="11"/>
      <c r="Y14" s="11"/>
      <c r="Z14" s="18"/>
      <c r="AA14" s="11"/>
      <c r="AB14" s="11"/>
      <c r="AC14" s="11"/>
    </row>
    <row r="15" spans="2:29">
      <c r="B15" s="4" t="s">
        <v>110</v>
      </c>
      <c r="C15" s="9">
        <v>2</v>
      </c>
      <c r="D15" s="5"/>
      <c r="E15" s="5"/>
      <c r="F15" s="5"/>
      <c r="G15" s="5"/>
      <c r="H15" s="5"/>
      <c r="I15" s="5"/>
      <c r="J15" s="7"/>
      <c r="K15" s="7"/>
      <c r="L15" s="7"/>
      <c r="M15" s="7"/>
      <c r="N15" s="7"/>
      <c r="O15" s="7">
        <f t="shared" si="0"/>
        <v>2</v>
      </c>
      <c r="P15" s="14">
        <v>10768</v>
      </c>
      <c r="Q15" s="119">
        <f t="shared" si="7"/>
        <v>21536</v>
      </c>
      <c r="R15" s="11">
        <f t="shared" si="2"/>
        <v>21536</v>
      </c>
      <c r="S15" s="11">
        <f t="shared" si="3"/>
        <v>0</v>
      </c>
      <c r="T15" s="11">
        <f t="shared" si="4"/>
        <v>0</v>
      </c>
      <c r="U15" s="11">
        <f t="shared" si="5"/>
        <v>0</v>
      </c>
      <c r="V15" s="11">
        <f t="shared" si="6"/>
        <v>0</v>
      </c>
      <c r="W15" s="11"/>
      <c r="X15" s="11"/>
      <c r="Y15" s="11"/>
      <c r="Z15" s="18"/>
      <c r="AA15" s="11"/>
      <c r="AB15" s="11"/>
      <c r="AC15" s="11"/>
    </row>
    <row r="16" spans="2:29">
      <c r="B16" s="4" t="s">
        <v>111</v>
      </c>
      <c r="C16" s="9">
        <v>5</v>
      </c>
      <c r="D16" s="5"/>
      <c r="E16" s="5"/>
      <c r="F16" s="5">
        <v>5</v>
      </c>
      <c r="G16" s="5"/>
      <c r="H16" s="5"/>
      <c r="I16" s="5"/>
      <c r="J16" s="7"/>
      <c r="K16" s="7"/>
      <c r="L16" s="7"/>
      <c r="M16" s="7"/>
      <c r="N16" s="7"/>
      <c r="O16" s="7">
        <f t="shared" si="0"/>
        <v>10</v>
      </c>
      <c r="P16" s="14">
        <v>10768</v>
      </c>
      <c r="Q16" s="119">
        <f t="shared" si="7"/>
        <v>107680</v>
      </c>
      <c r="R16" s="11">
        <f t="shared" si="2"/>
        <v>53840</v>
      </c>
      <c r="S16" s="11">
        <f t="shared" si="3"/>
        <v>0</v>
      </c>
      <c r="T16" s="11">
        <f t="shared" si="4"/>
        <v>0</v>
      </c>
      <c r="U16" s="11">
        <f t="shared" si="5"/>
        <v>53840</v>
      </c>
      <c r="V16" s="11">
        <f t="shared" si="6"/>
        <v>0</v>
      </c>
      <c r="W16" s="11"/>
      <c r="X16" s="11"/>
      <c r="Y16" s="11"/>
      <c r="Z16" s="18"/>
      <c r="AA16" s="11"/>
      <c r="AB16" s="11"/>
      <c r="AC16" s="11"/>
    </row>
    <row r="17" spans="2:29">
      <c r="B17" s="4" t="s">
        <v>98</v>
      </c>
      <c r="C17" s="9">
        <v>6</v>
      </c>
      <c r="D17" s="5"/>
      <c r="E17" s="5"/>
      <c r="F17" s="5"/>
      <c r="G17" s="5"/>
      <c r="H17" s="5"/>
      <c r="I17" s="5"/>
      <c r="J17" s="7"/>
      <c r="K17" s="7"/>
      <c r="L17" s="7"/>
      <c r="M17" s="7"/>
      <c r="N17" s="7"/>
      <c r="O17" s="7">
        <f t="shared" si="0"/>
        <v>6</v>
      </c>
      <c r="P17" s="14">
        <v>8000</v>
      </c>
      <c r="Q17" s="119">
        <f t="shared" si="7"/>
        <v>48000</v>
      </c>
      <c r="R17" s="11">
        <f t="shared" si="2"/>
        <v>48000</v>
      </c>
      <c r="S17" s="11">
        <f t="shared" si="3"/>
        <v>0</v>
      </c>
      <c r="T17" s="11">
        <f t="shared" si="4"/>
        <v>0</v>
      </c>
      <c r="U17" s="11">
        <f t="shared" si="5"/>
        <v>0</v>
      </c>
      <c r="V17" s="11">
        <f t="shared" si="6"/>
        <v>0</v>
      </c>
      <c r="W17" s="11"/>
      <c r="X17" s="11"/>
      <c r="Y17" s="11"/>
      <c r="Z17" s="18"/>
      <c r="AA17" s="11"/>
      <c r="AB17" s="11"/>
      <c r="AC17" s="11"/>
    </row>
    <row r="18" spans="2:29">
      <c r="B18" s="4" t="s">
        <v>46</v>
      </c>
      <c r="C18" s="9">
        <v>4</v>
      </c>
      <c r="D18" s="5"/>
      <c r="E18" s="5">
        <v>4</v>
      </c>
      <c r="F18" s="5">
        <v>9</v>
      </c>
      <c r="G18" s="5"/>
      <c r="H18" s="5"/>
      <c r="I18" s="5"/>
      <c r="J18" s="7"/>
      <c r="K18" s="7"/>
      <c r="L18" s="7"/>
      <c r="M18" s="7"/>
      <c r="N18" s="7"/>
      <c r="O18" s="7">
        <f t="shared" si="0"/>
        <v>17</v>
      </c>
      <c r="P18" s="14">
        <v>11750</v>
      </c>
      <c r="Q18" s="119">
        <f t="shared" si="7"/>
        <v>199750</v>
      </c>
      <c r="R18" s="11">
        <f t="shared" si="2"/>
        <v>47000</v>
      </c>
      <c r="S18" s="11">
        <f t="shared" si="3"/>
        <v>0</v>
      </c>
      <c r="T18" s="11">
        <f t="shared" si="4"/>
        <v>47000</v>
      </c>
      <c r="U18" s="11">
        <f t="shared" si="5"/>
        <v>105750</v>
      </c>
      <c r="V18" s="11">
        <f t="shared" si="6"/>
        <v>0</v>
      </c>
      <c r="W18" s="11"/>
      <c r="X18" s="11"/>
      <c r="Y18" s="11"/>
      <c r="Z18" s="18"/>
      <c r="AA18" s="11"/>
      <c r="AB18" s="11"/>
      <c r="AC18" s="11"/>
    </row>
    <row r="19" spans="2:29">
      <c r="B19" s="4" t="s">
        <v>112</v>
      </c>
      <c r="C19" s="9">
        <v>2</v>
      </c>
      <c r="D19" s="5"/>
      <c r="E19" s="5"/>
      <c r="F19" s="5"/>
      <c r="G19" s="5"/>
      <c r="H19" s="5"/>
      <c r="I19" s="5"/>
      <c r="J19" s="7"/>
      <c r="K19" s="7"/>
      <c r="L19" s="7"/>
      <c r="M19" s="7"/>
      <c r="N19" s="7"/>
      <c r="O19" s="7">
        <f t="shared" si="0"/>
        <v>2</v>
      </c>
      <c r="P19" s="14">
        <v>17621</v>
      </c>
      <c r="Q19" s="119">
        <f t="shared" si="7"/>
        <v>35242</v>
      </c>
      <c r="R19" s="11">
        <f t="shared" si="2"/>
        <v>35242</v>
      </c>
      <c r="S19" s="11">
        <f t="shared" si="3"/>
        <v>0</v>
      </c>
      <c r="T19" s="11">
        <f t="shared" si="4"/>
        <v>0</v>
      </c>
      <c r="U19" s="11">
        <f t="shared" si="5"/>
        <v>0</v>
      </c>
      <c r="V19" s="11">
        <f t="shared" si="6"/>
        <v>0</v>
      </c>
      <c r="W19" s="11"/>
      <c r="X19" s="11"/>
      <c r="Y19" s="11"/>
      <c r="Z19" s="18"/>
      <c r="AA19" s="11"/>
      <c r="AB19" s="11"/>
      <c r="AC19" s="11"/>
    </row>
    <row r="20" spans="2:29">
      <c r="B20" s="4" t="s">
        <v>113</v>
      </c>
      <c r="C20" s="9">
        <v>4</v>
      </c>
      <c r="D20" s="5"/>
      <c r="E20" s="5">
        <v>8</v>
      </c>
      <c r="F20" s="5">
        <v>16</v>
      </c>
      <c r="G20" s="5">
        <v>6</v>
      </c>
      <c r="H20" s="5"/>
      <c r="I20" s="5"/>
      <c r="J20" s="7"/>
      <c r="K20" s="7"/>
      <c r="L20" s="7"/>
      <c r="M20" s="7"/>
      <c r="N20" s="7"/>
      <c r="O20" s="7">
        <f t="shared" si="0"/>
        <v>34</v>
      </c>
      <c r="P20" s="14">
        <v>10573</v>
      </c>
      <c r="Q20" s="119">
        <f t="shared" si="7"/>
        <v>359482</v>
      </c>
      <c r="R20" s="11">
        <f t="shared" si="2"/>
        <v>42292</v>
      </c>
      <c r="S20" s="11">
        <f t="shared" si="3"/>
        <v>0</v>
      </c>
      <c r="T20" s="11">
        <f t="shared" si="4"/>
        <v>84584</v>
      </c>
      <c r="U20" s="11">
        <f t="shared" si="5"/>
        <v>169168</v>
      </c>
      <c r="V20" s="11">
        <f t="shared" si="6"/>
        <v>63438</v>
      </c>
      <c r="W20" s="11"/>
      <c r="X20" s="11"/>
      <c r="Y20" s="11"/>
      <c r="Z20" s="18"/>
      <c r="AA20" s="11"/>
      <c r="AB20" s="11"/>
      <c r="AC20" s="11"/>
    </row>
    <row r="21" spans="2:29">
      <c r="B21" s="4" t="s">
        <v>114</v>
      </c>
      <c r="C21" s="9">
        <v>1</v>
      </c>
      <c r="D21" s="5"/>
      <c r="E21" s="5"/>
      <c r="F21" s="5"/>
      <c r="G21" s="5"/>
      <c r="H21" s="5"/>
      <c r="I21" s="5"/>
      <c r="J21" s="7"/>
      <c r="K21" s="7"/>
      <c r="L21" s="7"/>
      <c r="M21" s="7"/>
      <c r="N21" s="7"/>
      <c r="O21" s="7">
        <f t="shared" si="0"/>
        <v>1</v>
      </c>
      <c r="P21" s="14">
        <v>567816</v>
      </c>
      <c r="Q21" s="119">
        <f t="shared" si="7"/>
        <v>567816</v>
      </c>
      <c r="R21" s="11">
        <f t="shared" si="2"/>
        <v>567816</v>
      </c>
      <c r="S21" s="11">
        <f t="shared" si="3"/>
        <v>0</v>
      </c>
      <c r="T21" s="11">
        <f t="shared" si="4"/>
        <v>0</v>
      </c>
      <c r="U21" s="11">
        <f t="shared" si="5"/>
        <v>0</v>
      </c>
      <c r="V21" s="11">
        <f t="shared" si="6"/>
        <v>0</v>
      </c>
      <c r="W21" s="11"/>
      <c r="X21" s="11"/>
      <c r="Y21" s="11"/>
      <c r="Z21" s="18"/>
      <c r="AA21" s="11"/>
      <c r="AB21" s="11"/>
      <c r="AC21" s="11"/>
    </row>
    <row r="22" spans="2:29">
      <c r="B22" s="4" t="s">
        <v>115</v>
      </c>
      <c r="C22" s="9">
        <v>10</v>
      </c>
      <c r="D22" s="5"/>
      <c r="E22" s="5">
        <v>6</v>
      </c>
      <c r="F22" s="5"/>
      <c r="G22" s="5">
        <v>1</v>
      </c>
      <c r="H22" s="5"/>
      <c r="I22" s="5"/>
      <c r="J22" s="7"/>
      <c r="K22" s="7"/>
      <c r="L22" s="7"/>
      <c r="M22" s="7"/>
      <c r="N22" s="7"/>
      <c r="O22" s="7">
        <f t="shared" si="0"/>
        <v>17</v>
      </c>
      <c r="P22" s="14">
        <v>9000</v>
      </c>
      <c r="Q22" s="119">
        <f t="shared" si="7"/>
        <v>153000</v>
      </c>
      <c r="R22" s="11">
        <f t="shared" si="2"/>
        <v>90000</v>
      </c>
      <c r="S22" s="11">
        <f t="shared" si="3"/>
        <v>0</v>
      </c>
      <c r="T22" s="11">
        <f t="shared" si="4"/>
        <v>54000</v>
      </c>
      <c r="U22" s="11">
        <f t="shared" si="5"/>
        <v>0</v>
      </c>
      <c r="V22" s="11">
        <f t="shared" si="6"/>
        <v>9000</v>
      </c>
      <c r="W22" s="11"/>
      <c r="X22" s="11"/>
      <c r="Y22" s="11"/>
      <c r="Z22" s="18"/>
      <c r="AA22" s="11"/>
      <c r="AB22" s="11"/>
      <c r="AC22" s="11"/>
    </row>
    <row r="23" spans="2:29">
      <c r="B23" s="4" t="s">
        <v>116</v>
      </c>
      <c r="C23" s="9">
        <v>1</v>
      </c>
      <c r="D23" s="5"/>
      <c r="E23" s="5"/>
      <c r="F23" s="5">
        <v>1</v>
      </c>
      <c r="G23" s="5"/>
      <c r="H23" s="5"/>
      <c r="I23" s="5"/>
      <c r="J23" s="7"/>
      <c r="K23" s="7"/>
      <c r="L23" s="7"/>
      <c r="M23" s="7"/>
      <c r="N23" s="7"/>
      <c r="O23" s="7">
        <f t="shared" si="0"/>
        <v>2</v>
      </c>
      <c r="P23" s="14">
        <v>432714</v>
      </c>
      <c r="Q23" s="119">
        <f t="shared" si="7"/>
        <v>865428</v>
      </c>
      <c r="R23" s="11">
        <f t="shared" si="2"/>
        <v>432714</v>
      </c>
      <c r="S23" s="11">
        <f t="shared" si="3"/>
        <v>0</v>
      </c>
      <c r="T23" s="11">
        <f t="shared" si="4"/>
        <v>0</v>
      </c>
      <c r="U23" s="11">
        <f t="shared" si="5"/>
        <v>432714</v>
      </c>
      <c r="V23" s="11">
        <f t="shared" si="6"/>
        <v>0</v>
      </c>
      <c r="W23" s="11"/>
      <c r="X23" s="11"/>
      <c r="Y23" s="11"/>
      <c r="Z23" s="18"/>
      <c r="AA23" s="11"/>
      <c r="AB23" s="11"/>
      <c r="AC23" s="11"/>
    </row>
    <row r="24" spans="2:29">
      <c r="B24" s="4" t="s">
        <v>117</v>
      </c>
      <c r="C24" s="9">
        <v>36</v>
      </c>
      <c r="D24" s="5"/>
      <c r="E24" s="5">
        <v>60</v>
      </c>
      <c r="F24" s="5">
        <v>60</v>
      </c>
      <c r="G24" s="5">
        <v>70</v>
      </c>
      <c r="H24" s="5"/>
      <c r="I24" s="5"/>
      <c r="J24" s="7"/>
      <c r="K24" s="7"/>
      <c r="L24" s="7"/>
      <c r="M24" s="7"/>
      <c r="N24" s="7"/>
      <c r="O24" s="7">
        <f t="shared" si="0"/>
        <v>226</v>
      </c>
      <c r="P24" s="14">
        <v>19579</v>
      </c>
      <c r="Q24" s="119">
        <f t="shared" si="7"/>
        <v>4424854</v>
      </c>
      <c r="R24" s="11">
        <f t="shared" si="2"/>
        <v>704844</v>
      </c>
      <c r="S24" s="11">
        <f t="shared" si="3"/>
        <v>0</v>
      </c>
      <c r="T24" s="11">
        <f t="shared" si="4"/>
        <v>1174740</v>
      </c>
      <c r="U24" s="11">
        <f t="shared" si="5"/>
        <v>1174740</v>
      </c>
      <c r="V24" s="11">
        <f>+G24*P24</f>
        <v>1370530</v>
      </c>
      <c r="W24" s="11"/>
      <c r="X24" s="11"/>
      <c r="Y24" s="11"/>
      <c r="Z24" s="18"/>
      <c r="AA24" s="11"/>
      <c r="AB24" s="11"/>
      <c r="AC24" s="11"/>
    </row>
    <row r="25" spans="2:29">
      <c r="B25" s="4" t="s">
        <v>118</v>
      </c>
      <c r="C25" s="9">
        <v>1</v>
      </c>
      <c r="D25" s="5"/>
      <c r="E25" s="5">
        <v>1</v>
      </c>
      <c r="F25" s="5"/>
      <c r="G25" s="5">
        <v>2</v>
      </c>
      <c r="H25" s="5">
        <v>0.5</v>
      </c>
      <c r="I25" s="5"/>
      <c r="J25" s="7"/>
      <c r="K25" s="7"/>
      <c r="L25" s="7"/>
      <c r="M25" s="7"/>
      <c r="N25" s="7"/>
      <c r="O25" s="7">
        <f t="shared" si="0"/>
        <v>4.5</v>
      </c>
      <c r="P25" s="14">
        <v>763613</v>
      </c>
      <c r="Q25" s="119">
        <f t="shared" si="7"/>
        <v>3436258.5</v>
      </c>
      <c r="R25" s="11">
        <f t="shared" si="2"/>
        <v>763613</v>
      </c>
      <c r="S25" s="11">
        <f t="shared" si="3"/>
        <v>0</v>
      </c>
      <c r="T25" s="11">
        <f t="shared" si="4"/>
        <v>763613</v>
      </c>
      <c r="U25" s="11">
        <f t="shared" si="5"/>
        <v>0</v>
      </c>
      <c r="V25" s="11">
        <f t="shared" si="6"/>
        <v>1527226</v>
      </c>
      <c r="W25" s="11"/>
      <c r="X25" s="11"/>
      <c r="Y25" s="11"/>
      <c r="Z25" s="18"/>
      <c r="AA25" s="11"/>
      <c r="AB25" s="11"/>
      <c r="AC25" s="11"/>
    </row>
    <row r="26" spans="2:29">
      <c r="B26" s="4" t="s">
        <v>119</v>
      </c>
      <c r="C26" s="9">
        <v>8</v>
      </c>
      <c r="D26" s="5"/>
      <c r="E26" s="5">
        <v>24</v>
      </c>
      <c r="F26" s="5"/>
      <c r="G26" s="5">
        <v>8</v>
      </c>
      <c r="H26" s="5"/>
      <c r="I26" s="5"/>
      <c r="J26" s="7"/>
      <c r="K26" s="7"/>
      <c r="L26" s="7"/>
      <c r="M26" s="7"/>
      <c r="N26" s="7"/>
      <c r="O26" s="7">
        <f t="shared" si="0"/>
        <v>40</v>
      </c>
      <c r="P26" s="14">
        <v>53844</v>
      </c>
      <c r="Q26" s="119">
        <f t="shared" si="7"/>
        <v>2153760</v>
      </c>
      <c r="R26" s="11">
        <f t="shared" si="2"/>
        <v>430752</v>
      </c>
      <c r="S26" s="11">
        <f t="shared" si="3"/>
        <v>0</v>
      </c>
      <c r="T26" s="11">
        <f t="shared" si="4"/>
        <v>1292256</v>
      </c>
      <c r="U26" s="11">
        <f t="shared" si="5"/>
        <v>0</v>
      </c>
      <c r="V26" s="11">
        <f t="shared" si="6"/>
        <v>430752</v>
      </c>
      <c r="W26" s="11"/>
      <c r="X26" s="11"/>
      <c r="Y26" s="11"/>
      <c r="Z26" s="18"/>
      <c r="AA26" s="11"/>
      <c r="AB26" s="11"/>
      <c r="AC26" s="11"/>
    </row>
    <row r="27" spans="2:29">
      <c r="B27" s="4" t="s">
        <v>120</v>
      </c>
      <c r="C27" s="9">
        <v>1</v>
      </c>
      <c r="D27" s="5"/>
      <c r="E27" s="5"/>
      <c r="F27" s="5"/>
      <c r="G27" s="5"/>
      <c r="H27" s="5"/>
      <c r="I27" s="5"/>
      <c r="J27" s="7"/>
      <c r="K27" s="7"/>
      <c r="L27" s="7"/>
      <c r="M27" s="7"/>
      <c r="N27" s="7"/>
      <c r="O27" s="7">
        <f t="shared" si="0"/>
        <v>1</v>
      </c>
      <c r="P27" s="14">
        <v>22600</v>
      </c>
      <c r="Q27" s="119">
        <f t="shared" si="7"/>
        <v>22600</v>
      </c>
      <c r="R27" s="11">
        <f t="shared" si="2"/>
        <v>22600</v>
      </c>
      <c r="S27" s="11">
        <f t="shared" si="3"/>
        <v>0</v>
      </c>
      <c r="T27" s="11">
        <f t="shared" si="4"/>
        <v>0</v>
      </c>
      <c r="U27" s="11">
        <f t="shared" si="5"/>
        <v>0</v>
      </c>
      <c r="V27" s="11">
        <f t="shared" si="6"/>
        <v>0</v>
      </c>
      <c r="W27" s="1"/>
      <c r="X27" s="11"/>
      <c r="Y27" s="11"/>
      <c r="Z27" s="18"/>
      <c r="AA27" s="11"/>
      <c r="AB27" s="11"/>
      <c r="AC27" s="11"/>
    </row>
    <row r="28" spans="2:29">
      <c r="B28" s="4" t="s">
        <v>121</v>
      </c>
      <c r="C28" s="9">
        <v>3</v>
      </c>
      <c r="D28" s="5"/>
      <c r="E28" s="5"/>
      <c r="F28" s="5"/>
      <c r="G28" s="5"/>
      <c r="H28" s="5"/>
      <c r="I28" s="5"/>
      <c r="J28" s="7"/>
      <c r="K28" s="7"/>
      <c r="L28" s="7"/>
      <c r="M28" s="7"/>
      <c r="N28" s="7"/>
      <c r="O28" s="7">
        <f t="shared" si="0"/>
        <v>3</v>
      </c>
      <c r="P28" s="14">
        <v>12750</v>
      </c>
      <c r="Q28" s="119">
        <f t="shared" si="7"/>
        <v>38250</v>
      </c>
      <c r="R28" s="11">
        <f t="shared" si="2"/>
        <v>38250</v>
      </c>
      <c r="S28" s="11">
        <f t="shared" si="3"/>
        <v>0</v>
      </c>
      <c r="T28" s="11">
        <f t="shared" si="4"/>
        <v>0</v>
      </c>
      <c r="U28" s="11">
        <f t="shared" si="5"/>
        <v>0</v>
      </c>
      <c r="V28" s="11">
        <f t="shared" si="6"/>
        <v>0</v>
      </c>
      <c r="W28" s="11"/>
      <c r="X28" s="11"/>
      <c r="Y28" s="11"/>
      <c r="Z28" s="18"/>
      <c r="AA28" s="11"/>
      <c r="AB28" s="11"/>
      <c r="AC28" s="11"/>
    </row>
    <row r="29" spans="2:29">
      <c r="B29" s="4" t="s">
        <v>122</v>
      </c>
      <c r="C29" s="9">
        <v>4</v>
      </c>
      <c r="D29" s="5"/>
      <c r="E29" s="5"/>
      <c r="F29" s="5"/>
      <c r="G29" s="5"/>
      <c r="H29" s="5"/>
      <c r="I29" s="5"/>
      <c r="J29" s="7"/>
      <c r="K29" s="7"/>
      <c r="L29" s="7"/>
      <c r="M29" s="7"/>
      <c r="N29" s="7"/>
      <c r="O29" s="7">
        <f t="shared" si="0"/>
        <v>4</v>
      </c>
      <c r="P29" s="14">
        <v>7900</v>
      </c>
      <c r="Q29" s="119">
        <f t="shared" si="7"/>
        <v>31600</v>
      </c>
      <c r="R29" s="11">
        <f t="shared" si="2"/>
        <v>31600</v>
      </c>
      <c r="S29" s="11">
        <f t="shared" si="3"/>
        <v>0</v>
      </c>
      <c r="T29" s="11">
        <f t="shared" si="4"/>
        <v>0</v>
      </c>
      <c r="U29" s="11">
        <f t="shared" si="5"/>
        <v>0</v>
      </c>
      <c r="V29" s="11">
        <f t="shared" si="6"/>
        <v>0</v>
      </c>
      <c r="W29" s="11"/>
      <c r="X29" s="11"/>
      <c r="Y29" s="11"/>
      <c r="Z29" s="18"/>
      <c r="AA29" s="11"/>
      <c r="AB29" s="11"/>
      <c r="AC29" s="11"/>
    </row>
    <row r="30" spans="2:29">
      <c r="B30" s="4" t="s">
        <v>123</v>
      </c>
      <c r="C30" s="9">
        <v>3</v>
      </c>
      <c r="D30" s="5"/>
      <c r="E30" s="5"/>
      <c r="F30" s="5"/>
      <c r="G30" s="5"/>
      <c r="H30" s="5"/>
      <c r="I30" s="5"/>
      <c r="J30" s="7"/>
      <c r="K30" s="7"/>
      <c r="L30" s="7"/>
      <c r="M30" s="7"/>
      <c r="N30" s="7"/>
      <c r="O30" s="7">
        <f t="shared" si="0"/>
        <v>3</v>
      </c>
      <c r="P30" s="14">
        <v>3500</v>
      </c>
      <c r="Q30" s="119">
        <f t="shared" si="7"/>
        <v>10500</v>
      </c>
      <c r="R30" s="11">
        <f t="shared" si="2"/>
        <v>10500</v>
      </c>
      <c r="S30" s="11">
        <f t="shared" si="3"/>
        <v>0</v>
      </c>
      <c r="T30" s="11">
        <f t="shared" si="4"/>
        <v>0</v>
      </c>
      <c r="U30" s="11">
        <f t="shared" si="5"/>
        <v>0</v>
      </c>
      <c r="V30" s="11">
        <f t="shared" si="6"/>
        <v>0</v>
      </c>
      <c r="W30" s="11"/>
      <c r="X30" s="11"/>
      <c r="Y30" s="11"/>
      <c r="Z30" s="18"/>
      <c r="AA30" s="11"/>
      <c r="AB30" s="11"/>
      <c r="AC30" s="11"/>
    </row>
    <row r="31" spans="2:29">
      <c r="B31" s="4" t="s">
        <v>124</v>
      </c>
      <c r="C31" s="9">
        <v>3</v>
      </c>
      <c r="D31" s="5"/>
      <c r="E31" s="5"/>
      <c r="F31" s="5"/>
      <c r="G31" s="5"/>
      <c r="H31" s="5"/>
      <c r="I31" s="5"/>
      <c r="J31" s="7"/>
      <c r="K31" s="7"/>
      <c r="L31" s="7"/>
      <c r="M31" s="7"/>
      <c r="N31" s="7"/>
      <c r="O31" s="7">
        <f t="shared" si="0"/>
        <v>3</v>
      </c>
      <c r="P31" s="14">
        <v>4900</v>
      </c>
      <c r="Q31" s="119">
        <f t="shared" si="7"/>
        <v>14700</v>
      </c>
      <c r="R31" s="11">
        <f t="shared" si="2"/>
        <v>14700</v>
      </c>
      <c r="S31" s="11">
        <f t="shared" si="3"/>
        <v>0</v>
      </c>
      <c r="T31" s="11">
        <f t="shared" si="4"/>
        <v>0</v>
      </c>
      <c r="U31" s="11">
        <f t="shared" si="5"/>
        <v>0</v>
      </c>
      <c r="V31" s="11">
        <f t="shared" si="6"/>
        <v>0</v>
      </c>
      <c r="W31" s="11"/>
      <c r="X31" s="11"/>
      <c r="Y31" s="11"/>
      <c r="Z31" s="18"/>
      <c r="AA31" s="11"/>
      <c r="AB31" s="11"/>
      <c r="AC31" s="11"/>
    </row>
    <row r="32" spans="2:29">
      <c r="B32" s="4" t="s">
        <v>125</v>
      </c>
      <c r="C32" s="9">
        <v>3</v>
      </c>
      <c r="D32" s="5"/>
      <c r="E32" s="5"/>
      <c r="F32" s="5"/>
      <c r="G32" s="5"/>
      <c r="H32" s="5"/>
      <c r="I32" s="5"/>
      <c r="J32" s="7"/>
      <c r="K32" s="7"/>
      <c r="L32" s="7"/>
      <c r="M32" s="7"/>
      <c r="N32" s="7"/>
      <c r="O32" s="7">
        <f t="shared" si="0"/>
        <v>3</v>
      </c>
      <c r="P32" s="14">
        <v>3933</v>
      </c>
      <c r="Q32" s="119">
        <f t="shared" si="7"/>
        <v>11799</v>
      </c>
      <c r="R32" s="11">
        <f t="shared" si="2"/>
        <v>11799</v>
      </c>
      <c r="S32" s="11">
        <f t="shared" si="3"/>
        <v>0</v>
      </c>
      <c r="T32" s="11">
        <f t="shared" si="4"/>
        <v>0</v>
      </c>
      <c r="U32" s="11">
        <f t="shared" si="5"/>
        <v>0</v>
      </c>
      <c r="V32" s="11">
        <f t="shared" si="6"/>
        <v>0</v>
      </c>
      <c r="W32" s="11"/>
      <c r="X32" s="11"/>
      <c r="Y32" s="11"/>
      <c r="Z32" s="18"/>
      <c r="AA32" s="11"/>
      <c r="AB32" s="11"/>
      <c r="AC32" s="11"/>
    </row>
    <row r="33" spans="2:29">
      <c r="B33" s="4" t="s">
        <v>126</v>
      </c>
      <c r="C33" s="9">
        <v>20</v>
      </c>
      <c r="D33" s="5"/>
      <c r="E33" s="5">
        <v>24</v>
      </c>
      <c r="F33" s="5">
        <v>25</v>
      </c>
      <c r="G33" s="5">
        <v>22</v>
      </c>
      <c r="H33" s="5"/>
      <c r="I33" s="5"/>
      <c r="J33" s="7"/>
      <c r="K33" s="7"/>
      <c r="L33" s="7"/>
      <c r="M33" s="7"/>
      <c r="N33" s="7"/>
      <c r="O33" s="7">
        <f t="shared" si="0"/>
        <v>91</v>
      </c>
      <c r="P33" s="14">
        <v>10770</v>
      </c>
      <c r="Q33" s="119">
        <f t="shared" si="7"/>
        <v>980070</v>
      </c>
      <c r="R33" s="11">
        <f t="shared" si="2"/>
        <v>215400</v>
      </c>
      <c r="S33" s="11">
        <f t="shared" si="3"/>
        <v>0</v>
      </c>
      <c r="T33" s="11">
        <f t="shared" si="4"/>
        <v>258480</v>
      </c>
      <c r="U33" s="11">
        <f t="shared" si="5"/>
        <v>269250</v>
      </c>
      <c r="V33" s="11">
        <f t="shared" si="6"/>
        <v>236940</v>
      </c>
      <c r="W33" s="11"/>
      <c r="X33" s="11"/>
      <c r="Y33" s="11"/>
      <c r="Z33" s="18"/>
      <c r="AA33" s="11"/>
      <c r="AB33" s="11"/>
      <c r="AC33" s="11"/>
    </row>
    <row r="34" spans="2:29">
      <c r="B34" s="4" t="s">
        <v>127</v>
      </c>
      <c r="C34" s="9">
        <v>32</v>
      </c>
      <c r="D34" s="5"/>
      <c r="E34" s="5">
        <v>24</v>
      </c>
      <c r="F34" s="5">
        <v>24</v>
      </c>
      <c r="G34" s="5">
        <v>18</v>
      </c>
      <c r="H34" s="5"/>
      <c r="I34" s="5"/>
      <c r="J34" s="7"/>
      <c r="K34" s="7"/>
      <c r="L34" s="7"/>
      <c r="M34" s="7"/>
      <c r="N34" s="7"/>
      <c r="O34" s="7">
        <f t="shared" si="0"/>
        <v>98</v>
      </c>
      <c r="P34" s="14">
        <v>16700</v>
      </c>
      <c r="Q34" s="119">
        <f t="shared" si="7"/>
        <v>1636600</v>
      </c>
      <c r="R34" s="11">
        <f t="shared" si="2"/>
        <v>534400</v>
      </c>
      <c r="S34" s="11">
        <f t="shared" si="3"/>
        <v>0</v>
      </c>
      <c r="T34" s="11">
        <f t="shared" si="4"/>
        <v>400800</v>
      </c>
      <c r="U34" s="11">
        <f t="shared" si="5"/>
        <v>400800</v>
      </c>
      <c r="V34" s="11">
        <f t="shared" si="6"/>
        <v>300600</v>
      </c>
      <c r="W34" s="11"/>
      <c r="X34" s="11"/>
      <c r="Y34" s="11"/>
      <c r="Z34" s="18"/>
      <c r="AA34" s="11"/>
      <c r="AB34" s="11"/>
      <c r="AC34" s="11"/>
    </row>
    <row r="35" spans="2:29">
      <c r="B35" s="4" t="s">
        <v>128</v>
      </c>
      <c r="C35" s="9">
        <v>32</v>
      </c>
      <c r="D35" s="5"/>
      <c r="E35" s="5"/>
      <c r="F35" s="5"/>
      <c r="G35" s="5">
        <v>10</v>
      </c>
      <c r="H35" s="5"/>
      <c r="I35" s="5"/>
      <c r="J35" s="7"/>
      <c r="K35" s="7"/>
      <c r="L35" s="7"/>
      <c r="M35" s="7"/>
      <c r="N35" s="7"/>
      <c r="O35" s="7">
        <f t="shared" si="0"/>
        <v>42</v>
      </c>
      <c r="P35" s="14">
        <v>11800</v>
      </c>
      <c r="Q35" s="119">
        <f t="shared" si="7"/>
        <v>495600</v>
      </c>
      <c r="R35" s="11">
        <f t="shared" si="2"/>
        <v>377600</v>
      </c>
      <c r="S35" s="11">
        <f t="shared" si="3"/>
        <v>0</v>
      </c>
      <c r="T35" s="11">
        <f t="shared" si="4"/>
        <v>0</v>
      </c>
      <c r="U35" s="11">
        <f t="shared" si="5"/>
        <v>0</v>
      </c>
      <c r="V35" s="11">
        <f t="shared" si="6"/>
        <v>118000</v>
      </c>
      <c r="W35" s="11"/>
      <c r="X35" s="11"/>
      <c r="Y35" s="11"/>
      <c r="Z35" s="18"/>
      <c r="AA35" s="11"/>
      <c r="AB35" s="11"/>
      <c r="AC35" s="11"/>
    </row>
    <row r="36" spans="2:29">
      <c r="B36" s="4" t="s">
        <v>129</v>
      </c>
      <c r="C36" s="9">
        <v>1</v>
      </c>
      <c r="D36" s="5"/>
      <c r="E36" s="5"/>
      <c r="F36" s="5"/>
      <c r="G36" s="5">
        <v>1</v>
      </c>
      <c r="H36" s="5"/>
      <c r="I36" s="5"/>
      <c r="J36" s="7"/>
      <c r="K36" s="7"/>
      <c r="L36" s="7"/>
      <c r="M36" s="7"/>
      <c r="N36" s="7"/>
      <c r="O36" s="7">
        <f t="shared" si="0"/>
        <v>2</v>
      </c>
      <c r="P36" s="14">
        <v>881092</v>
      </c>
      <c r="Q36" s="119">
        <f t="shared" si="7"/>
        <v>1762184</v>
      </c>
      <c r="R36" s="11">
        <f t="shared" si="2"/>
        <v>881092</v>
      </c>
      <c r="S36" s="11">
        <f t="shared" si="3"/>
        <v>0</v>
      </c>
      <c r="T36" s="11">
        <f t="shared" si="4"/>
        <v>0</v>
      </c>
      <c r="U36" s="11">
        <f t="shared" si="5"/>
        <v>0</v>
      </c>
      <c r="V36" s="11">
        <f t="shared" si="6"/>
        <v>881092</v>
      </c>
      <c r="W36" s="11"/>
      <c r="X36" s="11"/>
      <c r="Y36" s="11"/>
      <c r="Z36" s="18"/>
      <c r="AA36" s="11"/>
      <c r="AB36" s="11"/>
      <c r="AC36" s="11"/>
    </row>
    <row r="37" spans="2:29">
      <c r="B37" s="4" t="s">
        <v>130</v>
      </c>
      <c r="C37" s="9">
        <v>5</v>
      </c>
      <c r="D37" s="5"/>
      <c r="E37" s="5">
        <v>4</v>
      </c>
      <c r="F37" s="5"/>
      <c r="G37" s="5"/>
      <c r="H37" s="5"/>
      <c r="I37" s="5"/>
      <c r="J37" s="7"/>
      <c r="K37" s="7"/>
      <c r="L37" s="7"/>
      <c r="M37" s="7"/>
      <c r="N37" s="7"/>
      <c r="O37" s="7">
        <f t="shared" si="0"/>
        <v>9</v>
      </c>
      <c r="P37" s="14">
        <v>54000</v>
      </c>
      <c r="Q37" s="119">
        <f t="shared" si="7"/>
        <v>486000</v>
      </c>
      <c r="R37" s="11">
        <f t="shared" si="2"/>
        <v>270000</v>
      </c>
      <c r="S37" s="11">
        <f t="shared" si="3"/>
        <v>0</v>
      </c>
      <c r="T37" s="11">
        <f t="shared" si="4"/>
        <v>216000</v>
      </c>
      <c r="U37" s="11">
        <f t="shared" si="5"/>
        <v>0</v>
      </c>
      <c r="V37" s="11">
        <f t="shared" si="6"/>
        <v>0</v>
      </c>
      <c r="W37" s="11"/>
      <c r="X37" s="11"/>
      <c r="Y37" s="11"/>
      <c r="Z37" s="18"/>
      <c r="AA37" s="11"/>
      <c r="AB37" s="11"/>
      <c r="AC37" s="11"/>
    </row>
    <row r="38" spans="2:29">
      <c r="B38" s="4" t="s">
        <v>131</v>
      </c>
      <c r="C38" s="9">
        <v>1</v>
      </c>
      <c r="D38" s="5"/>
      <c r="E38" s="5">
        <v>1</v>
      </c>
      <c r="F38" s="5">
        <v>1</v>
      </c>
      <c r="G38" s="5">
        <v>2</v>
      </c>
      <c r="H38" s="5"/>
      <c r="I38" s="5"/>
      <c r="J38" s="7"/>
      <c r="K38" s="7"/>
      <c r="L38" s="7"/>
      <c r="M38" s="7"/>
      <c r="N38" s="7"/>
      <c r="O38" s="7">
        <f t="shared" si="0"/>
        <v>5</v>
      </c>
      <c r="P38" s="14">
        <v>137100</v>
      </c>
      <c r="Q38" s="119">
        <f t="shared" si="7"/>
        <v>685500</v>
      </c>
      <c r="R38" s="11">
        <f t="shared" si="2"/>
        <v>137100</v>
      </c>
      <c r="S38" s="11">
        <f t="shared" si="3"/>
        <v>0</v>
      </c>
      <c r="T38" s="11">
        <f t="shared" si="4"/>
        <v>137100</v>
      </c>
      <c r="U38" s="11">
        <f t="shared" si="5"/>
        <v>137100</v>
      </c>
      <c r="V38" s="11">
        <f t="shared" si="6"/>
        <v>274200</v>
      </c>
      <c r="W38" s="11"/>
      <c r="X38" s="11"/>
      <c r="Y38" s="11"/>
      <c r="Z38" s="18"/>
      <c r="AA38" s="11"/>
      <c r="AB38" s="11"/>
      <c r="AC38" s="11"/>
    </row>
    <row r="39" spans="2:29">
      <c r="B39" s="4" t="s">
        <v>132</v>
      </c>
      <c r="C39" s="9">
        <v>1</v>
      </c>
      <c r="D39" s="5"/>
      <c r="E39" s="25">
        <v>1</v>
      </c>
      <c r="F39" s="5">
        <v>2</v>
      </c>
      <c r="G39" s="5"/>
      <c r="H39" s="5"/>
      <c r="I39" s="5"/>
      <c r="J39" s="7"/>
      <c r="K39" s="7"/>
      <c r="L39" s="7"/>
      <c r="M39" s="7"/>
      <c r="N39" s="7"/>
      <c r="O39" s="7">
        <f t="shared" si="0"/>
        <v>4</v>
      </c>
      <c r="P39" s="14">
        <v>1076890</v>
      </c>
      <c r="Q39" s="119">
        <f t="shared" si="7"/>
        <v>4307560</v>
      </c>
      <c r="R39" s="11">
        <f t="shared" si="2"/>
        <v>1076890</v>
      </c>
      <c r="S39" s="11">
        <f t="shared" si="3"/>
        <v>0</v>
      </c>
      <c r="T39" s="11">
        <f t="shared" si="4"/>
        <v>1076890</v>
      </c>
      <c r="U39" s="11">
        <f t="shared" si="5"/>
        <v>2153780</v>
      </c>
      <c r="V39" s="11">
        <f t="shared" si="6"/>
        <v>0</v>
      </c>
      <c r="W39" s="11"/>
      <c r="X39" s="11"/>
      <c r="Y39" s="11"/>
      <c r="Z39" s="18"/>
      <c r="AA39" s="11"/>
      <c r="AB39" s="11"/>
      <c r="AC39" s="11"/>
    </row>
    <row r="40" spans="2:29">
      <c r="B40" s="4" t="s">
        <v>133</v>
      </c>
      <c r="C40" s="9">
        <v>41</v>
      </c>
      <c r="D40" s="5">
        <v>45</v>
      </c>
      <c r="E40" s="5"/>
      <c r="F40" s="5">
        <v>21</v>
      </c>
      <c r="G40" s="5">
        <v>21</v>
      </c>
      <c r="H40" s="5"/>
      <c r="I40" s="5"/>
      <c r="J40" s="7"/>
      <c r="K40" s="7"/>
      <c r="L40" s="7"/>
      <c r="M40" s="7"/>
      <c r="N40" s="7"/>
      <c r="O40" s="7">
        <f t="shared" si="0"/>
        <v>128</v>
      </c>
      <c r="P40" s="14">
        <v>275000</v>
      </c>
      <c r="Q40" s="119">
        <f t="shared" si="7"/>
        <v>35200000</v>
      </c>
      <c r="R40" s="11">
        <f t="shared" si="2"/>
        <v>11275000</v>
      </c>
      <c r="S40" s="11">
        <f t="shared" si="3"/>
        <v>12375000</v>
      </c>
      <c r="T40" s="11">
        <f t="shared" si="4"/>
        <v>0</v>
      </c>
      <c r="U40" s="11">
        <f t="shared" si="5"/>
        <v>5775000</v>
      </c>
      <c r="V40" s="11">
        <f t="shared" si="6"/>
        <v>5775000</v>
      </c>
      <c r="W40" s="11"/>
      <c r="X40" s="11"/>
      <c r="Y40" s="11"/>
      <c r="Z40" s="18"/>
      <c r="AA40" s="11"/>
      <c r="AB40" s="11"/>
      <c r="AC40" s="11"/>
    </row>
    <row r="41" spans="2:29">
      <c r="B41" s="4" t="s">
        <v>134</v>
      </c>
      <c r="C41" s="9">
        <v>1</v>
      </c>
      <c r="D41" s="5">
        <v>1</v>
      </c>
      <c r="E41" s="5"/>
      <c r="F41" s="5">
        <v>1</v>
      </c>
      <c r="G41" s="5">
        <v>1</v>
      </c>
      <c r="H41" s="5"/>
      <c r="I41" s="5"/>
      <c r="J41" s="7"/>
      <c r="K41" s="7"/>
      <c r="L41" s="7"/>
      <c r="M41" s="7"/>
      <c r="N41" s="7"/>
      <c r="O41" s="7">
        <f t="shared" si="0"/>
        <v>4</v>
      </c>
      <c r="P41" s="14">
        <v>426700</v>
      </c>
      <c r="Q41" s="119">
        <f t="shared" si="7"/>
        <v>1706800</v>
      </c>
      <c r="R41" s="11">
        <f t="shared" si="2"/>
        <v>426700</v>
      </c>
      <c r="S41" s="11">
        <f t="shared" si="3"/>
        <v>426700</v>
      </c>
      <c r="T41" s="11">
        <f t="shared" si="4"/>
        <v>0</v>
      </c>
      <c r="U41" s="11">
        <f t="shared" si="5"/>
        <v>426700</v>
      </c>
      <c r="V41" s="11">
        <f t="shared" si="6"/>
        <v>426700</v>
      </c>
      <c r="W41" s="11"/>
      <c r="X41" s="11"/>
      <c r="Y41" s="11"/>
      <c r="Z41" s="18"/>
      <c r="AA41" s="11"/>
      <c r="AB41" s="11"/>
      <c r="AC41" s="11"/>
    </row>
    <row r="42" spans="2:29">
      <c r="B42" s="4" t="s">
        <v>135</v>
      </c>
      <c r="C42" s="9">
        <v>3</v>
      </c>
      <c r="D42" s="5"/>
      <c r="E42" s="5"/>
      <c r="F42" s="5"/>
      <c r="G42" s="5"/>
      <c r="H42" s="5"/>
      <c r="I42" s="5"/>
      <c r="J42" s="7"/>
      <c r="K42" s="7"/>
      <c r="L42" s="7"/>
      <c r="M42" s="7"/>
      <c r="N42" s="7"/>
      <c r="O42" s="7">
        <f t="shared" si="0"/>
        <v>3</v>
      </c>
      <c r="P42" s="14">
        <v>12726</v>
      </c>
      <c r="Q42" s="119">
        <f t="shared" si="7"/>
        <v>38178</v>
      </c>
      <c r="R42" s="11">
        <f t="shared" si="2"/>
        <v>38178</v>
      </c>
      <c r="S42" s="11">
        <f t="shared" si="3"/>
        <v>0</v>
      </c>
      <c r="T42" s="11">
        <f t="shared" si="4"/>
        <v>0</v>
      </c>
      <c r="U42" s="11">
        <f t="shared" si="5"/>
        <v>0</v>
      </c>
      <c r="V42" s="11">
        <f t="shared" si="6"/>
        <v>0</v>
      </c>
      <c r="W42" s="11"/>
      <c r="X42" s="11"/>
      <c r="Y42" s="11"/>
      <c r="Z42" s="18"/>
      <c r="AA42" s="11"/>
      <c r="AB42" s="11"/>
      <c r="AC42" s="11"/>
    </row>
    <row r="43" spans="2:29">
      <c r="B43" s="4" t="s">
        <v>136</v>
      </c>
      <c r="C43" s="9">
        <v>2</v>
      </c>
      <c r="D43" s="5">
        <v>12</v>
      </c>
      <c r="E43" s="5"/>
      <c r="F43" s="5"/>
      <c r="G43" s="5"/>
      <c r="H43" s="5"/>
      <c r="I43" s="5"/>
      <c r="J43" s="7"/>
      <c r="K43" s="7"/>
      <c r="L43" s="7"/>
      <c r="M43" s="7"/>
      <c r="N43" s="7"/>
      <c r="O43" s="7">
        <f t="shared" si="0"/>
        <v>14</v>
      </c>
      <c r="P43" s="14">
        <v>7831</v>
      </c>
      <c r="Q43" s="119">
        <f t="shared" si="7"/>
        <v>109634</v>
      </c>
      <c r="R43" s="11">
        <f t="shared" si="2"/>
        <v>15662</v>
      </c>
      <c r="S43" s="11">
        <f t="shared" si="3"/>
        <v>93972</v>
      </c>
      <c r="T43" s="11">
        <f t="shared" si="4"/>
        <v>0</v>
      </c>
      <c r="U43" s="11">
        <f t="shared" si="5"/>
        <v>0</v>
      </c>
      <c r="V43" s="11">
        <f t="shared" si="6"/>
        <v>0</v>
      </c>
      <c r="W43" s="11"/>
      <c r="X43" s="11"/>
      <c r="Y43" s="11"/>
      <c r="Z43" s="18"/>
      <c r="AA43" s="11"/>
      <c r="AB43" s="11"/>
      <c r="AC43" s="11"/>
    </row>
    <row r="44" spans="2:29">
      <c r="B44" s="4" t="s">
        <v>137</v>
      </c>
      <c r="C44" s="9">
        <v>3</v>
      </c>
      <c r="D44" s="5"/>
      <c r="E44" s="5">
        <v>4</v>
      </c>
      <c r="F44" s="5">
        <v>2</v>
      </c>
      <c r="G44" s="5">
        <v>3</v>
      </c>
      <c r="H44" s="5"/>
      <c r="I44" s="5"/>
      <c r="J44" s="7"/>
      <c r="K44" s="7"/>
      <c r="L44" s="7"/>
      <c r="M44" s="7"/>
      <c r="N44" s="7"/>
      <c r="O44" s="7">
        <f t="shared" si="0"/>
        <v>12</v>
      </c>
      <c r="P44" s="14">
        <v>15663</v>
      </c>
      <c r="Q44" s="119">
        <f t="shared" si="7"/>
        <v>187956</v>
      </c>
      <c r="R44" s="11">
        <f t="shared" si="2"/>
        <v>46989</v>
      </c>
      <c r="S44" s="11">
        <f t="shared" si="3"/>
        <v>0</v>
      </c>
      <c r="T44" s="11">
        <f t="shared" si="4"/>
        <v>62652</v>
      </c>
      <c r="U44" s="11">
        <f t="shared" si="5"/>
        <v>31326</v>
      </c>
      <c r="V44" s="11">
        <f t="shared" si="6"/>
        <v>46989</v>
      </c>
      <c r="W44" s="11"/>
      <c r="X44" s="11"/>
      <c r="Y44" s="11"/>
      <c r="Z44" s="18"/>
      <c r="AA44" s="11"/>
      <c r="AB44" s="11"/>
      <c r="AC44" s="11"/>
    </row>
    <row r="45" spans="2:29">
      <c r="B45" s="4" t="s">
        <v>282</v>
      </c>
      <c r="C45" s="9"/>
      <c r="D45" s="5"/>
      <c r="E45" s="5">
        <v>5</v>
      </c>
      <c r="F45" s="5"/>
      <c r="G45" s="5"/>
      <c r="H45" s="5"/>
      <c r="I45" s="5"/>
      <c r="J45" s="7"/>
      <c r="K45" s="7"/>
      <c r="L45" s="7"/>
      <c r="M45" s="7"/>
      <c r="N45" s="7"/>
      <c r="O45" s="7">
        <f t="shared" si="0"/>
        <v>5</v>
      </c>
      <c r="P45" s="14">
        <v>9500</v>
      </c>
      <c r="Q45" s="119">
        <f t="shared" si="7"/>
        <v>47500</v>
      </c>
      <c r="R45" s="11"/>
      <c r="S45" s="11">
        <f t="shared" si="3"/>
        <v>0</v>
      </c>
      <c r="T45" s="11">
        <f t="shared" si="4"/>
        <v>47500</v>
      </c>
      <c r="U45" s="11">
        <f t="shared" si="5"/>
        <v>0</v>
      </c>
      <c r="V45" s="11">
        <f t="shared" si="6"/>
        <v>0</v>
      </c>
      <c r="W45" s="11"/>
      <c r="X45" s="11"/>
      <c r="Y45" s="11"/>
      <c r="Z45" s="18"/>
      <c r="AA45" s="11"/>
      <c r="AB45" s="11"/>
      <c r="AC45" s="11"/>
    </row>
    <row r="46" spans="2:29">
      <c r="B46" s="4" t="s">
        <v>138</v>
      </c>
      <c r="C46" s="9">
        <v>1</v>
      </c>
      <c r="D46" s="5"/>
      <c r="E46" s="5"/>
      <c r="F46" s="5"/>
      <c r="G46" s="5"/>
      <c r="H46" s="5"/>
      <c r="I46" s="5"/>
      <c r="J46" s="7"/>
      <c r="K46" s="7"/>
      <c r="L46" s="7"/>
      <c r="M46" s="7"/>
      <c r="N46" s="7"/>
      <c r="O46" s="7">
        <f t="shared" si="0"/>
        <v>1</v>
      </c>
      <c r="P46" s="14">
        <v>352436</v>
      </c>
      <c r="Q46" s="119">
        <f t="shared" si="7"/>
        <v>352436</v>
      </c>
      <c r="R46" s="11">
        <f t="shared" si="2"/>
        <v>352436</v>
      </c>
      <c r="S46" s="11">
        <f t="shared" si="3"/>
        <v>0</v>
      </c>
      <c r="T46" s="11">
        <f t="shared" si="4"/>
        <v>0</v>
      </c>
      <c r="U46" s="11">
        <f t="shared" si="5"/>
        <v>0</v>
      </c>
      <c r="V46" s="11">
        <f t="shared" si="6"/>
        <v>0</v>
      </c>
      <c r="W46" s="11"/>
      <c r="X46" s="11"/>
      <c r="Y46" s="11"/>
      <c r="Z46" s="18"/>
      <c r="AA46" s="11"/>
      <c r="AB46" s="11"/>
      <c r="AC46" s="11"/>
    </row>
    <row r="47" spans="2:29">
      <c r="B47" s="4" t="s">
        <v>139</v>
      </c>
      <c r="C47" s="9">
        <v>1</v>
      </c>
      <c r="D47" s="5"/>
      <c r="E47" s="5">
        <v>1</v>
      </c>
      <c r="F47" s="5"/>
      <c r="G47" s="5"/>
      <c r="H47" s="5"/>
      <c r="I47" s="5"/>
      <c r="J47" s="7"/>
      <c r="K47" s="7"/>
      <c r="L47" s="7"/>
      <c r="M47" s="7"/>
      <c r="N47" s="7"/>
      <c r="O47" s="7">
        <f t="shared" si="0"/>
        <v>2</v>
      </c>
      <c r="P47" s="14">
        <v>37201</v>
      </c>
      <c r="Q47" s="119">
        <f t="shared" si="7"/>
        <v>74402</v>
      </c>
      <c r="R47" s="11">
        <f t="shared" si="2"/>
        <v>37201</v>
      </c>
      <c r="S47" s="11">
        <f t="shared" si="3"/>
        <v>0</v>
      </c>
      <c r="T47" s="11">
        <f t="shared" si="4"/>
        <v>37201</v>
      </c>
      <c r="U47" s="11">
        <f t="shared" si="5"/>
        <v>0</v>
      </c>
      <c r="V47" s="11">
        <f t="shared" si="6"/>
        <v>0</v>
      </c>
      <c r="W47" s="11"/>
      <c r="X47" s="11"/>
      <c r="Y47" s="11"/>
      <c r="Z47" s="18"/>
      <c r="AA47" s="11"/>
      <c r="AB47" s="11"/>
      <c r="AC47" s="11"/>
    </row>
    <row r="48" spans="2:29">
      <c r="B48" s="120" t="s">
        <v>140</v>
      </c>
      <c r="C48" s="9"/>
      <c r="D48" s="121">
        <v>60</v>
      </c>
      <c r="E48" s="5"/>
      <c r="F48" s="5"/>
      <c r="G48" s="5"/>
      <c r="H48" s="5"/>
      <c r="I48" s="5"/>
      <c r="J48" s="7"/>
      <c r="K48" s="7"/>
      <c r="L48" s="7"/>
      <c r="M48" s="7"/>
      <c r="N48" s="7"/>
      <c r="O48" s="7">
        <f t="shared" ref="O48:O74" si="8">SUM(D48:N48)</f>
        <v>60</v>
      </c>
      <c r="P48" s="122">
        <v>6729</v>
      </c>
      <c r="Q48" s="119">
        <f t="shared" si="7"/>
        <v>403740</v>
      </c>
      <c r="R48" s="11">
        <f t="shared" si="2"/>
        <v>0</v>
      </c>
      <c r="S48" s="11">
        <f t="shared" si="3"/>
        <v>403740</v>
      </c>
      <c r="T48" s="11">
        <f t="shared" si="4"/>
        <v>0</v>
      </c>
      <c r="U48" s="11">
        <f t="shared" si="5"/>
        <v>0</v>
      </c>
      <c r="V48" s="11">
        <f t="shared" si="6"/>
        <v>0</v>
      </c>
      <c r="W48" s="11"/>
      <c r="X48" s="11"/>
      <c r="Y48" s="11"/>
      <c r="Z48" s="18"/>
      <c r="AA48" s="11"/>
      <c r="AB48" s="11"/>
      <c r="AC48" s="11"/>
    </row>
    <row r="49" spans="2:29">
      <c r="B49" s="120" t="s">
        <v>141</v>
      </c>
      <c r="C49" s="9"/>
      <c r="D49" s="121">
        <v>12</v>
      </c>
      <c r="E49" s="5"/>
      <c r="F49" s="5"/>
      <c r="G49" s="5"/>
      <c r="H49" s="5"/>
      <c r="I49" s="5"/>
      <c r="J49" s="7"/>
      <c r="K49" s="7"/>
      <c r="L49" s="7"/>
      <c r="M49" s="7"/>
      <c r="N49" s="7"/>
      <c r="O49" s="7">
        <f t="shared" si="8"/>
        <v>12</v>
      </c>
      <c r="P49" s="122">
        <v>23205</v>
      </c>
      <c r="Q49" s="119">
        <f t="shared" si="7"/>
        <v>278460</v>
      </c>
      <c r="R49" s="11">
        <f t="shared" si="2"/>
        <v>0</v>
      </c>
      <c r="S49" s="11">
        <f t="shared" si="3"/>
        <v>278460</v>
      </c>
      <c r="T49" s="11">
        <f t="shared" si="4"/>
        <v>0</v>
      </c>
      <c r="U49" s="11">
        <f t="shared" si="5"/>
        <v>0</v>
      </c>
      <c r="V49" s="11">
        <f t="shared" si="6"/>
        <v>0</v>
      </c>
      <c r="W49" s="11"/>
      <c r="X49" s="11"/>
      <c r="Y49" s="11"/>
      <c r="Z49" s="18"/>
      <c r="AA49" s="11"/>
      <c r="AB49" s="11"/>
      <c r="AC49" s="11"/>
    </row>
    <row r="50" spans="2:29">
      <c r="B50" s="120" t="s">
        <v>142</v>
      </c>
      <c r="C50" s="9"/>
      <c r="D50" s="121">
        <v>10</v>
      </c>
      <c r="E50" s="5"/>
      <c r="F50" s="5"/>
      <c r="G50" s="5"/>
      <c r="H50" s="5"/>
      <c r="I50" s="5"/>
      <c r="J50" s="7"/>
      <c r="K50" s="7"/>
      <c r="L50" s="7"/>
      <c r="M50" s="7"/>
      <c r="N50" s="7"/>
      <c r="O50" s="7">
        <f t="shared" si="8"/>
        <v>10</v>
      </c>
      <c r="P50" s="122">
        <v>186</v>
      </c>
      <c r="Q50" s="119">
        <f t="shared" si="7"/>
        <v>1860</v>
      </c>
      <c r="R50" s="11">
        <f t="shared" si="2"/>
        <v>0</v>
      </c>
      <c r="S50" s="11">
        <f t="shared" si="3"/>
        <v>1860</v>
      </c>
      <c r="T50" s="11">
        <f t="shared" si="4"/>
        <v>0</v>
      </c>
      <c r="U50" s="11">
        <f t="shared" si="5"/>
        <v>0</v>
      </c>
      <c r="V50" s="11">
        <f t="shared" si="6"/>
        <v>0</v>
      </c>
      <c r="W50" s="11"/>
      <c r="X50" s="11"/>
      <c r="Y50" s="11"/>
      <c r="Z50" s="18"/>
      <c r="AA50" s="11"/>
      <c r="AB50" s="11"/>
      <c r="AC50" s="11"/>
    </row>
    <row r="51" spans="2:29">
      <c r="B51" s="120" t="s">
        <v>143</v>
      </c>
      <c r="C51" s="9"/>
      <c r="D51" s="121">
        <v>8</v>
      </c>
      <c r="E51" s="5"/>
      <c r="F51" s="5"/>
      <c r="G51" s="5"/>
      <c r="H51" s="5"/>
      <c r="I51" s="5"/>
      <c r="J51" s="7"/>
      <c r="K51" s="7"/>
      <c r="L51" s="7"/>
      <c r="M51" s="7"/>
      <c r="N51" s="7"/>
      <c r="O51" s="7">
        <f t="shared" si="8"/>
        <v>8</v>
      </c>
      <c r="P51" s="122">
        <v>80444</v>
      </c>
      <c r="Q51" s="119">
        <f t="shared" si="7"/>
        <v>643552</v>
      </c>
      <c r="R51" s="11">
        <f t="shared" si="2"/>
        <v>0</v>
      </c>
      <c r="S51" s="11">
        <f t="shared" si="3"/>
        <v>643552</v>
      </c>
      <c r="T51" s="11">
        <f t="shared" si="4"/>
        <v>0</v>
      </c>
      <c r="U51" s="11">
        <f t="shared" si="5"/>
        <v>0</v>
      </c>
      <c r="V51" s="11">
        <f t="shared" si="6"/>
        <v>0</v>
      </c>
      <c r="W51" s="11"/>
      <c r="X51" s="11"/>
      <c r="Y51" s="11"/>
      <c r="Z51" s="18"/>
      <c r="AA51" s="11"/>
      <c r="AB51" s="11"/>
      <c r="AC51" s="11"/>
    </row>
    <row r="52" spans="2:29">
      <c r="B52" s="120" t="s">
        <v>144</v>
      </c>
      <c r="C52" s="9"/>
      <c r="D52" s="121">
        <v>1</v>
      </c>
      <c r="E52" s="9"/>
      <c r="F52" s="9">
        <v>1</v>
      </c>
      <c r="G52" s="5"/>
      <c r="H52" s="9"/>
      <c r="I52" s="9"/>
      <c r="J52" s="10"/>
      <c r="K52" s="10"/>
      <c r="L52" s="10"/>
      <c r="M52" s="10"/>
      <c r="N52" s="10"/>
      <c r="O52" s="7">
        <f t="shared" si="8"/>
        <v>2</v>
      </c>
      <c r="P52" s="122">
        <v>185640</v>
      </c>
      <c r="Q52" s="119">
        <f t="shared" si="7"/>
        <v>371280</v>
      </c>
      <c r="R52" s="11">
        <f t="shared" si="2"/>
        <v>0</v>
      </c>
      <c r="S52" s="11">
        <f t="shared" si="3"/>
        <v>185640</v>
      </c>
      <c r="T52" s="11">
        <f t="shared" si="4"/>
        <v>0</v>
      </c>
      <c r="U52" s="11">
        <f t="shared" si="5"/>
        <v>185640</v>
      </c>
      <c r="V52" s="11">
        <f t="shared" si="6"/>
        <v>0</v>
      </c>
      <c r="W52" s="11"/>
      <c r="X52" s="11"/>
      <c r="Y52" s="11"/>
      <c r="Z52" s="18"/>
      <c r="AA52" s="11"/>
      <c r="AB52" s="11"/>
      <c r="AC52" s="11"/>
    </row>
    <row r="53" spans="2:29">
      <c r="B53" s="120" t="s">
        <v>145</v>
      </c>
      <c r="C53" s="9"/>
      <c r="D53" s="121">
        <v>1</v>
      </c>
      <c r="E53" s="5"/>
      <c r="F53" s="5"/>
      <c r="G53" s="5"/>
      <c r="H53" s="5"/>
      <c r="I53" s="5"/>
      <c r="J53" s="7"/>
      <c r="K53" s="7"/>
      <c r="L53" s="7"/>
      <c r="M53" s="7"/>
      <c r="N53" s="7"/>
      <c r="O53" s="7">
        <f t="shared" si="8"/>
        <v>1</v>
      </c>
      <c r="P53" s="122">
        <v>39603</v>
      </c>
      <c r="Q53" s="119">
        <f t="shared" si="7"/>
        <v>39603</v>
      </c>
      <c r="R53" s="11">
        <f t="shared" si="2"/>
        <v>0</v>
      </c>
      <c r="S53" s="11">
        <f t="shared" si="3"/>
        <v>39603</v>
      </c>
      <c r="T53" s="11">
        <f t="shared" si="4"/>
        <v>0</v>
      </c>
      <c r="U53" s="11">
        <f t="shared" si="5"/>
        <v>0</v>
      </c>
      <c r="V53" s="11">
        <f t="shared" si="6"/>
        <v>0</v>
      </c>
      <c r="W53" s="11"/>
      <c r="X53" s="11"/>
      <c r="Y53" s="11"/>
      <c r="Z53" s="18"/>
      <c r="AA53" s="11"/>
      <c r="AB53" s="11"/>
      <c r="AC53" s="11"/>
    </row>
    <row r="54" spans="2:29">
      <c r="B54" s="120" t="s">
        <v>146</v>
      </c>
      <c r="C54" s="9"/>
      <c r="D54" s="121">
        <v>1</v>
      </c>
      <c r="E54" s="5"/>
      <c r="F54" s="5"/>
      <c r="G54" s="5"/>
      <c r="H54" s="5"/>
      <c r="I54" s="5"/>
      <c r="J54" s="7"/>
      <c r="K54" s="7"/>
      <c r="L54" s="7"/>
      <c r="M54" s="7"/>
      <c r="N54" s="7"/>
      <c r="O54" s="7">
        <f t="shared" si="8"/>
        <v>1</v>
      </c>
      <c r="P54" s="122">
        <v>39603</v>
      </c>
      <c r="Q54" s="119">
        <f t="shared" si="7"/>
        <v>39603</v>
      </c>
      <c r="R54" s="11">
        <f t="shared" si="2"/>
        <v>0</v>
      </c>
      <c r="S54" s="11">
        <f t="shared" si="3"/>
        <v>39603</v>
      </c>
      <c r="T54" s="11">
        <f t="shared" si="4"/>
        <v>0</v>
      </c>
      <c r="U54" s="11">
        <f t="shared" si="5"/>
        <v>0</v>
      </c>
      <c r="V54" s="11">
        <f t="shared" si="6"/>
        <v>0</v>
      </c>
      <c r="W54" s="11"/>
      <c r="X54" s="11"/>
      <c r="Y54" s="11"/>
      <c r="Z54" s="18"/>
      <c r="AA54" s="11"/>
      <c r="AB54" s="11"/>
      <c r="AC54" s="11"/>
    </row>
    <row r="55" spans="2:29">
      <c r="B55" s="120" t="s">
        <v>147</v>
      </c>
      <c r="C55" s="9"/>
      <c r="D55" s="121">
        <v>5</v>
      </c>
      <c r="E55" s="5"/>
      <c r="F55" s="5">
        <v>5</v>
      </c>
      <c r="G55" s="5">
        <v>5</v>
      </c>
      <c r="H55" s="5">
        <v>5</v>
      </c>
      <c r="I55" s="5"/>
      <c r="J55" s="7"/>
      <c r="K55" s="7"/>
      <c r="L55" s="7"/>
      <c r="M55" s="7"/>
      <c r="N55" s="7"/>
      <c r="O55" s="7">
        <f t="shared" si="8"/>
        <v>20</v>
      </c>
      <c r="P55" s="122">
        <v>102102</v>
      </c>
      <c r="Q55" s="119">
        <f t="shared" si="7"/>
        <v>2042040</v>
      </c>
      <c r="R55" s="11">
        <f t="shared" si="2"/>
        <v>0</v>
      </c>
      <c r="S55" s="11">
        <f t="shared" si="3"/>
        <v>510510</v>
      </c>
      <c r="T55" s="11">
        <f t="shared" si="4"/>
        <v>0</v>
      </c>
      <c r="U55" s="11">
        <f t="shared" si="5"/>
        <v>510510</v>
      </c>
      <c r="V55" s="11">
        <f t="shared" si="6"/>
        <v>510510</v>
      </c>
      <c r="W55" s="11"/>
      <c r="X55" s="11"/>
      <c r="Y55" s="11"/>
      <c r="Z55" s="18"/>
      <c r="AA55" s="11"/>
      <c r="AB55" s="11"/>
      <c r="AC55" s="11"/>
    </row>
    <row r="56" spans="2:29">
      <c r="B56" s="123" t="s">
        <v>329</v>
      </c>
      <c r="C56" s="9"/>
      <c r="D56" s="121">
        <v>5</v>
      </c>
      <c r="E56" s="5"/>
      <c r="F56" s="5"/>
      <c r="G56" s="5">
        <v>5</v>
      </c>
      <c r="H56" s="5"/>
      <c r="I56" s="5"/>
      <c r="J56" s="7"/>
      <c r="K56" s="7"/>
      <c r="L56" s="7"/>
      <c r="M56" s="7"/>
      <c r="N56" s="7"/>
      <c r="O56" s="7">
        <f t="shared" si="8"/>
        <v>10</v>
      </c>
      <c r="P56" s="122">
        <v>105970</v>
      </c>
      <c r="Q56" s="119">
        <f t="shared" si="7"/>
        <v>1059700</v>
      </c>
      <c r="R56" s="11">
        <f t="shared" si="2"/>
        <v>0</v>
      </c>
      <c r="S56" s="11">
        <f t="shared" si="3"/>
        <v>529850</v>
      </c>
      <c r="T56" s="11">
        <f t="shared" si="4"/>
        <v>0</v>
      </c>
      <c r="U56" s="11">
        <f t="shared" si="5"/>
        <v>0</v>
      </c>
      <c r="V56" s="11">
        <f t="shared" si="6"/>
        <v>529850</v>
      </c>
      <c r="W56" s="11"/>
      <c r="X56" s="11"/>
      <c r="Y56" s="11"/>
      <c r="Z56" s="18"/>
      <c r="AA56" s="11"/>
      <c r="AB56" s="11"/>
      <c r="AC56" s="11"/>
    </row>
    <row r="57" spans="2:29">
      <c r="B57" s="120" t="s">
        <v>148</v>
      </c>
      <c r="C57" s="9"/>
      <c r="D57" s="121">
        <v>1</v>
      </c>
      <c r="E57" s="5"/>
      <c r="F57" s="5"/>
      <c r="G57" s="5"/>
      <c r="H57" s="5"/>
      <c r="I57" s="5"/>
      <c r="J57" s="7"/>
      <c r="K57" s="7"/>
      <c r="L57" s="7"/>
      <c r="M57" s="7"/>
      <c r="N57" s="7"/>
      <c r="O57" s="7">
        <f t="shared" si="8"/>
        <v>1</v>
      </c>
      <c r="P57" s="122">
        <v>37128</v>
      </c>
      <c r="Q57" s="119">
        <f t="shared" si="7"/>
        <v>37128</v>
      </c>
      <c r="R57" s="11">
        <f t="shared" si="2"/>
        <v>0</v>
      </c>
      <c r="S57" s="11">
        <f t="shared" si="3"/>
        <v>37128</v>
      </c>
      <c r="T57" s="11">
        <f t="shared" si="4"/>
        <v>0</v>
      </c>
      <c r="U57" s="11">
        <f t="shared" si="5"/>
        <v>0</v>
      </c>
      <c r="V57" s="11">
        <f t="shared" si="6"/>
        <v>0</v>
      </c>
      <c r="W57" s="11"/>
      <c r="X57" s="11"/>
      <c r="Y57" s="11"/>
      <c r="Z57" s="18"/>
      <c r="AA57" s="11"/>
      <c r="AB57" s="11"/>
      <c r="AC57" s="11"/>
    </row>
    <row r="58" spans="2:29" ht="28.5">
      <c r="B58" s="123" t="s">
        <v>330</v>
      </c>
      <c r="C58" s="9"/>
      <c r="D58" s="121">
        <v>12</v>
      </c>
      <c r="E58" s="5"/>
      <c r="F58" s="5"/>
      <c r="G58" s="5">
        <v>25</v>
      </c>
      <c r="H58" s="5"/>
      <c r="I58" s="5"/>
      <c r="J58" s="7"/>
      <c r="K58" s="7"/>
      <c r="L58" s="7"/>
      <c r="M58" s="7"/>
      <c r="N58" s="7"/>
      <c r="O58" s="7">
        <f t="shared" si="8"/>
        <v>37</v>
      </c>
      <c r="P58" s="122">
        <v>8168</v>
      </c>
      <c r="Q58" s="119">
        <f t="shared" si="7"/>
        <v>302216</v>
      </c>
      <c r="R58" s="11">
        <f t="shared" si="2"/>
        <v>0</v>
      </c>
      <c r="S58" s="11">
        <f t="shared" si="3"/>
        <v>98016</v>
      </c>
      <c r="T58" s="11">
        <f t="shared" si="4"/>
        <v>0</v>
      </c>
      <c r="U58" s="11">
        <f t="shared" si="5"/>
        <v>0</v>
      </c>
      <c r="V58" s="11">
        <f t="shared" si="6"/>
        <v>204200</v>
      </c>
      <c r="W58" s="11"/>
      <c r="X58" s="11"/>
      <c r="Y58" s="11"/>
      <c r="Z58" s="18"/>
      <c r="AA58" s="11"/>
      <c r="AB58" s="11"/>
      <c r="AC58" s="11"/>
    </row>
    <row r="59" spans="2:29">
      <c r="B59" s="120" t="s">
        <v>149</v>
      </c>
      <c r="C59" s="9"/>
      <c r="D59" s="121">
        <v>1</v>
      </c>
      <c r="E59" s="5"/>
      <c r="F59" s="5"/>
      <c r="G59" s="5"/>
      <c r="H59" s="5"/>
      <c r="I59" s="5"/>
      <c r="J59" s="7"/>
      <c r="K59" s="7"/>
      <c r="L59" s="7"/>
      <c r="M59" s="7"/>
      <c r="N59" s="7"/>
      <c r="O59" s="7">
        <f t="shared" si="8"/>
        <v>1</v>
      </c>
      <c r="P59" s="122">
        <v>225862</v>
      </c>
      <c r="Q59" s="119">
        <f t="shared" si="7"/>
        <v>225862</v>
      </c>
      <c r="R59" s="11">
        <f t="shared" si="2"/>
        <v>0</v>
      </c>
      <c r="S59" s="11">
        <f t="shared" si="3"/>
        <v>225862</v>
      </c>
      <c r="T59" s="11">
        <f t="shared" si="4"/>
        <v>0</v>
      </c>
      <c r="U59" s="11">
        <f t="shared" si="5"/>
        <v>0</v>
      </c>
      <c r="V59" s="11">
        <f t="shared" si="6"/>
        <v>0</v>
      </c>
      <c r="W59" s="11"/>
      <c r="X59" s="11"/>
      <c r="Y59" s="11"/>
      <c r="Z59" s="18"/>
      <c r="AA59" s="11"/>
      <c r="AB59" s="11"/>
      <c r="AC59" s="11"/>
    </row>
    <row r="60" spans="2:29">
      <c r="B60" s="120" t="s">
        <v>150</v>
      </c>
      <c r="C60" s="9"/>
      <c r="D60" s="121">
        <v>8</v>
      </c>
      <c r="E60" s="5"/>
      <c r="F60" s="5"/>
      <c r="G60" s="5"/>
      <c r="H60" s="5"/>
      <c r="I60" s="5"/>
      <c r="J60" s="7"/>
      <c r="K60" s="7"/>
      <c r="L60" s="7"/>
      <c r="M60" s="7"/>
      <c r="N60" s="7"/>
      <c r="O60" s="7">
        <f t="shared" si="8"/>
        <v>8</v>
      </c>
      <c r="P60" s="122">
        <v>11293</v>
      </c>
      <c r="Q60" s="119">
        <f t="shared" si="7"/>
        <v>90344</v>
      </c>
      <c r="R60" s="11">
        <f t="shared" si="2"/>
        <v>0</v>
      </c>
      <c r="S60" s="11">
        <f t="shared" si="3"/>
        <v>90344</v>
      </c>
      <c r="T60" s="11">
        <f t="shared" si="4"/>
        <v>0</v>
      </c>
      <c r="U60" s="11">
        <f t="shared" si="5"/>
        <v>0</v>
      </c>
      <c r="V60" s="11">
        <f t="shared" si="6"/>
        <v>0</v>
      </c>
      <c r="W60" s="11"/>
      <c r="X60" s="11"/>
      <c r="Y60" s="11"/>
      <c r="Z60" s="18"/>
      <c r="AA60" s="11"/>
      <c r="AB60" s="11"/>
      <c r="AC60" s="11"/>
    </row>
    <row r="61" spans="2:29">
      <c r="B61" s="120" t="s">
        <v>151</v>
      </c>
      <c r="C61" s="9"/>
      <c r="D61" s="121">
        <v>2</v>
      </c>
      <c r="E61" s="5"/>
      <c r="F61" s="5"/>
      <c r="G61" s="5"/>
      <c r="H61" s="5"/>
      <c r="I61" s="5"/>
      <c r="J61" s="7"/>
      <c r="K61" s="7"/>
      <c r="L61" s="7"/>
      <c r="M61" s="7"/>
      <c r="N61" s="7"/>
      <c r="O61" s="7">
        <f t="shared" si="8"/>
        <v>2</v>
      </c>
      <c r="P61" s="122">
        <v>2321</v>
      </c>
      <c r="Q61" s="119">
        <f t="shared" si="7"/>
        <v>4642</v>
      </c>
      <c r="R61" s="11">
        <f t="shared" si="2"/>
        <v>0</v>
      </c>
      <c r="S61" s="11">
        <f t="shared" si="3"/>
        <v>4642</v>
      </c>
      <c r="T61" s="11">
        <f t="shared" si="4"/>
        <v>0</v>
      </c>
      <c r="U61" s="11">
        <f t="shared" si="5"/>
        <v>0</v>
      </c>
      <c r="V61" s="11">
        <f t="shared" si="6"/>
        <v>0</v>
      </c>
      <c r="W61" s="11"/>
      <c r="X61" s="11"/>
      <c r="Y61" s="11"/>
      <c r="Z61" s="18"/>
      <c r="AA61" s="11"/>
      <c r="AB61" s="11"/>
      <c r="AC61" s="11"/>
    </row>
    <row r="62" spans="2:29">
      <c r="B62" s="120" t="s">
        <v>152</v>
      </c>
      <c r="C62" s="9"/>
      <c r="D62" s="121">
        <v>2</v>
      </c>
      <c r="E62" s="5"/>
      <c r="F62" s="5"/>
      <c r="G62" s="5"/>
      <c r="H62" s="5"/>
      <c r="I62" s="5"/>
      <c r="J62" s="7"/>
      <c r="K62" s="7"/>
      <c r="L62" s="7"/>
      <c r="M62" s="7"/>
      <c r="N62" s="7"/>
      <c r="O62" s="7">
        <f t="shared" si="8"/>
        <v>2</v>
      </c>
      <c r="P62" s="122">
        <v>2321</v>
      </c>
      <c r="Q62" s="119">
        <f t="shared" si="7"/>
        <v>4642</v>
      </c>
      <c r="R62" s="11">
        <f t="shared" si="2"/>
        <v>0</v>
      </c>
      <c r="S62" s="11">
        <f t="shared" si="3"/>
        <v>4642</v>
      </c>
      <c r="T62" s="11">
        <f t="shared" si="4"/>
        <v>0</v>
      </c>
      <c r="U62" s="11">
        <f t="shared" si="5"/>
        <v>0</v>
      </c>
      <c r="V62" s="11">
        <f t="shared" si="6"/>
        <v>0</v>
      </c>
      <c r="W62" s="11"/>
      <c r="X62" s="11"/>
      <c r="Y62" s="11"/>
      <c r="Z62" s="18"/>
      <c r="AA62" s="11"/>
      <c r="AB62" s="11"/>
      <c r="AC62" s="11"/>
    </row>
    <row r="63" spans="2:29">
      <c r="B63" s="120" t="s">
        <v>153</v>
      </c>
      <c r="C63" s="9"/>
      <c r="D63" s="121">
        <v>1</v>
      </c>
      <c r="E63" s="5"/>
      <c r="F63" s="5"/>
      <c r="G63" s="5"/>
      <c r="H63" s="5"/>
      <c r="I63" s="5"/>
      <c r="J63" s="7"/>
      <c r="K63" s="7"/>
      <c r="L63" s="7"/>
      <c r="M63" s="7"/>
      <c r="N63" s="7"/>
      <c r="O63" s="7">
        <f t="shared" si="8"/>
        <v>1</v>
      </c>
      <c r="P63" s="122">
        <v>6188</v>
      </c>
      <c r="Q63" s="119">
        <f t="shared" si="7"/>
        <v>6188</v>
      </c>
      <c r="R63" s="11">
        <f t="shared" si="2"/>
        <v>0</v>
      </c>
      <c r="S63" s="11">
        <f t="shared" si="3"/>
        <v>6188</v>
      </c>
      <c r="T63" s="11">
        <f t="shared" si="4"/>
        <v>0</v>
      </c>
      <c r="U63" s="11">
        <f t="shared" si="5"/>
        <v>0</v>
      </c>
      <c r="V63" s="11">
        <f t="shared" si="6"/>
        <v>0</v>
      </c>
      <c r="W63" s="11"/>
      <c r="X63" s="11"/>
      <c r="Y63" s="11"/>
      <c r="Z63" s="18"/>
      <c r="AA63" s="11"/>
      <c r="AB63" s="11"/>
      <c r="AC63" s="11"/>
    </row>
    <row r="64" spans="2:29">
      <c r="B64" s="120" t="s">
        <v>154</v>
      </c>
      <c r="C64" s="9"/>
      <c r="D64" s="121">
        <v>1</v>
      </c>
      <c r="E64" s="5"/>
      <c r="F64" s="5"/>
      <c r="G64" s="5"/>
      <c r="H64" s="5"/>
      <c r="I64" s="5"/>
      <c r="J64" s="7"/>
      <c r="K64" s="7"/>
      <c r="L64" s="7"/>
      <c r="M64" s="7"/>
      <c r="N64" s="7"/>
      <c r="O64" s="7">
        <f t="shared" si="8"/>
        <v>1</v>
      </c>
      <c r="P64" s="122">
        <v>19802</v>
      </c>
      <c r="Q64" s="119">
        <f t="shared" si="7"/>
        <v>19802</v>
      </c>
      <c r="R64" s="11">
        <f t="shared" si="2"/>
        <v>0</v>
      </c>
      <c r="S64" s="11">
        <f t="shared" si="3"/>
        <v>19802</v>
      </c>
      <c r="T64" s="11">
        <f t="shared" si="4"/>
        <v>0</v>
      </c>
      <c r="U64" s="11">
        <f t="shared" si="5"/>
        <v>0</v>
      </c>
      <c r="V64" s="11">
        <f t="shared" si="6"/>
        <v>0</v>
      </c>
      <c r="W64" s="11"/>
      <c r="X64" s="11"/>
      <c r="Y64" s="11"/>
      <c r="Z64" s="18"/>
      <c r="AA64" s="11"/>
      <c r="AB64" s="11"/>
      <c r="AC64" s="11"/>
    </row>
    <row r="65" spans="2:29">
      <c r="B65" s="125" t="s">
        <v>155</v>
      </c>
      <c r="C65" s="9"/>
      <c r="D65" s="126">
        <v>40</v>
      </c>
      <c r="E65" s="5"/>
      <c r="F65" s="5"/>
      <c r="G65" s="5">
        <v>133.30000000000001</v>
      </c>
      <c r="H65" s="5">
        <v>133.30000000000001</v>
      </c>
      <c r="I65" s="5">
        <v>133.30000000000001</v>
      </c>
      <c r="J65" s="7"/>
      <c r="K65" s="7"/>
      <c r="L65" s="7"/>
      <c r="M65" s="7"/>
      <c r="N65" s="7"/>
      <c r="O65" s="7">
        <f t="shared" si="8"/>
        <v>439.90000000000003</v>
      </c>
      <c r="P65" s="122">
        <v>2933</v>
      </c>
      <c r="Q65" s="119">
        <f t="shared" si="7"/>
        <v>1290226.7000000002</v>
      </c>
      <c r="R65" s="11">
        <f t="shared" si="2"/>
        <v>0</v>
      </c>
      <c r="S65" s="11">
        <f t="shared" si="3"/>
        <v>117320</v>
      </c>
      <c r="T65" s="11">
        <f t="shared" si="4"/>
        <v>0</v>
      </c>
      <c r="U65" s="11">
        <f t="shared" si="5"/>
        <v>0</v>
      </c>
      <c r="V65" s="11">
        <f>+G65*P65</f>
        <v>390968.9</v>
      </c>
      <c r="W65" s="11"/>
      <c r="X65" s="11"/>
      <c r="Y65" s="11"/>
      <c r="Z65" s="18"/>
      <c r="AA65" s="11"/>
      <c r="AB65" s="11"/>
      <c r="AC65" s="11"/>
    </row>
    <row r="66" spans="2:29">
      <c r="B66" s="120" t="s">
        <v>156</v>
      </c>
      <c r="C66" s="9"/>
      <c r="D66" s="121">
        <v>1</v>
      </c>
      <c r="E66" s="5"/>
      <c r="F66" s="5"/>
      <c r="G66" s="5"/>
      <c r="H66" s="5"/>
      <c r="I66" s="5"/>
      <c r="J66" s="7"/>
      <c r="K66" s="7"/>
      <c r="L66" s="7"/>
      <c r="M66" s="7"/>
      <c r="N66" s="7"/>
      <c r="O66" s="7">
        <f t="shared" si="8"/>
        <v>1</v>
      </c>
      <c r="P66" s="122">
        <v>37437</v>
      </c>
      <c r="Q66" s="119">
        <f t="shared" si="7"/>
        <v>37437</v>
      </c>
      <c r="R66" s="11">
        <f t="shared" si="2"/>
        <v>0</v>
      </c>
      <c r="S66" s="11">
        <f t="shared" si="3"/>
        <v>37437</v>
      </c>
      <c r="T66" s="11">
        <f t="shared" si="4"/>
        <v>0</v>
      </c>
      <c r="U66" s="11">
        <f t="shared" si="5"/>
        <v>0</v>
      </c>
      <c r="V66" s="11">
        <f t="shared" si="6"/>
        <v>0</v>
      </c>
      <c r="W66" s="11"/>
      <c r="X66" s="11"/>
      <c r="Y66" s="11"/>
      <c r="Z66" s="18"/>
      <c r="AA66" s="11"/>
      <c r="AB66" s="11"/>
      <c r="AC66" s="11"/>
    </row>
    <row r="67" spans="2:29">
      <c r="B67" s="120" t="s">
        <v>158</v>
      </c>
      <c r="C67" s="9"/>
      <c r="D67" s="121">
        <v>4</v>
      </c>
      <c r="E67" s="5"/>
      <c r="F67" s="5"/>
      <c r="G67" s="5"/>
      <c r="H67" s="5"/>
      <c r="I67" s="5"/>
      <c r="J67" s="7"/>
      <c r="K67" s="7"/>
      <c r="L67" s="7"/>
      <c r="M67" s="7"/>
      <c r="N67" s="7"/>
      <c r="O67" s="7">
        <f t="shared" si="8"/>
        <v>4</v>
      </c>
      <c r="P67" s="122">
        <v>3094</v>
      </c>
      <c r="Q67" s="119">
        <f t="shared" si="7"/>
        <v>12376</v>
      </c>
      <c r="R67" s="11">
        <f t="shared" si="2"/>
        <v>0</v>
      </c>
      <c r="S67" s="11">
        <f t="shared" si="3"/>
        <v>12376</v>
      </c>
      <c r="T67" s="11">
        <f t="shared" si="4"/>
        <v>0</v>
      </c>
      <c r="U67" s="11">
        <f t="shared" si="5"/>
        <v>0</v>
      </c>
      <c r="V67" s="11">
        <f t="shared" si="6"/>
        <v>0</v>
      </c>
      <c r="W67" s="11"/>
      <c r="X67" s="11"/>
      <c r="Y67" s="11"/>
      <c r="Z67" s="18"/>
      <c r="AA67" s="11"/>
      <c r="AB67" s="11"/>
      <c r="AC67" s="11"/>
    </row>
    <row r="68" spans="2:29">
      <c r="B68" s="120" t="s">
        <v>159</v>
      </c>
      <c r="C68" s="9"/>
      <c r="D68" s="121">
        <v>4</v>
      </c>
      <c r="E68" s="5"/>
      <c r="F68" s="5"/>
      <c r="G68" s="5"/>
      <c r="H68" s="5"/>
      <c r="I68" s="5"/>
      <c r="J68" s="7"/>
      <c r="K68" s="7"/>
      <c r="L68" s="7"/>
      <c r="M68" s="7"/>
      <c r="N68" s="7"/>
      <c r="O68" s="7">
        <f t="shared" si="8"/>
        <v>4</v>
      </c>
      <c r="P68" s="122">
        <v>6652</v>
      </c>
      <c r="Q68" s="119">
        <f t="shared" si="7"/>
        <v>26608</v>
      </c>
      <c r="R68" s="11">
        <f t="shared" ref="R68:R132" si="9">C68*P68</f>
        <v>0</v>
      </c>
      <c r="S68" s="11">
        <f t="shared" ref="S68:S114" si="10">+D68*P68</f>
        <v>26608</v>
      </c>
      <c r="T68" s="11">
        <f t="shared" si="4"/>
        <v>0</v>
      </c>
      <c r="U68" s="11">
        <f t="shared" ref="U68:U131" si="11">+F68*P68</f>
        <v>0</v>
      </c>
      <c r="V68" s="11">
        <f t="shared" ref="V68:V131" si="12">+G68*P68</f>
        <v>0</v>
      </c>
      <c r="W68" s="11"/>
      <c r="X68" s="11"/>
      <c r="Y68" s="11"/>
      <c r="Z68" s="18"/>
      <c r="AA68" s="11"/>
      <c r="AB68" s="11"/>
      <c r="AC68" s="11"/>
    </row>
    <row r="69" spans="2:29">
      <c r="B69" s="120" t="s">
        <v>160</v>
      </c>
      <c r="C69" s="9"/>
      <c r="D69" s="121">
        <v>1</v>
      </c>
      <c r="E69" s="5">
        <v>4</v>
      </c>
      <c r="F69" s="5">
        <v>4</v>
      </c>
      <c r="G69" s="5"/>
      <c r="H69" s="5"/>
      <c r="I69" s="5"/>
      <c r="J69" s="7"/>
      <c r="K69" s="7"/>
      <c r="L69" s="7"/>
      <c r="M69" s="7"/>
      <c r="N69" s="7"/>
      <c r="O69" s="7">
        <f t="shared" si="8"/>
        <v>9</v>
      </c>
      <c r="P69" s="122">
        <v>70000</v>
      </c>
      <c r="Q69" s="119">
        <f t="shared" si="7"/>
        <v>630000</v>
      </c>
      <c r="R69" s="11">
        <f t="shared" si="9"/>
        <v>0</v>
      </c>
      <c r="S69" s="11">
        <f t="shared" si="10"/>
        <v>70000</v>
      </c>
      <c r="T69" s="11">
        <f t="shared" ref="T69:T133" si="13">+E69*P69</f>
        <v>280000</v>
      </c>
      <c r="U69" s="11">
        <f t="shared" si="11"/>
        <v>280000</v>
      </c>
      <c r="V69" s="11">
        <f t="shared" si="12"/>
        <v>0</v>
      </c>
      <c r="W69" s="11"/>
      <c r="X69" s="11"/>
      <c r="Y69" s="11"/>
      <c r="Z69" s="18"/>
      <c r="AA69" s="11"/>
      <c r="AB69" s="11"/>
      <c r="AC69" s="11"/>
    </row>
    <row r="70" spans="2:29">
      <c r="B70" s="120" t="s">
        <v>161</v>
      </c>
      <c r="C70" s="9"/>
      <c r="D70" s="121">
        <v>1</v>
      </c>
      <c r="E70" s="5"/>
      <c r="F70" s="5"/>
      <c r="G70" s="5"/>
      <c r="H70" s="5"/>
      <c r="I70" s="5"/>
      <c r="J70" s="7"/>
      <c r="K70" s="7"/>
      <c r="L70" s="7"/>
      <c r="M70" s="7"/>
      <c r="N70" s="7"/>
      <c r="O70" s="7">
        <f t="shared" si="8"/>
        <v>1</v>
      </c>
      <c r="P70" s="122">
        <v>464100</v>
      </c>
      <c r="Q70" s="119">
        <f t="shared" si="7"/>
        <v>464100</v>
      </c>
      <c r="R70" s="11">
        <f t="shared" si="9"/>
        <v>0</v>
      </c>
      <c r="S70" s="11">
        <f t="shared" si="10"/>
        <v>464100</v>
      </c>
      <c r="T70" s="11">
        <f t="shared" si="13"/>
        <v>0</v>
      </c>
      <c r="U70" s="11">
        <f t="shared" si="11"/>
        <v>0</v>
      </c>
      <c r="V70" s="11">
        <f t="shared" si="12"/>
        <v>0</v>
      </c>
      <c r="W70" s="11"/>
      <c r="X70" s="11"/>
      <c r="Y70" s="11"/>
      <c r="Z70" s="18"/>
      <c r="AA70" s="11"/>
      <c r="AB70" s="11"/>
      <c r="AC70" s="11"/>
    </row>
    <row r="71" spans="2:29" ht="28.5">
      <c r="B71" s="124" t="s">
        <v>162</v>
      </c>
      <c r="C71" s="9"/>
      <c r="D71" s="121">
        <v>1</v>
      </c>
      <c r="E71" s="5"/>
      <c r="F71" s="5"/>
      <c r="G71" s="5"/>
      <c r="H71" s="5"/>
      <c r="I71" s="5"/>
      <c r="J71" s="7"/>
      <c r="K71" s="7"/>
      <c r="L71" s="7"/>
      <c r="M71" s="7"/>
      <c r="N71" s="7"/>
      <c r="O71" s="7">
        <f t="shared" si="8"/>
        <v>1</v>
      </c>
      <c r="P71" s="122">
        <v>232050</v>
      </c>
      <c r="Q71" s="119">
        <f t="shared" si="7"/>
        <v>232050</v>
      </c>
      <c r="R71" s="11">
        <f t="shared" si="9"/>
        <v>0</v>
      </c>
      <c r="S71" s="11">
        <f t="shared" si="10"/>
        <v>232050</v>
      </c>
      <c r="T71" s="11">
        <f t="shared" si="13"/>
        <v>0</v>
      </c>
      <c r="U71" s="11">
        <f t="shared" si="11"/>
        <v>0</v>
      </c>
      <c r="V71" s="11">
        <f t="shared" si="12"/>
        <v>0</v>
      </c>
      <c r="W71" s="11"/>
      <c r="X71" s="11"/>
      <c r="Y71" s="11"/>
      <c r="Z71" s="18"/>
      <c r="AA71" s="11"/>
      <c r="AB71" s="11"/>
      <c r="AC71" s="11"/>
    </row>
    <row r="72" spans="2:29">
      <c r="B72" s="120" t="s">
        <v>163</v>
      </c>
      <c r="C72" s="9"/>
      <c r="D72" s="121">
        <v>4</v>
      </c>
      <c r="E72" s="5"/>
      <c r="F72" s="5"/>
      <c r="G72" s="5"/>
      <c r="H72" s="5"/>
      <c r="I72" s="5"/>
      <c r="J72" s="7"/>
      <c r="K72" s="7"/>
      <c r="L72" s="7"/>
      <c r="M72" s="7"/>
      <c r="N72" s="7"/>
      <c r="O72" s="7">
        <f t="shared" si="8"/>
        <v>4</v>
      </c>
      <c r="P72" s="122">
        <v>25990</v>
      </c>
      <c r="Q72" s="119">
        <f t="shared" si="7"/>
        <v>103960</v>
      </c>
      <c r="R72" s="11">
        <f t="shared" si="9"/>
        <v>0</v>
      </c>
      <c r="S72" s="11">
        <f t="shared" si="10"/>
        <v>103960</v>
      </c>
      <c r="T72" s="11">
        <f t="shared" si="13"/>
        <v>0</v>
      </c>
      <c r="U72" s="11">
        <f t="shared" si="11"/>
        <v>0</v>
      </c>
      <c r="V72" s="11">
        <f t="shared" si="12"/>
        <v>0</v>
      </c>
      <c r="W72" s="11"/>
      <c r="X72" s="11"/>
      <c r="Y72" s="11"/>
      <c r="Z72" s="18"/>
      <c r="AA72" s="11"/>
      <c r="AB72" s="11"/>
      <c r="AC72" s="11"/>
    </row>
    <row r="73" spans="2:29">
      <c r="B73" s="120" t="s">
        <v>164</v>
      </c>
      <c r="C73" s="9"/>
      <c r="D73" s="121">
        <v>1</v>
      </c>
      <c r="E73" s="5"/>
      <c r="F73" s="5"/>
      <c r="G73" s="5"/>
      <c r="H73" s="5"/>
      <c r="I73" s="5"/>
      <c r="J73" s="7"/>
      <c r="K73" s="7"/>
      <c r="L73" s="7"/>
      <c r="M73" s="7"/>
      <c r="N73" s="7"/>
      <c r="O73" s="7">
        <f t="shared" si="8"/>
        <v>1</v>
      </c>
      <c r="P73" s="122">
        <v>123760</v>
      </c>
      <c r="Q73" s="119">
        <f t="shared" si="7"/>
        <v>123760</v>
      </c>
      <c r="R73" s="11">
        <f t="shared" si="9"/>
        <v>0</v>
      </c>
      <c r="S73" s="11">
        <f t="shared" si="10"/>
        <v>123760</v>
      </c>
      <c r="T73" s="11">
        <f t="shared" si="13"/>
        <v>0</v>
      </c>
      <c r="U73" s="11">
        <f t="shared" si="11"/>
        <v>0</v>
      </c>
      <c r="V73" s="11">
        <f t="shared" si="12"/>
        <v>0</v>
      </c>
      <c r="W73" s="11"/>
      <c r="X73" s="11"/>
      <c r="Y73" s="11"/>
      <c r="Z73" s="18"/>
      <c r="AA73" s="11"/>
      <c r="AB73" s="11"/>
      <c r="AC73" s="11"/>
    </row>
    <row r="74" spans="2:29">
      <c r="B74" s="127" t="s">
        <v>165</v>
      </c>
      <c r="C74" s="9"/>
      <c r="D74" s="121">
        <v>2</v>
      </c>
      <c r="E74" s="5"/>
      <c r="F74" s="5"/>
      <c r="G74" s="5"/>
      <c r="H74" s="5"/>
      <c r="I74" s="5"/>
      <c r="J74" s="7"/>
      <c r="K74" s="7"/>
      <c r="L74" s="7"/>
      <c r="M74" s="7"/>
      <c r="N74" s="7"/>
      <c r="O74" s="7">
        <f t="shared" si="8"/>
        <v>2</v>
      </c>
      <c r="P74" s="122">
        <v>69615</v>
      </c>
      <c r="Q74" s="119">
        <f t="shared" si="7"/>
        <v>139230</v>
      </c>
      <c r="R74" s="11">
        <f t="shared" si="9"/>
        <v>0</v>
      </c>
      <c r="S74" s="11">
        <f t="shared" si="10"/>
        <v>139230</v>
      </c>
      <c r="T74" s="11">
        <f t="shared" si="13"/>
        <v>0</v>
      </c>
      <c r="U74" s="11">
        <f t="shared" si="11"/>
        <v>0</v>
      </c>
      <c r="V74" s="11">
        <f t="shared" si="12"/>
        <v>0</v>
      </c>
      <c r="W74" s="11"/>
      <c r="X74" s="11"/>
      <c r="Y74" s="11"/>
      <c r="Z74" s="18"/>
      <c r="AA74" s="11"/>
      <c r="AB74" s="11"/>
      <c r="AC74" s="11"/>
    </row>
    <row r="75" spans="2:29" ht="15" customHeight="1">
      <c r="B75" s="128" t="s">
        <v>166</v>
      </c>
      <c r="C75" s="129">
        <v>1</v>
      </c>
      <c r="D75" s="22"/>
      <c r="E75" s="5"/>
      <c r="F75" s="5"/>
      <c r="G75" s="5"/>
      <c r="H75" s="5"/>
      <c r="I75" s="5"/>
      <c r="J75" s="7"/>
      <c r="K75" s="7"/>
      <c r="L75" s="7"/>
      <c r="M75" s="7"/>
      <c r="N75" s="7"/>
      <c r="O75" s="7">
        <f t="shared" ref="O75:O139" si="14">SUM(C75:N75)</f>
        <v>1</v>
      </c>
      <c r="P75" s="130">
        <v>585000</v>
      </c>
      <c r="Q75" s="119">
        <f t="shared" ref="Q75:Q139" si="15">O75*P75</f>
        <v>585000</v>
      </c>
      <c r="R75" s="11">
        <f t="shared" si="9"/>
        <v>585000</v>
      </c>
      <c r="S75" s="11">
        <f t="shared" si="10"/>
        <v>0</v>
      </c>
      <c r="T75" s="11">
        <f t="shared" si="13"/>
        <v>0</v>
      </c>
      <c r="U75" s="11">
        <f t="shared" si="11"/>
        <v>0</v>
      </c>
      <c r="V75" s="11">
        <f t="shared" si="12"/>
        <v>0</v>
      </c>
      <c r="W75" s="11"/>
      <c r="X75" s="11"/>
      <c r="Y75" s="11"/>
      <c r="Z75" s="18"/>
      <c r="AA75" s="11"/>
      <c r="AB75" s="11"/>
      <c r="AC75" s="11"/>
    </row>
    <row r="76" spans="2:29">
      <c r="B76" s="131" t="s">
        <v>167</v>
      </c>
      <c r="C76" s="129">
        <v>2</v>
      </c>
      <c r="D76" s="22"/>
      <c r="E76" s="5">
        <v>2</v>
      </c>
      <c r="F76" s="5"/>
      <c r="G76" s="5"/>
      <c r="H76" s="5"/>
      <c r="I76" s="5"/>
      <c r="J76" s="7"/>
      <c r="K76" s="7"/>
      <c r="L76" s="7"/>
      <c r="M76" s="7"/>
      <c r="N76" s="7"/>
      <c r="O76" s="7">
        <f t="shared" si="14"/>
        <v>4</v>
      </c>
      <c r="P76" s="130">
        <v>65000</v>
      </c>
      <c r="Q76" s="119">
        <f t="shared" si="15"/>
        <v>260000</v>
      </c>
      <c r="R76" s="11">
        <f t="shared" si="9"/>
        <v>130000</v>
      </c>
      <c r="S76" s="11">
        <f t="shared" si="10"/>
        <v>0</v>
      </c>
      <c r="T76" s="11">
        <f t="shared" si="13"/>
        <v>130000</v>
      </c>
      <c r="U76" s="11">
        <f t="shared" si="11"/>
        <v>0</v>
      </c>
      <c r="V76" s="11">
        <f t="shared" si="12"/>
        <v>0</v>
      </c>
      <c r="W76" s="11"/>
      <c r="X76" s="11"/>
      <c r="Y76" s="11"/>
      <c r="Z76" s="18"/>
      <c r="AA76" s="11"/>
      <c r="AB76" s="11"/>
      <c r="AC76" s="11"/>
    </row>
    <row r="77" spans="2:29">
      <c r="B77" s="131" t="s">
        <v>168</v>
      </c>
      <c r="C77" s="129">
        <v>6</v>
      </c>
      <c r="D77" s="22"/>
      <c r="E77" s="5"/>
      <c r="F77" s="5"/>
      <c r="G77" s="5"/>
      <c r="H77" s="5"/>
      <c r="I77" s="5"/>
      <c r="J77" s="7"/>
      <c r="K77" s="7"/>
      <c r="L77" s="7"/>
      <c r="M77" s="7"/>
      <c r="N77" s="7"/>
      <c r="O77" s="7">
        <f t="shared" si="14"/>
        <v>6</v>
      </c>
      <c r="P77" s="130">
        <v>13000</v>
      </c>
      <c r="Q77" s="119">
        <f t="shared" si="15"/>
        <v>78000</v>
      </c>
      <c r="R77" s="11">
        <f t="shared" si="9"/>
        <v>78000</v>
      </c>
      <c r="S77" s="11">
        <f t="shared" si="10"/>
        <v>0</v>
      </c>
      <c r="T77" s="11">
        <f t="shared" si="13"/>
        <v>0</v>
      </c>
      <c r="U77" s="11">
        <f t="shared" si="11"/>
        <v>0</v>
      </c>
      <c r="V77" s="11">
        <f t="shared" si="12"/>
        <v>0</v>
      </c>
      <c r="W77" s="11"/>
      <c r="X77" s="11"/>
      <c r="Y77" s="11"/>
      <c r="Z77" s="18"/>
      <c r="AA77" s="11"/>
      <c r="AB77" s="11"/>
      <c r="AC77" s="11"/>
    </row>
    <row r="78" spans="2:29">
      <c r="B78" s="131" t="s">
        <v>169</v>
      </c>
      <c r="C78" s="129">
        <v>6</v>
      </c>
      <c r="D78" s="22"/>
      <c r="E78" s="5"/>
      <c r="F78" s="5"/>
      <c r="G78" s="5"/>
      <c r="H78" s="5"/>
      <c r="I78" s="5"/>
      <c r="J78" s="7"/>
      <c r="K78" s="7"/>
      <c r="L78" s="7"/>
      <c r="M78" s="7"/>
      <c r="N78" s="7"/>
      <c r="O78" s="7">
        <f t="shared" si="14"/>
        <v>6</v>
      </c>
      <c r="P78" s="130">
        <v>13000</v>
      </c>
      <c r="Q78" s="119">
        <f t="shared" si="15"/>
        <v>78000</v>
      </c>
      <c r="R78" s="11">
        <f t="shared" si="9"/>
        <v>78000</v>
      </c>
      <c r="S78" s="11">
        <f t="shared" si="10"/>
        <v>0</v>
      </c>
      <c r="T78" s="11">
        <f t="shared" si="13"/>
        <v>0</v>
      </c>
      <c r="U78" s="11">
        <f t="shared" si="11"/>
        <v>0</v>
      </c>
      <c r="V78" s="11">
        <f t="shared" si="12"/>
        <v>0</v>
      </c>
      <c r="W78" s="11"/>
      <c r="X78" s="11"/>
      <c r="Y78" s="11"/>
      <c r="Z78" s="18"/>
      <c r="AA78" s="11"/>
      <c r="AB78" s="11"/>
      <c r="AC78" s="11"/>
    </row>
    <row r="79" spans="2:29">
      <c r="B79" s="131" t="s">
        <v>170</v>
      </c>
      <c r="C79" s="129">
        <v>2</v>
      </c>
      <c r="D79" s="22"/>
      <c r="E79" s="5"/>
      <c r="F79" s="5"/>
      <c r="G79" s="5"/>
      <c r="H79" s="5"/>
      <c r="I79" s="5"/>
      <c r="J79" s="7"/>
      <c r="K79" s="7"/>
      <c r="L79" s="7"/>
      <c r="M79" s="7"/>
      <c r="N79" s="7"/>
      <c r="O79" s="7">
        <f t="shared" si="14"/>
        <v>2</v>
      </c>
      <c r="P79" s="130">
        <v>5980</v>
      </c>
      <c r="Q79" s="119">
        <f t="shared" si="15"/>
        <v>11960</v>
      </c>
      <c r="R79" s="11">
        <f t="shared" si="9"/>
        <v>11960</v>
      </c>
      <c r="S79" s="11">
        <f t="shared" si="10"/>
        <v>0</v>
      </c>
      <c r="T79" s="11">
        <f t="shared" si="13"/>
        <v>0</v>
      </c>
      <c r="U79" s="11">
        <f t="shared" si="11"/>
        <v>0</v>
      </c>
      <c r="V79" s="11">
        <f t="shared" si="12"/>
        <v>0</v>
      </c>
      <c r="W79" s="11"/>
      <c r="X79" s="11"/>
      <c r="Y79" s="11"/>
      <c r="Z79" s="18"/>
      <c r="AA79" s="11"/>
      <c r="AB79" s="11"/>
      <c r="AC79" s="11"/>
    </row>
    <row r="80" spans="2:29">
      <c r="B80" s="131" t="s">
        <v>171</v>
      </c>
      <c r="C80" s="129">
        <v>1</v>
      </c>
      <c r="D80" s="22"/>
      <c r="E80" s="5"/>
      <c r="F80" s="5">
        <v>2</v>
      </c>
      <c r="G80" s="5"/>
      <c r="H80" s="5"/>
      <c r="I80" s="5"/>
      <c r="J80" s="7"/>
      <c r="K80" s="7"/>
      <c r="L80" s="7"/>
      <c r="M80" s="7"/>
      <c r="N80" s="7"/>
      <c r="O80" s="7">
        <f t="shared" si="14"/>
        <v>3</v>
      </c>
      <c r="P80" s="130">
        <v>101400</v>
      </c>
      <c r="Q80" s="119">
        <f t="shared" si="15"/>
        <v>304200</v>
      </c>
      <c r="R80" s="11">
        <f t="shared" si="9"/>
        <v>101400</v>
      </c>
      <c r="S80" s="11">
        <f t="shared" si="10"/>
        <v>0</v>
      </c>
      <c r="T80" s="11">
        <f t="shared" si="13"/>
        <v>0</v>
      </c>
      <c r="U80" s="11">
        <f t="shared" si="11"/>
        <v>202800</v>
      </c>
      <c r="V80" s="11">
        <f t="shared" si="12"/>
        <v>0</v>
      </c>
      <c r="W80" s="11"/>
      <c r="X80" s="11"/>
      <c r="Y80" s="11"/>
      <c r="Z80" s="18"/>
      <c r="AA80" s="11"/>
      <c r="AB80" s="11"/>
      <c r="AC80" s="11"/>
    </row>
    <row r="81" spans="2:29">
      <c r="B81" s="131" t="s">
        <v>172</v>
      </c>
      <c r="C81" s="129">
        <v>2</v>
      </c>
      <c r="D81" s="22"/>
      <c r="E81" s="5"/>
      <c r="F81" s="5"/>
      <c r="G81" s="5"/>
      <c r="H81" s="5"/>
      <c r="I81" s="5"/>
      <c r="J81" s="7"/>
      <c r="K81" s="7"/>
      <c r="L81" s="7"/>
      <c r="M81" s="7"/>
      <c r="N81" s="7"/>
      <c r="O81" s="7">
        <f t="shared" si="14"/>
        <v>2</v>
      </c>
      <c r="P81" s="130">
        <v>3250</v>
      </c>
      <c r="Q81" s="119">
        <f t="shared" si="15"/>
        <v>6500</v>
      </c>
      <c r="R81" s="11">
        <f t="shared" si="9"/>
        <v>6500</v>
      </c>
      <c r="S81" s="11">
        <f t="shared" si="10"/>
        <v>0</v>
      </c>
      <c r="T81" s="11">
        <f t="shared" si="13"/>
        <v>0</v>
      </c>
      <c r="U81" s="11">
        <f t="shared" si="11"/>
        <v>0</v>
      </c>
      <c r="V81" s="11">
        <f t="shared" si="12"/>
        <v>0</v>
      </c>
      <c r="W81" s="11"/>
      <c r="X81" s="11"/>
      <c r="Y81" s="11"/>
      <c r="Z81" s="18"/>
      <c r="AA81" s="11"/>
      <c r="AB81" s="11"/>
      <c r="AC81" s="11"/>
    </row>
    <row r="82" spans="2:29" ht="15" customHeight="1">
      <c r="B82" s="131" t="s">
        <v>173</v>
      </c>
      <c r="C82" s="129">
        <v>1</v>
      </c>
      <c r="D82" s="22"/>
      <c r="E82" s="5"/>
      <c r="F82" s="5"/>
      <c r="G82" s="5"/>
      <c r="H82" s="5"/>
      <c r="I82" s="5"/>
      <c r="J82" s="7"/>
      <c r="K82" s="7"/>
      <c r="L82" s="7"/>
      <c r="M82" s="7"/>
      <c r="N82" s="7"/>
      <c r="O82" s="7">
        <f t="shared" si="14"/>
        <v>1</v>
      </c>
      <c r="P82" s="130">
        <v>6500</v>
      </c>
      <c r="Q82" s="119">
        <f t="shared" si="15"/>
        <v>6500</v>
      </c>
      <c r="R82" s="11">
        <f t="shared" si="9"/>
        <v>6500</v>
      </c>
      <c r="S82" s="11">
        <f t="shared" si="10"/>
        <v>0</v>
      </c>
      <c r="T82" s="11">
        <f t="shared" si="13"/>
        <v>0</v>
      </c>
      <c r="U82" s="11">
        <f t="shared" si="11"/>
        <v>0</v>
      </c>
      <c r="V82" s="11">
        <f t="shared" si="12"/>
        <v>0</v>
      </c>
      <c r="W82" s="11"/>
      <c r="X82" s="11"/>
      <c r="Y82" s="11"/>
      <c r="Z82" s="18"/>
      <c r="AA82" s="11"/>
      <c r="AB82" s="11"/>
      <c r="AC82" s="11"/>
    </row>
    <row r="83" spans="2:29">
      <c r="B83" s="131" t="s">
        <v>174</v>
      </c>
      <c r="C83" s="129">
        <v>2</v>
      </c>
      <c r="D83" s="22"/>
      <c r="E83" s="5"/>
      <c r="F83" s="5">
        <v>2</v>
      </c>
      <c r="G83" s="5"/>
      <c r="H83" s="5"/>
      <c r="I83" s="5"/>
      <c r="J83" s="7"/>
      <c r="K83" s="7"/>
      <c r="L83" s="7"/>
      <c r="M83" s="7"/>
      <c r="N83" s="7"/>
      <c r="O83" s="7">
        <f t="shared" si="14"/>
        <v>4</v>
      </c>
      <c r="P83" s="130">
        <v>10400</v>
      </c>
      <c r="Q83" s="119">
        <f t="shared" si="15"/>
        <v>41600</v>
      </c>
      <c r="R83" s="11">
        <f t="shared" si="9"/>
        <v>20800</v>
      </c>
      <c r="S83" s="11">
        <f t="shared" si="10"/>
        <v>0</v>
      </c>
      <c r="T83" s="11">
        <f t="shared" si="13"/>
        <v>0</v>
      </c>
      <c r="U83" s="11">
        <f t="shared" si="11"/>
        <v>20800</v>
      </c>
      <c r="V83" s="11">
        <f t="shared" si="12"/>
        <v>0</v>
      </c>
      <c r="W83" s="11"/>
      <c r="X83" s="11"/>
      <c r="Y83" s="11"/>
      <c r="Z83" s="18"/>
      <c r="AA83" s="11"/>
      <c r="AB83" s="11"/>
      <c r="AC83" s="11"/>
    </row>
    <row r="84" spans="2:29">
      <c r="B84" s="131" t="s">
        <v>175</v>
      </c>
      <c r="C84" s="129">
        <v>1</v>
      </c>
      <c r="D84" s="22"/>
      <c r="E84" s="5"/>
      <c r="F84" s="5"/>
      <c r="G84" s="5"/>
      <c r="H84" s="5"/>
      <c r="I84" s="5"/>
      <c r="J84" s="7"/>
      <c r="K84" s="7"/>
      <c r="L84" s="7"/>
      <c r="M84" s="7"/>
      <c r="N84" s="7"/>
      <c r="O84" s="7">
        <f t="shared" si="14"/>
        <v>1</v>
      </c>
      <c r="P84" s="130">
        <v>32500</v>
      </c>
      <c r="Q84" s="119">
        <f t="shared" si="15"/>
        <v>32500</v>
      </c>
      <c r="R84" s="11">
        <f t="shared" si="9"/>
        <v>32500</v>
      </c>
      <c r="S84" s="11">
        <f t="shared" si="10"/>
        <v>0</v>
      </c>
      <c r="T84" s="11">
        <f t="shared" si="13"/>
        <v>0</v>
      </c>
      <c r="U84" s="11">
        <f t="shared" si="11"/>
        <v>0</v>
      </c>
      <c r="V84" s="11">
        <f t="shared" si="12"/>
        <v>0</v>
      </c>
      <c r="W84" s="11"/>
      <c r="X84" s="11"/>
      <c r="Y84" s="11"/>
      <c r="Z84" s="18"/>
      <c r="AA84" s="11"/>
      <c r="AB84" s="11"/>
      <c r="AC84" s="11"/>
    </row>
    <row r="85" spans="2:29">
      <c r="B85" s="131" t="s">
        <v>176</v>
      </c>
      <c r="C85" s="129">
        <v>2</v>
      </c>
      <c r="D85" s="22"/>
      <c r="E85" s="5">
        <v>2</v>
      </c>
      <c r="F85" s="5">
        <v>1</v>
      </c>
      <c r="G85" s="5">
        <v>1</v>
      </c>
      <c r="H85" s="5"/>
      <c r="I85" s="5"/>
      <c r="J85" s="7"/>
      <c r="K85" s="7"/>
      <c r="L85" s="7"/>
      <c r="M85" s="7"/>
      <c r="N85" s="7"/>
      <c r="O85" s="7">
        <f t="shared" si="14"/>
        <v>6</v>
      </c>
      <c r="P85" s="130">
        <v>37050</v>
      </c>
      <c r="Q85" s="119">
        <f t="shared" si="15"/>
        <v>222300</v>
      </c>
      <c r="R85" s="11">
        <f t="shared" si="9"/>
        <v>74100</v>
      </c>
      <c r="S85" s="11">
        <f t="shared" si="10"/>
        <v>0</v>
      </c>
      <c r="T85" s="11">
        <f t="shared" si="13"/>
        <v>74100</v>
      </c>
      <c r="U85" s="11">
        <f t="shared" si="11"/>
        <v>37050</v>
      </c>
      <c r="V85" s="11">
        <f t="shared" si="12"/>
        <v>37050</v>
      </c>
      <c r="W85" s="11"/>
      <c r="X85" s="11"/>
      <c r="Y85" s="11"/>
      <c r="Z85" s="18"/>
      <c r="AA85" s="11"/>
      <c r="AB85" s="11"/>
      <c r="AC85" s="11"/>
    </row>
    <row r="86" spans="2:29">
      <c r="B86" s="131" t="s">
        <v>177</v>
      </c>
      <c r="C86" s="129">
        <v>48</v>
      </c>
      <c r="D86" s="22"/>
      <c r="E86" s="5"/>
      <c r="F86" s="5"/>
      <c r="G86" s="5"/>
      <c r="H86" s="5"/>
      <c r="I86" s="5"/>
      <c r="J86" s="7"/>
      <c r="K86" s="7"/>
      <c r="L86" s="7"/>
      <c r="M86" s="7"/>
      <c r="N86" s="7"/>
      <c r="O86" s="7">
        <f t="shared" si="14"/>
        <v>48</v>
      </c>
      <c r="P86" s="130">
        <v>2210</v>
      </c>
      <c r="Q86" s="119">
        <f t="shared" si="15"/>
        <v>106080</v>
      </c>
      <c r="R86" s="11">
        <f t="shared" si="9"/>
        <v>106080</v>
      </c>
      <c r="S86" s="11">
        <f t="shared" si="10"/>
        <v>0</v>
      </c>
      <c r="T86" s="11">
        <f t="shared" si="13"/>
        <v>0</v>
      </c>
      <c r="U86" s="11">
        <f t="shared" si="11"/>
        <v>0</v>
      </c>
      <c r="V86" s="11">
        <f t="shared" si="12"/>
        <v>0</v>
      </c>
      <c r="W86" s="11"/>
      <c r="X86" s="11"/>
      <c r="Y86" s="11"/>
      <c r="Z86" s="18"/>
      <c r="AA86" s="11"/>
      <c r="AB86" s="11"/>
      <c r="AC86" s="11"/>
    </row>
    <row r="87" spans="2:29">
      <c r="B87" s="131" t="s">
        <v>178</v>
      </c>
      <c r="C87" s="129">
        <v>1</v>
      </c>
      <c r="D87" s="22"/>
      <c r="E87" s="5"/>
      <c r="F87" s="5"/>
      <c r="G87" s="5"/>
      <c r="H87" s="5"/>
      <c r="I87" s="5"/>
      <c r="J87" s="7"/>
      <c r="K87" s="7"/>
      <c r="L87" s="7"/>
      <c r="M87" s="7"/>
      <c r="N87" s="7"/>
      <c r="O87" s="7">
        <f t="shared" si="14"/>
        <v>1</v>
      </c>
      <c r="P87" s="130">
        <v>56550</v>
      </c>
      <c r="Q87" s="119">
        <f t="shared" si="15"/>
        <v>56550</v>
      </c>
      <c r="R87" s="11">
        <f t="shared" si="9"/>
        <v>56550</v>
      </c>
      <c r="S87" s="11">
        <f t="shared" si="10"/>
        <v>0</v>
      </c>
      <c r="T87" s="11">
        <f t="shared" si="13"/>
        <v>0</v>
      </c>
      <c r="U87" s="11">
        <f t="shared" si="11"/>
        <v>0</v>
      </c>
      <c r="V87" s="11">
        <f t="shared" si="12"/>
        <v>0</v>
      </c>
      <c r="W87" s="11"/>
      <c r="X87" s="11"/>
      <c r="Y87" s="11"/>
      <c r="Z87" s="18"/>
      <c r="AA87" s="11"/>
      <c r="AB87" s="11"/>
      <c r="AC87" s="11"/>
    </row>
    <row r="88" spans="2:29">
      <c r="B88" s="131" t="s">
        <v>179</v>
      </c>
      <c r="C88" s="129">
        <v>1</v>
      </c>
      <c r="D88" s="22"/>
      <c r="E88" s="5"/>
      <c r="F88" s="5"/>
      <c r="G88" s="5"/>
      <c r="H88" s="5"/>
      <c r="I88" s="5"/>
      <c r="J88" s="7"/>
      <c r="K88" s="7"/>
      <c r="L88" s="7"/>
      <c r="M88" s="7"/>
      <c r="N88" s="7"/>
      <c r="O88" s="7">
        <f t="shared" si="14"/>
        <v>1</v>
      </c>
      <c r="P88" s="130">
        <v>63700</v>
      </c>
      <c r="Q88" s="119">
        <f t="shared" si="15"/>
        <v>63700</v>
      </c>
      <c r="R88" s="11">
        <f t="shared" si="9"/>
        <v>63700</v>
      </c>
      <c r="S88" s="11">
        <f t="shared" si="10"/>
        <v>0</v>
      </c>
      <c r="T88" s="11">
        <f t="shared" si="13"/>
        <v>0</v>
      </c>
      <c r="U88" s="11">
        <f t="shared" si="11"/>
        <v>0</v>
      </c>
      <c r="V88" s="11">
        <f t="shared" si="12"/>
        <v>0</v>
      </c>
      <c r="W88" s="11"/>
      <c r="X88" s="11"/>
      <c r="Y88" s="11"/>
      <c r="Z88" s="18"/>
      <c r="AA88" s="11"/>
      <c r="AB88" s="11"/>
      <c r="AC88" s="11"/>
    </row>
    <row r="89" spans="2:29">
      <c r="B89" s="4" t="s">
        <v>180</v>
      </c>
      <c r="C89" s="9">
        <v>1</v>
      </c>
      <c r="D89" s="5"/>
      <c r="E89" s="5"/>
      <c r="F89" s="5"/>
      <c r="G89" s="5"/>
      <c r="H89" s="5"/>
      <c r="I89" s="5"/>
      <c r="J89" s="7"/>
      <c r="K89" s="7"/>
      <c r="L89" s="7"/>
      <c r="M89" s="7"/>
      <c r="N89" s="7"/>
      <c r="O89" s="7">
        <f t="shared" si="14"/>
        <v>1</v>
      </c>
      <c r="P89" s="14">
        <v>35100</v>
      </c>
      <c r="Q89" s="119">
        <f t="shared" si="15"/>
        <v>35100</v>
      </c>
      <c r="R89" s="11">
        <f t="shared" si="9"/>
        <v>35100</v>
      </c>
      <c r="S89" s="11">
        <f t="shared" si="10"/>
        <v>0</v>
      </c>
      <c r="T89" s="11">
        <f t="shared" si="13"/>
        <v>0</v>
      </c>
      <c r="U89" s="11">
        <f t="shared" si="11"/>
        <v>0</v>
      </c>
      <c r="V89" s="11">
        <f t="shared" si="12"/>
        <v>0</v>
      </c>
      <c r="W89" s="11"/>
      <c r="X89" s="11"/>
      <c r="Y89" s="11"/>
      <c r="Z89" s="18"/>
      <c r="AA89" s="11"/>
      <c r="AB89" s="11"/>
      <c r="AC89" s="11"/>
    </row>
    <row r="90" spans="2:29">
      <c r="B90" s="4" t="s">
        <v>181</v>
      </c>
      <c r="C90" s="9">
        <v>1</v>
      </c>
      <c r="D90" s="5"/>
      <c r="E90" s="5"/>
      <c r="F90" s="5">
        <v>1</v>
      </c>
      <c r="G90" s="5"/>
      <c r="H90" s="5"/>
      <c r="I90" s="5"/>
      <c r="J90" s="7"/>
      <c r="K90" s="7"/>
      <c r="L90" s="7"/>
      <c r="M90" s="7"/>
      <c r="N90" s="7"/>
      <c r="O90" s="7">
        <f t="shared" si="14"/>
        <v>2</v>
      </c>
      <c r="P90" s="14">
        <v>52000</v>
      </c>
      <c r="Q90" s="119">
        <f t="shared" si="15"/>
        <v>104000</v>
      </c>
      <c r="R90" s="11">
        <f t="shared" si="9"/>
        <v>52000</v>
      </c>
      <c r="S90" s="11">
        <f t="shared" si="10"/>
        <v>0</v>
      </c>
      <c r="T90" s="11">
        <f t="shared" si="13"/>
        <v>0</v>
      </c>
      <c r="U90" s="11">
        <f t="shared" si="11"/>
        <v>52000</v>
      </c>
      <c r="V90" s="11">
        <f t="shared" si="12"/>
        <v>0</v>
      </c>
      <c r="W90" s="11"/>
      <c r="X90" s="11"/>
      <c r="Y90" s="11"/>
      <c r="Z90" s="18"/>
      <c r="AA90" s="11"/>
      <c r="AB90" s="11"/>
      <c r="AC90" s="11"/>
    </row>
    <row r="91" spans="2:29">
      <c r="B91" s="8" t="s">
        <v>182</v>
      </c>
      <c r="C91" s="9">
        <v>1</v>
      </c>
      <c r="D91" s="5"/>
      <c r="E91" s="5"/>
      <c r="F91" s="5"/>
      <c r="G91" s="5"/>
      <c r="H91" s="5"/>
      <c r="I91" s="5"/>
      <c r="J91" s="7"/>
      <c r="K91" s="7"/>
      <c r="L91" s="7"/>
      <c r="M91" s="7"/>
      <c r="N91" s="7"/>
      <c r="O91" s="7">
        <f t="shared" si="14"/>
        <v>1</v>
      </c>
      <c r="P91" s="14">
        <v>507000</v>
      </c>
      <c r="Q91" s="119">
        <f t="shared" si="15"/>
        <v>507000</v>
      </c>
      <c r="R91" s="11">
        <f t="shared" si="9"/>
        <v>507000</v>
      </c>
      <c r="S91" s="11">
        <f t="shared" si="10"/>
        <v>0</v>
      </c>
      <c r="T91" s="11">
        <f t="shared" si="13"/>
        <v>0</v>
      </c>
      <c r="U91" s="11">
        <f t="shared" si="11"/>
        <v>0</v>
      </c>
      <c r="V91" s="11">
        <f t="shared" si="12"/>
        <v>0</v>
      </c>
      <c r="W91" s="11"/>
      <c r="X91" s="11"/>
      <c r="Y91" s="11"/>
      <c r="Z91" s="18"/>
      <c r="AA91" s="11"/>
      <c r="AB91" s="11"/>
      <c r="AC91" s="11"/>
    </row>
    <row r="92" spans="2:29">
      <c r="B92" s="4" t="s">
        <v>183</v>
      </c>
      <c r="C92" s="9">
        <v>1</v>
      </c>
      <c r="D92" s="5"/>
      <c r="E92" s="5"/>
      <c r="F92" s="5"/>
      <c r="G92" s="5"/>
      <c r="H92" s="5"/>
      <c r="I92" s="5"/>
      <c r="J92" s="7"/>
      <c r="K92" s="7"/>
      <c r="L92" s="7"/>
      <c r="M92" s="7"/>
      <c r="N92" s="7"/>
      <c r="O92" s="7">
        <f t="shared" si="14"/>
        <v>1</v>
      </c>
      <c r="P92" s="15">
        <v>51600</v>
      </c>
      <c r="Q92" s="119">
        <f t="shared" si="15"/>
        <v>51600</v>
      </c>
      <c r="R92" s="11">
        <f t="shared" si="9"/>
        <v>51600</v>
      </c>
      <c r="S92" s="11">
        <f t="shared" si="10"/>
        <v>0</v>
      </c>
      <c r="T92" s="11">
        <f t="shared" si="13"/>
        <v>0</v>
      </c>
      <c r="U92" s="11">
        <f t="shared" si="11"/>
        <v>0</v>
      </c>
      <c r="V92" s="11">
        <f t="shared" si="12"/>
        <v>0</v>
      </c>
      <c r="W92" s="11"/>
      <c r="X92" s="11"/>
      <c r="Y92" s="11"/>
      <c r="Z92" s="18"/>
      <c r="AA92" s="11"/>
      <c r="AB92" s="11"/>
      <c r="AC92" s="11"/>
    </row>
    <row r="93" spans="2:29">
      <c r="B93" s="4" t="s">
        <v>184</v>
      </c>
      <c r="C93" s="9">
        <v>3</v>
      </c>
      <c r="D93" s="5"/>
      <c r="E93" s="5"/>
      <c r="F93" s="5"/>
      <c r="G93" s="5"/>
      <c r="H93" s="5"/>
      <c r="I93" s="5"/>
      <c r="J93" s="7"/>
      <c r="K93" s="7"/>
      <c r="L93" s="7"/>
      <c r="M93" s="7"/>
      <c r="N93" s="7"/>
      <c r="O93" s="7">
        <f t="shared" si="14"/>
        <v>3</v>
      </c>
      <c r="P93" s="14">
        <v>65000</v>
      </c>
      <c r="Q93" s="119">
        <f t="shared" si="15"/>
        <v>195000</v>
      </c>
      <c r="R93" s="11">
        <f t="shared" si="9"/>
        <v>195000</v>
      </c>
      <c r="S93" s="11">
        <f t="shared" si="10"/>
        <v>0</v>
      </c>
      <c r="T93" s="11">
        <f t="shared" si="13"/>
        <v>0</v>
      </c>
      <c r="U93" s="11">
        <f t="shared" si="11"/>
        <v>0</v>
      </c>
      <c r="V93" s="11">
        <f t="shared" si="12"/>
        <v>0</v>
      </c>
      <c r="W93" s="11"/>
      <c r="X93" s="11"/>
      <c r="Y93" s="11"/>
      <c r="Z93" s="18"/>
      <c r="AA93" s="11"/>
      <c r="AB93" s="11"/>
      <c r="AC93" s="11"/>
    </row>
    <row r="94" spans="2:29">
      <c r="B94" s="4" t="s">
        <v>185</v>
      </c>
      <c r="C94" s="9">
        <v>2</v>
      </c>
      <c r="D94" s="5"/>
      <c r="E94" s="5"/>
      <c r="F94" s="5"/>
      <c r="G94" s="5">
        <v>3</v>
      </c>
      <c r="H94" s="5"/>
      <c r="I94" s="5"/>
      <c r="J94" s="7"/>
      <c r="K94" s="7"/>
      <c r="L94" s="7"/>
      <c r="M94" s="7"/>
      <c r="N94" s="7"/>
      <c r="O94" s="7">
        <f t="shared" si="14"/>
        <v>5</v>
      </c>
      <c r="P94" s="14">
        <v>5850</v>
      </c>
      <c r="Q94" s="119">
        <f t="shared" si="15"/>
        <v>29250</v>
      </c>
      <c r="R94" s="11">
        <f t="shared" si="9"/>
        <v>11700</v>
      </c>
      <c r="S94" s="11">
        <f t="shared" si="10"/>
        <v>0</v>
      </c>
      <c r="T94" s="11">
        <f t="shared" si="13"/>
        <v>0</v>
      </c>
      <c r="U94" s="11">
        <f t="shared" si="11"/>
        <v>0</v>
      </c>
      <c r="V94" s="11">
        <f t="shared" si="12"/>
        <v>17550</v>
      </c>
      <c r="W94" s="11"/>
      <c r="X94" s="11"/>
      <c r="Y94" s="11"/>
      <c r="Z94" s="18"/>
      <c r="AA94" s="11"/>
      <c r="AB94" s="11"/>
      <c r="AC94" s="11"/>
    </row>
    <row r="95" spans="2:29">
      <c r="B95" s="4" t="s">
        <v>186</v>
      </c>
      <c r="C95" s="9">
        <v>2</v>
      </c>
      <c r="D95" s="5"/>
      <c r="E95" s="5"/>
      <c r="F95" s="5"/>
      <c r="G95" s="5">
        <v>3</v>
      </c>
      <c r="H95" s="5"/>
      <c r="I95" s="5"/>
      <c r="J95" s="7"/>
      <c r="K95" s="7"/>
      <c r="L95" s="7"/>
      <c r="M95" s="7"/>
      <c r="N95" s="7"/>
      <c r="O95" s="7">
        <f t="shared" si="14"/>
        <v>5</v>
      </c>
      <c r="P95" s="14">
        <v>5850</v>
      </c>
      <c r="Q95" s="119">
        <f t="shared" si="15"/>
        <v>29250</v>
      </c>
      <c r="R95" s="11">
        <f t="shared" si="9"/>
        <v>11700</v>
      </c>
      <c r="S95" s="11">
        <f t="shared" si="10"/>
        <v>0</v>
      </c>
      <c r="T95" s="11">
        <f t="shared" si="13"/>
        <v>0</v>
      </c>
      <c r="U95" s="11">
        <f t="shared" si="11"/>
        <v>0</v>
      </c>
      <c r="V95" s="11">
        <f t="shared" si="12"/>
        <v>17550</v>
      </c>
      <c r="W95" s="11"/>
      <c r="X95" s="11"/>
      <c r="Y95" s="11"/>
      <c r="Z95" s="18"/>
      <c r="AA95" s="11"/>
      <c r="AB95" s="11"/>
      <c r="AC95" s="11"/>
    </row>
    <row r="96" spans="2:29">
      <c r="B96" s="4" t="s">
        <v>187</v>
      </c>
      <c r="C96" s="9">
        <v>12</v>
      </c>
      <c r="D96" s="5"/>
      <c r="E96" s="5"/>
      <c r="F96" s="5"/>
      <c r="G96" s="5">
        <v>25</v>
      </c>
      <c r="H96" s="5"/>
      <c r="I96" s="5"/>
      <c r="J96" s="7"/>
      <c r="K96" s="7"/>
      <c r="L96" s="7"/>
      <c r="M96" s="7"/>
      <c r="N96" s="7"/>
      <c r="O96" s="7">
        <f t="shared" si="14"/>
        <v>37</v>
      </c>
      <c r="P96" s="14">
        <v>5850</v>
      </c>
      <c r="Q96" s="119">
        <f t="shared" si="15"/>
        <v>216450</v>
      </c>
      <c r="R96" s="11">
        <f t="shared" si="9"/>
        <v>70200</v>
      </c>
      <c r="S96" s="11">
        <f t="shared" si="10"/>
        <v>0</v>
      </c>
      <c r="T96" s="11">
        <f t="shared" si="13"/>
        <v>0</v>
      </c>
      <c r="U96" s="11">
        <f t="shared" si="11"/>
        <v>0</v>
      </c>
      <c r="V96" s="11">
        <f t="shared" si="12"/>
        <v>146250</v>
      </c>
      <c r="W96" s="11"/>
      <c r="X96" s="11"/>
      <c r="Y96" s="11"/>
      <c r="Z96" s="18"/>
      <c r="AA96" s="11"/>
      <c r="AB96" s="11"/>
      <c r="AC96" s="11"/>
    </row>
    <row r="97" spans="2:29">
      <c r="B97" s="4" t="s">
        <v>188</v>
      </c>
      <c r="C97" s="9">
        <v>1</v>
      </c>
      <c r="D97" s="5"/>
      <c r="E97" s="5"/>
      <c r="F97" s="5"/>
      <c r="G97" s="5"/>
      <c r="H97" s="5"/>
      <c r="I97" s="5"/>
      <c r="J97" s="7"/>
      <c r="K97" s="7"/>
      <c r="L97" s="7"/>
      <c r="M97" s="7"/>
      <c r="N97" s="7"/>
      <c r="O97" s="7">
        <f t="shared" si="14"/>
        <v>1</v>
      </c>
      <c r="P97" s="14">
        <v>11050</v>
      </c>
      <c r="Q97" s="119">
        <f t="shared" si="15"/>
        <v>11050</v>
      </c>
      <c r="R97" s="11">
        <f t="shared" si="9"/>
        <v>11050</v>
      </c>
      <c r="S97" s="11">
        <f t="shared" si="10"/>
        <v>0</v>
      </c>
      <c r="T97" s="11">
        <f t="shared" si="13"/>
        <v>0</v>
      </c>
      <c r="U97" s="11">
        <f t="shared" si="11"/>
        <v>0</v>
      </c>
      <c r="V97" s="11">
        <f t="shared" si="12"/>
        <v>0</v>
      </c>
      <c r="W97" s="11"/>
      <c r="X97" s="11"/>
      <c r="Y97" s="11"/>
      <c r="Z97" s="18"/>
      <c r="AA97" s="11"/>
      <c r="AB97" s="11"/>
      <c r="AC97" s="11"/>
    </row>
    <row r="98" spans="2:29">
      <c r="B98" s="4" t="s">
        <v>189</v>
      </c>
      <c r="C98" s="9">
        <v>1</v>
      </c>
      <c r="D98" s="5"/>
      <c r="E98" s="5"/>
      <c r="F98" s="5"/>
      <c r="G98" s="5"/>
      <c r="H98" s="5"/>
      <c r="I98" s="5"/>
      <c r="J98" s="7"/>
      <c r="K98" s="7"/>
      <c r="L98" s="7"/>
      <c r="M98" s="7"/>
      <c r="N98" s="7"/>
      <c r="O98" s="7">
        <f t="shared" si="14"/>
        <v>1</v>
      </c>
      <c r="P98" s="14">
        <v>3250</v>
      </c>
      <c r="Q98" s="119">
        <f t="shared" si="15"/>
        <v>3250</v>
      </c>
      <c r="R98" s="11">
        <f t="shared" si="9"/>
        <v>3250</v>
      </c>
      <c r="S98" s="11">
        <f t="shared" si="10"/>
        <v>0</v>
      </c>
      <c r="T98" s="11">
        <f t="shared" si="13"/>
        <v>0</v>
      </c>
      <c r="U98" s="11">
        <f t="shared" si="11"/>
        <v>0</v>
      </c>
      <c r="V98" s="11">
        <f t="shared" si="12"/>
        <v>0</v>
      </c>
      <c r="W98" s="11"/>
      <c r="X98" s="11"/>
      <c r="Y98" s="11"/>
      <c r="Z98" s="18"/>
      <c r="AA98" s="11"/>
      <c r="AB98" s="11"/>
      <c r="AC98" s="11"/>
    </row>
    <row r="99" spans="2:29">
      <c r="B99" s="4" t="s">
        <v>190</v>
      </c>
      <c r="C99" s="9">
        <v>2</v>
      </c>
      <c r="D99" s="5"/>
      <c r="E99" s="5"/>
      <c r="F99" s="5"/>
      <c r="G99" s="5"/>
      <c r="H99" s="5"/>
      <c r="I99" s="5"/>
      <c r="J99" s="7"/>
      <c r="K99" s="7"/>
      <c r="L99" s="7"/>
      <c r="M99" s="7"/>
      <c r="N99" s="7"/>
      <c r="O99" s="7">
        <f t="shared" si="14"/>
        <v>2</v>
      </c>
      <c r="P99" s="14">
        <v>19500</v>
      </c>
      <c r="Q99" s="119">
        <f t="shared" si="15"/>
        <v>39000</v>
      </c>
      <c r="R99" s="11">
        <f t="shared" si="9"/>
        <v>39000</v>
      </c>
      <c r="S99" s="11">
        <f t="shared" si="10"/>
        <v>0</v>
      </c>
      <c r="T99" s="11">
        <f t="shared" si="13"/>
        <v>0</v>
      </c>
      <c r="U99" s="11">
        <f t="shared" si="11"/>
        <v>0</v>
      </c>
      <c r="V99" s="11">
        <f t="shared" si="12"/>
        <v>0</v>
      </c>
      <c r="W99" s="11"/>
      <c r="X99" s="11"/>
      <c r="Y99" s="11"/>
      <c r="Z99" s="18"/>
      <c r="AA99" s="11"/>
      <c r="AB99" s="11"/>
      <c r="AC99" s="11"/>
    </row>
    <row r="100" spans="2:29">
      <c r="B100" s="4" t="s">
        <v>191</v>
      </c>
      <c r="C100" s="9">
        <v>100</v>
      </c>
      <c r="D100" s="5"/>
      <c r="E100" s="5"/>
      <c r="F100" s="5"/>
      <c r="G100" s="5"/>
      <c r="H100" s="5"/>
      <c r="I100" s="5"/>
      <c r="J100" s="7"/>
      <c r="K100" s="7"/>
      <c r="L100" s="7"/>
      <c r="M100" s="7"/>
      <c r="N100" s="7"/>
      <c r="O100" s="7">
        <f t="shared" si="14"/>
        <v>100</v>
      </c>
      <c r="P100" s="14">
        <v>1702</v>
      </c>
      <c r="Q100" s="119">
        <f t="shared" si="15"/>
        <v>170200</v>
      </c>
      <c r="R100" s="11">
        <f t="shared" si="9"/>
        <v>170200</v>
      </c>
      <c r="S100" s="11">
        <f t="shared" si="10"/>
        <v>0</v>
      </c>
      <c r="T100" s="11">
        <f t="shared" si="13"/>
        <v>0</v>
      </c>
      <c r="U100" s="11">
        <f t="shared" si="11"/>
        <v>0</v>
      </c>
      <c r="V100" s="11">
        <f t="shared" si="12"/>
        <v>0</v>
      </c>
      <c r="W100" s="11"/>
      <c r="X100" s="11"/>
      <c r="Y100" s="11"/>
      <c r="Z100" s="18"/>
      <c r="AA100" s="11"/>
      <c r="AB100" s="11"/>
      <c r="AC100" s="11"/>
    </row>
    <row r="101" spans="2:29">
      <c r="B101" s="4" t="s">
        <v>192</v>
      </c>
      <c r="C101" s="9">
        <v>1</v>
      </c>
      <c r="D101" s="5">
        <v>2</v>
      </c>
      <c r="E101" s="5"/>
      <c r="F101" s="5"/>
      <c r="G101" s="5"/>
      <c r="H101" s="5"/>
      <c r="I101" s="5"/>
      <c r="J101" s="7"/>
      <c r="K101" s="7"/>
      <c r="L101" s="7"/>
      <c r="M101" s="7"/>
      <c r="N101" s="7"/>
      <c r="O101" s="7">
        <f t="shared" si="14"/>
        <v>3</v>
      </c>
      <c r="P101" s="14">
        <v>89000</v>
      </c>
      <c r="Q101" s="119">
        <f t="shared" si="15"/>
        <v>267000</v>
      </c>
      <c r="R101" s="11">
        <f t="shared" si="9"/>
        <v>89000</v>
      </c>
      <c r="S101" s="11">
        <f t="shared" si="10"/>
        <v>178000</v>
      </c>
      <c r="T101" s="11">
        <f t="shared" si="13"/>
        <v>0</v>
      </c>
      <c r="U101" s="11">
        <f t="shared" si="11"/>
        <v>0</v>
      </c>
      <c r="V101" s="11">
        <f t="shared" si="12"/>
        <v>0</v>
      </c>
      <c r="W101" s="11"/>
      <c r="X101" s="11"/>
      <c r="Y101" s="11"/>
      <c r="Z101" s="18"/>
      <c r="AA101" s="11"/>
      <c r="AB101" s="11"/>
      <c r="AC101" s="11"/>
    </row>
    <row r="102" spans="2:29">
      <c r="B102" s="4" t="s">
        <v>193</v>
      </c>
      <c r="C102" s="9">
        <v>1</v>
      </c>
      <c r="D102" s="5"/>
      <c r="E102" s="5"/>
      <c r="F102" s="5"/>
      <c r="G102" s="5"/>
      <c r="H102" s="5"/>
      <c r="I102" s="5"/>
      <c r="J102" s="7"/>
      <c r="K102" s="7"/>
      <c r="L102" s="7"/>
      <c r="M102" s="7"/>
      <c r="N102" s="7"/>
      <c r="O102" s="7">
        <f t="shared" si="14"/>
        <v>1</v>
      </c>
      <c r="P102" s="14">
        <v>28000</v>
      </c>
      <c r="Q102" s="119">
        <f t="shared" si="15"/>
        <v>28000</v>
      </c>
      <c r="R102" s="11">
        <f t="shared" si="9"/>
        <v>28000</v>
      </c>
      <c r="S102" s="11">
        <f t="shared" si="10"/>
        <v>0</v>
      </c>
      <c r="T102" s="11">
        <f t="shared" si="13"/>
        <v>0</v>
      </c>
      <c r="U102" s="11">
        <f t="shared" si="11"/>
        <v>0</v>
      </c>
      <c r="V102" s="11">
        <f t="shared" si="12"/>
        <v>0</v>
      </c>
      <c r="W102" s="11"/>
      <c r="X102" s="11"/>
      <c r="Y102" s="11"/>
      <c r="Z102" s="18"/>
      <c r="AA102" s="11"/>
      <c r="AB102" s="11"/>
      <c r="AC102" s="11"/>
    </row>
    <row r="103" spans="2:29">
      <c r="B103" s="4" t="s">
        <v>194</v>
      </c>
      <c r="C103" s="9">
        <v>2</v>
      </c>
      <c r="D103" s="5"/>
      <c r="E103" s="5">
        <v>2</v>
      </c>
      <c r="F103" s="5">
        <v>2</v>
      </c>
      <c r="G103" s="5">
        <v>3</v>
      </c>
      <c r="H103" s="5"/>
      <c r="I103" s="5"/>
      <c r="J103" s="7"/>
      <c r="K103" s="7"/>
      <c r="L103" s="7"/>
      <c r="M103" s="7"/>
      <c r="N103" s="7"/>
      <c r="O103" s="7">
        <f t="shared" si="14"/>
        <v>9</v>
      </c>
      <c r="P103" s="14">
        <v>41000</v>
      </c>
      <c r="Q103" s="119">
        <f t="shared" si="15"/>
        <v>369000</v>
      </c>
      <c r="R103" s="11">
        <f t="shared" si="9"/>
        <v>82000</v>
      </c>
      <c r="S103" s="11">
        <f t="shared" si="10"/>
        <v>0</v>
      </c>
      <c r="T103" s="11">
        <f t="shared" si="13"/>
        <v>82000</v>
      </c>
      <c r="U103" s="11">
        <f t="shared" si="11"/>
        <v>82000</v>
      </c>
      <c r="V103" s="11">
        <f t="shared" si="12"/>
        <v>123000</v>
      </c>
      <c r="W103" s="11"/>
      <c r="X103" s="11"/>
      <c r="Y103" s="11"/>
      <c r="Z103" s="18"/>
      <c r="AA103" s="11"/>
      <c r="AB103" s="11"/>
      <c r="AC103" s="11"/>
    </row>
    <row r="104" spans="2:29">
      <c r="B104" s="4" t="s">
        <v>195</v>
      </c>
      <c r="C104" s="9">
        <v>2</v>
      </c>
      <c r="D104" s="5"/>
      <c r="E104" s="5">
        <v>2</v>
      </c>
      <c r="F104" s="5"/>
      <c r="G104" s="5"/>
      <c r="H104" s="5"/>
      <c r="I104" s="5"/>
      <c r="J104" s="7"/>
      <c r="K104" s="7"/>
      <c r="L104" s="7"/>
      <c r="M104" s="7"/>
      <c r="N104" s="7"/>
      <c r="O104" s="7">
        <f t="shared" si="14"/>
        <v>4</v>
      </c>
      <c r="P104" s="14">
        <v>2936</v>
      </c>
      <c r="Q104" s="119">
        <f t="shared" si="15"/>
        <v>11744</v>
      </c>
      <c r="R104" s="11">
        <f t="shared" si="9"/>
        <v>5872</v>
      </c>
      <c r="S104" s="11">
        <f t="shared" si="10"/>
        <v>0</v>
      </c>
      <c r="T104" s="11">
        <f t="shared" si="13"/>
        <v>5872</v>
      </c>
      <c r="U104" s="11">
        <f t="shared" si="11"/>
        <v>0</v>
      </c>
      <c r="V104" s="11">
        <f t="shared" si="12"/>
        <v>0</v>
      </c>
      <c r="W104" s="11"/>
      <c r="X104" s="11"/>
      <c r="Y104" s="11"/>
      <c r="Z104" s="18"/>
      <c r="AA104" s="11"/>
      <c r="AB104" s="11"/>
      <c r="AC104" s="11"/>
    </row>
    <row r="105" spans="2:29">
      <c r="B105" s="4" t="s">
        <v>196</v>
      </c>
      <c r="C105" s="9">
        <v>6</v>
      </c>
      <c r="D105" s="5"/>
      <c r="E105" s="5"/>
      <c r="F105" s="5"/>
      <c r="G105" s="5"/>
      <c r="H105" s="5"/>
      <c r="I105" s="5"/>
      <c r="J105" s="7"/>
      <c r="K105" s="7"/>
      <c r="L105" s="7"/>
      <c r="M105" s="7"/>
      <c r="N105" s="7"/>
      <c r="O105" s="7">
        <f t="shared" si="14"/>
        <v>6</v>
      </c>
      <c r="P105" s="14">
        <v>7900</v>
      </c>
      <c r="Q105" s="119">
        <f t="shared" si="15"/>
        <v>47400</v>
      </c>
      <c r="R105" s="11">
        <f t="shared" si="9"/>
        <v>47400</v>
      </c>
      <c r="S105" s="11">
        <f t="shared" si="10"/>
        <v>0</v>
      </c>
      <c r="T105" s="11">
        <f t="shared" si="13"/>
        <v>0</v>
      </c>
      <c r="U105" s="11">
        <f t="shared" si="11"/>
        <v>0</v>
      </c>
      <c r="V105" s="11">
        <f t="shared" si="12"/>
        <v>0</v>
      </c>
      <c r="W105" s="11"/>
      <c r="X105" s="11"/>
      <c r="Y105" s="11"/>
      <c r="Z105" s="18"/>
      <c r="AA105" s="11"/>
      <c r="AB105" s="11"/>
      <c r="AC105" s="11"/>
    </row>
    <row r="106" spans="2:29">
      <c r="B106" s="4" t="s">
        <v>281</v>
      </c>
      <c r="C106" s="9"/>
      <c r="D106" s="5"/>
      <c r="E106" s="5">
        <v>2</v>
      </c>
      <c r="F106" s="5"/>
      <c r="G106" s="5">
        <v>2</v>
      </c>
      <c r="H106" s="5"/>
      <c r="I106" s="5"/>
      <c r="J106" s="7"/>
      <c r="K106" s="7"/>
      <c r="L106" s="7"/>
      <c r="M106" s="7"/>
      <c r="N106" s="7"/>
      <c r="O106" s="7">
        <f t="shared" si="14"/>
        <v>4</v>
      </c>
      <c r="P106" s="14">
        <v>26500</v>
      </c>
      <c r="Q106" s="119">
        <f t="shared" si="15"/>
        <v>106000</v>
      </c>
      <c r="R106" s="11"/>
      <c r="S106" s="11">
        <f t="shared" si="10"/>
        <v>0</v>
      </c>
      <c r="T106" s="11">
        <f t="shared" si="13"/>
        <v>53000</v>
      </c>
      <c r="U106" s="11">
        <f t="shared" si="11"/>
        <v>0</v>
      </c>
      <c r="V106" s="11">
        <f t="shared" si="12"/>
        <v>53000</v>
      </c>
      <c r="W106" s="11"/>
      <c r="X106" s="11"/>
      <c r="Y106" s="11"/>
      <c r="Z106" s="18"/>
      <c r="AA106" s="11"/>
      <c r="AB106" s="11"/>
      <c r="AC106" s="11"/>
    </row>
    <row r="107" spans="2:29">
      <c r="B107" s="4" t="s">
        <v>197</v>
      </c>
      <c r="C107" s="9">
        <v>1</v>
      </c>
      <c r="D107" s="5"/>
      <c r="E107" s="5"/>
      <c r="F107" s="5"/>
      <c r="G107" s="5"/>
      <c r="H107" s="5"/>
      <c r="I107" s="5"/>
      <c r="J107" s="7"/>
      <c r="K107" s="7"/>
      <c r="L107" s="7"/>
      <c r="M107" s="7"/>
      <c r="N107" s="7"/>
      <c r="O107" s="7">
        <f t="shared" si="14"/>
        <v>1</v>
      </c>
      <c r="P107" s="14">
        <v>97000</v>
      </c>
      <c r="Q107" s="119">
        <f t="shared" si="15"/>
        <v>97000</v>
      </c>
      <c r="R107" s="11">
        <f t="shared" si="9"/>
        <v>97000</v>
      </c>
      <c r="S107" s="11">
        <f t="shared" si="10"/>
        <v>0</v>
      </c>
      <c r="T107" s="11">
        <f t="shared" si="13"/>
        <v>0</v>
      </c>
      <c r="U107" s="11">
        <f t="shared" si="11"/>
        <v>0</v>
      </c>
      <c r="V107" s="11">
        <f t="shared" si="12"/>
        <v>0</v>
      </c>
      <c r="W107" s="11"/>
      <c r="X107" s="11"/>
      <c r="Y107" s="11"/>
      <c r="Z107" s="18"/>
      <c r="AA107" s="11"/>
      <c r="AB107" s="11"/>
      <c r="AC107" s="11"/>
    </row>
    <row r="108" spans="2:29">
      <c r="B108" s="4" t="s">
        <v>198</v>
      </c>
      <c r="C108" s="9">
        <v>3</v>
      </c>
      <c r="D108" s="5"/>
      <c r="E108" s="5">
        <v>2</v>
      </c>
      <c r="F108" s="5"/>
      <c r="G108" s="5">
        <v>6</v>
      </c>
      <c r="H108" s="5"/>
      <c r="I108" s="5"/>
      <c r="J108" s="7"/>
      <c r="K108" s="7"/>
      <c r="L108" s="7"/>
      <c r="M108" s="7"/>
      <c r="N108" s="7"/>
      <c r="O108" s="7">
        <f t="shared" si="14"/>
        <v>11</v>
      </c>
      <c r="P108" s="14">
        <v>12800</v>
      </c>
      <c r="Q108" s="119">
        <f t="shared" si="15"/>
        <v>140800</v>
      </c>
      <c r="R108" s="11">
        <f t="shared" si="9"/>
        <v>38400</v>
      </c>
      <c r="S108" s="11">
        <f t="shared" si="10"/>
        <v>0</v>
      </c>
      <c r="T108" s="11">
        <f t="shared" si="13"/>
        <v>25600</v>
      </c>
      <c r="U108" s="11">
        <f t="shared" si="11"/>
        <v>0</v>
      </c>
      <c r="V108" s="11">
        <f t="shared" si="12"/>
        <v>76800</v>
      </c>
      <c r="W108" s="11"/>
      <c r="X108" s="11"/>
      <c r="Y108" s="11"/>
      <c r="Z108" s="18"/>
      <c r="AA108" s="11"/>
      <c r="AB108" s="11"/>
      <c r="AC108" s="11"/>
    </row>
    <row r="109" spans="2:29">
      <c r="B109" s="132" t="s">
        <v>199</v>
      </c>
      <c r="C109" s="133">
        <v>1</v>
      </c>
      <c r="D109" s="134"/>
      <c r="E109" s="5"/>
      <c r="F109" s="5">
        <v>2</v>
      </c>
      <c r="G109" s="5"/>
      <c r="H109" s="5"/>
      <c r="I109" s="5"/>
      <c r="J109" s="7"/>
      <c r="K109" s="7"/>
      <c r="L109" s="7"/>
      <c r="M109" s="7"/>
      <c r="N109" s="7"/>
      <c r="O109" s="7">
        <f t="shared" si="14"/>
        <v>3</v>
      </c>
      <c r="P109" s="14">
        <v>41000</v>
      </c>
      <c r="Q109" s="119">
        <f t="shared" si="15"/>
        <v>123000</v>
      </c>
      <c r="R109" s="11">
        <f t="shared" si="9"/>
        <v>41000</v>
      </c>
      <c r="S109" s="11">
        <f t="shared" si="10"/>
        <v>0</v>
      </c>
      <c r="T109" s="11">
        <f t="shared" si="13"/>
        <v>0</v>
      </c>
      <c r="U109" s="11">
        <f t="shared" si="11"/>
        <v>82000</v>
      </c>
      <c r="V109" s="11">
        <f t="shared" si="12"/>
        <v>0</v>
      </c>
      <c r="W109" s="11"/>
      <c r="X109" s="11"/>
      <c r="Y109" s="11"/>
      <c r="Z109" s="18"/>
      <c r="AA109" s="11"/>
      <c r="AB109" s="11"/>
      <c r="AC109" s="11"/>
    </row>
    <row r="110" spans="2:29">
      <c r="B110" s="135" t="s">
        <v>200</v>
      </c>
      <c r="C110" s="136">
        <v>1</v>
      </c>
      <c r="D110" s="137"/>
      <c r="E110" s="5"/>
      <c r="F110" s="5"/>
      <c r="G110" s="5">
        <v>1</v>
      </c>
      <c r="H110" s="5"/>
      <c r="I110" s="5"/>
      <c r="J110" s="7"/>
      <c r="K110" s="7"/>
      <c r="L110" s="7"/>
      <c r="M110" s="7"/>
      <c r="N110" s="7"/>
      <c r="O110" s="7">
        <f t="shared" si="14"/>
        <v>2</v>
      </c>
      <c r="P110" s="14">
        <v>41000</v>
      </c>
      <c r="Q110" s="119">
        <f t="shared" si="15"/>
        <v>82000</v>
      </c>
      <c r="R110" s="11">
        <f t="shared" si="9"/>
        <v>41000</v>
      </c>
      <c r="S110" s="11">
        <f t="shared" si="10"/>
        <v>0</v>
      </c>
      <c r="T110" s="11">
        <f t="shared" si="13"/>
        <v>0</v>
      </c>
      <c r="U110" s="11">
        <f t="shared" si="11"/>
        <v>0</v>
      </c>
      <c r="V110" s="11">
        <f t="shared" si="12"/>
        <v>41000</v>
      </c>
      <c r="W110" s="11"/>
      <c r="X110" s="11"/>
      <c r="Y110" s="11"/>
      <c r="Z110" s="18"/>
      <c r="AA110" s="11"/>
      <c r="AB110" s="11"/>
      <c r="AC110" s="11"/>
    </row>
    <row r="111" spans="2:29">
      <c r="B111" s="132" t="s">
        <v>201</v>
      </c>
      <c r="C111" s="133">
        <v>2</v>
      </c>
      <c r="D111" s="134"/>
      <c r="E111" s="5"/>
      <c r="F111" s="5"/>
      <c r="G111" s="5"/>
      <c r="H111" s="5"/>
      <c r="I111" s="5"/>
      <c r="J111" s="7"/>
      <c r="K111" s="7"/>
      <c r="L111" s="7"/>
      <c r="M111" s="7"/>
      <c r="N111" s="7"/>
      <c r="O111" s="7">
        <f t="shared" si="14"/>
        <v>2</v>
      </c>
      <c r="P111" s="138">
        <v>30000</v>
      </c>
      <c r="Q111" s="119">
        <f t="shared" si="15"/>
        <v>60000</v>
      </c>
      <c r="R111" s="11">
        <f t="shared" si="9"/>
        <v>60000</v>
      </c>
      <c r="S111" s="11">
        <f t="shared" si="10"/>
        <v>0</v>
      </c>
      <c r="T111" s="11">
        <f t="shared" si="13"/>
        <v>0</v>
      </c>
      <c r="U111" s="11">
        <f t="shared" si="11"/>
        <v>0</v>
      </c>
      <c r="V111" s="11">
        <f t="shared" si="12"/>
        <v>0</v>
      </c>
      <c r="W111" s="11"/>
      <c r="X111" s="11"/>
      <c r="Y111" s="11"/>
      <c r="Z111" s="18"/>
      <c r="AA111" s="11"/>
      <c r="AB111" s="11"/>
      <c r="AC111" s="11"/>
    </row>
    <row r="112" spans="2:29">
      <c r="B112" s="135" t="s">
        <v>202</v>
      </c>
      <c r="C112" s="136">
        <v>2</v>
      </c>
      <c r="D112" s="137"/>
      <c r="E112" s="5"/>
      <c r="F112" s="5">
        <v>1</v>
      </c>
      <c r="G112" s="5">
        <v>2</v>
      </c>
      <c r="H112" s="5"/>
      <c r="I112" s="5"/>
      <c r="J112" s="7"/>
      <c r="K112" s="7"/>
      <c r="L112" s="7"/>
      <c r="M112" s="7"/>
      <c r="N112" s="7"/>
      <c r="O112" s="7">
        <f t="shared" si="14"/>
        <v>5</v>
      </c>
      <c r="P112" s="138">
        <v>5100</v>
      </c>
      <c r="Q112" s="119">
        <f t="shared" si="15"/>
        <v>25500</v>
      </c>
      <c r="R112" s="11">
        <f t="shared" si="9"/>
        <v>10200</v>
      </c>
      <c r="S112" s="11">
        <f t="shared" si="10"/>
        <v>0</v>
      </c>
      <c r="T112" s="11">
        <f t="shared" si="13"/>
        <v>0</v>
      </c>
      <c r="U112" s="11">
        <f t="shared" si="11"/>
        <v>5100</v>
      </c>
      <c r="V112" s="11">
        <f t="shared" si="12"/>
        <v>10200</v>
      </c>
      <c r="W112" s="11"/>
      <c r="X112" s="11"/>
      <c r="Y112" s="11"/>
      <c r="Z112" s="18"/>
      <c r="AA112" s="11"/>
      <c r="AB112" s="11"/>
      <c r="AC112" s="11"/>
    </row>
    <row r="113" spans="2:29">
      <c r="B113" s="132" t="s">
        <v>203</v>
      </c>
      <c r="C113" s="133">
        <v>3</v>
      </c>
      <c r="D113" s="134"/>
      <c r="E113" s="5">
        <v>2</v>
      </c>
      <c r="F113" s="5">
        <v>2</v>
      </c>
      <c r="G113" s="5"/>
      <c r="H113" s="5"/>
      <c r="I113" s="5"/>
      <c r="J113" s="7"/>
      <c r="K113" s="7"/>
      <c r="L113" s="7"/>
      <c r="M113" s="7"/>
      <c r="N113" s="7"/>
      <c r="O113" s="7">
        <f t="shared" si="14"/>
        <v>7</v>
      </c>
      <c r="P113" s="138">
        <v>10800</v>
      </c>
      <c r="Q113" s="119">
        <f t="shared" si="15"/>
        <v>75600</v>
      </c>
      <c r="R113" s="11">
        <f t="shared" si="9"/>
        <v>32400</v>
      </c>
      <c r="S113" s="11">
        <f t="shared" si="10"/>
        <v>0</v>
      </c>
      <c r="T113" s="11">
        <f t="shared" si="13"/>
        <v>21600</v>
      </c>
      <c r="U113" s="11">
        <f t="shared" si="11"/>
        <v>21600</v>
      </c>
      <c r="V113" s="11">
        <f t="shared" si="12"/>
        <v>0</v>
      </c>
      <c r="W113" s="11"/>
      <c r="X113" s="11"/>
      <c r="Y113" s="11"/>
      <c r="Z113" s="18"/>
      <c r="AA113" s="11"/>
      <c r="AB113" s="11"/>
      <c r="AC113" s="11"/>
    </row>
    <row r="114" spans="2:29">
      <c r="B114" s="132" t="s">
        <v>204</v>
      </c>
      <c r="C114" s="133">
        <v>5</v>
      </c>
      <c r="D114" s="134"/>
      <c r="E114" s="5"/>
      <c r="F114" s="5"/>
      <c r="G114" s="5"/>
      <c r="H114" s="5"/>
      <c r="I114" s="5"/>
      <c r="J114" s="7"/>
      <c r="K114" s="7"/>
      <c r="L114" s="7"/>
      <c r="M114" s="7"/>
      <c r="N114" s="7"/>
      <c r="O114" s="7">
        <f t="shared" si="14"/>
        <v>5</v>
      </c>
      <c r="P114" s="138">
        <v>35000</v>
      </c>
      <c r="Q114" s="119">
        <f t="shared" si="15"/>
        <v>175000</v>
      </c>
      <c r="R114" s="11">
        <f>C114*P114</f>
        <v>175000</v>
      </c>
      <c r="S114" s="11">
        <f t="shared" si="10"/>
        <v>0</v>
      </c>
      <c r="T114" s="11">
        <f t="shared" si="13"/>
        <v>0</v>
      </c>
      <c r="U114" s="11">
        <f t="shared" si="11"/>
        <v>0</v>
      </c>
      <c r="V114" s="11">
        <f t="shared" si="12"/>
        <v>0</v>
      </c>
      <c r="W114" s="11"/>
      <c r="X114" s="11"/>
      <c r="Y114" s="11"/>
      <c r="Z114" s="18"/>
      <c r="AA114" s="11"/>
      <c r="AB114" s="11"/>
      <c r="AC114" s="11"/>
    </row>
    <row r="115" spans="2:29">
      <c r="B115" s="4" t="s">
        <v>212</v>
      </c>
      <c r="C115" s="136"/>
      <c r="D115" s="137">
        <v>1</v>
      </c>
      <c r="E115" s="5"/>
      <c r="F115" s="5">
        <v>1</v>
      </c>
      <c r="G115" s="5">
        <v>1</v>
      </c>
      <c r="H115" s="5"/>
      <c r="I115" s="5"/>
      <c r="J115" s="7"/>
      <c r="K115" s="7"/>
      <c r="L115" s="7"/>
      <c r="M115" s="7"/>
      <c r="N115" s="7"/>
      <c r="O115" s="7">
        <f t="shared" si="14"/>
        <v>3</v>
      </c>
      <c r="P115" s="14">
        <v>250000</v>
      </c>
      <c r="Q115" s="119">
        <f t="shared" si="15"/>
        <v>750000</v>
      </c>
      <c r="R115" s="11">
        <f t="shared" si="9"/>
        <v>0</v>
      </c>
      <c r="S115" s="11">
        <f>+D115*P115</f>
        <v>250000</v>
      </c>
      <c r="T115" s="11">
        <f t="shared" si="13"/>
        <v>0</v>
      </c>
      <c r="U115" s="11">
        <f t="shared" si="11"/>
        <v>250000</v>
      </c>
      <c r="V115" s="11">
        <f t="shared" si="12"/>
        <v>250000</v>
      </c>
      <c r="W115" s="11"/>
      <c r="X115" s="11"/>
      <c r="Y115" s="11"/>
      <c r="Z115" s="18"/>
      <c r="AA115" s="11"/>
      <c r="AB115" s="11"/>
      <c r="AC115" s="11"/>
    </row>
    <row r="116" spans="2:29">
      <c r="B116" s="4" t="s">
        <v>213</v>
      </c>
      <c r="C116" s="140"/>
      <c r="D116" s="141">
        <v>2</v>
      </c>
      <c r="E116" s="5"/>
      <c r="F116" s="5"/>
      <c r="G116" s="5"/>
      <c r="H116" s="5"/>
      <c r="I116" s="5"/>
      <c r="J116" s="7"/>
      <c r="K116" s="7"/>
      <c r="L116" s="7"/>
      <c r="M116" s="7"/>
      <c r="N116" s="7"/>
      <c r="O116" s="7">
        <f t="shared" si="14"/>
        <v>2</v>
      </c>
      <c r="P116" s="14">
        <v>66000</v>
      </c>
      <c r="Q116" s="119">
        <f t="shared" si="15"/>
        <v>132000</v>
      </c>
      <c r="R116" s="11">
        <f t="shared" si="9"/>
        <v>0</v>
      </c>
      <c r="S116" s="11">
        <f>+D116*P116</f>
        <v>132000</v>
      </c>
      <c r="T116" s="11">
        <f t="shared" si="13"/>
        <v>0</v>
      </c>
      <c r="U116" s="11">
        <f t="shared" si="11"/>
        <v>0</v>
      </c>
      <c r="V116" s="11">
        <f t="shared" si="12"/>
        <v>0</v>
      </c>
      <c r="W116" s="11"/>
      <c r="X116" s="11"/>
      <c r="Y116" s="11"/>
      <c r="Z116" s="18"/>
      <c r="AA116" s="11"/>
      <c r="AB116" s="11"/>
      <c r="AC116" s="11"/>
    </row>
    <row r="117" spans="2:29">
      <c r="B117" s="4" t="s">
        <v>214</v>
      </c>
      <c r="C117" s="9"/>
      <c r="D117" s="5">
        <v>4</v>
      </c>
      <c r="E117" s="5"/>
      <c r="F117" s="5"/>
      <c r="G117" s="5"/>
      <c r="H117" s="5"/>
      <c r="I117" s="5"/>
      <c r="J117" s="7"/>
      <c r="K117" s="7"/>
      <c r="L117" s="7"/>
      <c r="M117" s="7"/>
      <c r="N117" s="7"/>
      <c r="O117" s="7">
        <f t="shared" si="14"/>
        <v>4</v>
      </c>
      <c r="P117" s="14">
        <v>48000</v>
      </c>
      <c r="Q117" s="119">
        <f t="shared" si="15"/>
        <v>192000</v>
      </c>
      <c r="R117" s="11">
        <f t="shared" si="9"/>
        <v>0</v>
      </c>
      <c r="S117" s="11">
        <f>+D117*P117</f>
        <v>192000</v>
      </c>
      <c r="T117" s="11">
        <f t="shared" si="13"/>
        <v>0</v>
      </c>
      <c r="U117" s="11">
        <f t="shared" si="11"/>
        <v>0</v>
      </c>
      <c r="V117" s="11">
        <f t="shared" si="12"/>
        <v>0</v>
      </c>
      <c r="W117" s="11"/>
      <c r="X117" s="11"/>
      <c r="Y117" s="11"/>
      <c r="Z117" s="18"/>
      <c r="AA117" s="11"/>
      <c r="AB117" s="11"/>
      <c r="AC117" s="11"/>
    </row>
    <row r="118" spans="2:29">
      <c r="B118" s="4" t="s">
        <v>215</v>
      </c>
      <c r="C118" s="9"/>
      <c r="D118" s="5">
        <v>100</v>
      </c>
      <c r="E118" s="5"/>
      <c r="F118" s="5"/>
      <c r="G118" s="5"/>
      <c r="H118" s="5"/>
      <c r="I118" s="5"/>
      <c r="J118" s="7"/>
      <c r="K118" s="7"/>
      <c r="L118" s="7"/>
      <c r="M118" s="7"/>
      <c r="N118" s="7"/>
      <c r="O118" s="7">
        <f t="shared" si="14"/>
        <v>100</v>
      </c>
      <c r="P118" s="184">
        <v>400</v>
      </c>
      <c r="Q118" s="119">
        <f t="shared" si="15"/>
        <v>40000</v>
      </c>
      <c r="R118" s="11">
        <f t="shared" si="9"/>
        <v>0</v>
      </c>
      <c r="S118" s="11">
        <f t="shared" ref="S118:S136" si="16">+D118*P118</f>
        <v>40000</v>
      </c>
      <c r="T118" s="11">
        <f t="shared" si="13"/>
        <v>0</v>
      </c>
      <c r="U118" s="11">
        <f t="shared" si="11"/>
        <v>0</v>
      </c>
      <c r="V118" s="11">
        <f t="shared" si="12"/>
        <v>0</v>
      </c>
      <c r="W118" s="11"/>
      <c r="X118" s="11"/>
      <c r="Y118" s="11"/>
      <c r="Z118" s="18"/>
      <c r="AA118" s="11"/>
      <c r="AB118" s="11"/>
      <c r="AC118" s="11"/>
    </row>
    <row r="119" spans="2:29">
      <c r="B119" s="4" t="s">
        <v>216</v>
      </c>
      <c r="C119" s="9"/>
      <c r="D119" s="5">
        <v>100</v>
      </c>
      <c r="E119" s="5"/>
      <c r="F119" s="5"/>
      <c r="G119" s="5"/>
      <c r="H119" s="5"/>
      <c r="I119" s="5"/>
      <c r="J119" s="7"/>
      <c r="K119" s="7"/>
      <c r="L119" s="7"/>
      <c r="M119" s="7"/>
      <c r="N119" s="7"/>
      <c r="O119" s="7">
        <f t="shared" si="14"/>
        <v>100</v>
      </c>
      <c r="P119" s="184">
        <v>600</v>
      </c>
      <c r="Q119" s="119">
        <f t="shared" si="15"/>
        <v>60000</v>
      </c>
      <c r="R119" s="11">
        <f t="shared" si="9"/>
        <v>0</v>
      </c>
      <c r="S119" s="11">
        <f t="shared" si="16"/>
        <v>60000</v>
      </c>
      <c r="T119" s="11">
        <f t="shared" si="13"/>
        <v>0</v>
      </c>
      <c r="U119" s="11">
        <f t="shared" si="11"/>
        <v>0</v>
      </c>
      <c r="V119" s="11">
        <f t="shared" si="12"/>
        <v>0</v>
      </c>
      <c r="W119" s="11"/>
      <c r="X119" s="11"/>
      <c r="Y119" s="11"/>
      <c r="Z119" s="18"/>
      <c r="AA119" s="11"/>
      <c r="AB119" s="11"/>
      <c r="AC119" s="11"/>
    </row>
    <row r="120" spans="2:29">
      <c r="B120" s="4" t="s">
        <v>217</v>
      </c>
      <c r="C120" s="9"/>
      <c r="D120" s="5">
        <v>100</v>
      </c>
      <c r="E120" s="5"/>
      <c r="F120" s="5"/>
      <c r="G120" s="5"/>
      <c r="H120" s="5"/>
      <c r="I120" s="5"/>
      <c r="J120" s="7"/>
      <c r="K120" s="7"/>
      <c r="L120" s="7"/>
      <c r="M120" s="7"/>
      <c r="N120" s="7"/>
      <c r="O120" s="7">
        <f t="shared" si="14"/>
        <v>100</v>
      </c>
      <c r="P120" s="184">
        <v>800</v>
      </c>
      <c r="Q120" s="119">
        <f t="shared" si="15"/>
        <v>80000</v>
      </c>
      <c r="R120" s="11">
        <f t="shared" si="9"/>
        <v>0</v>
      </c>
      <c r="S120" s="11">
        <f t="shared" si="16"/>
        <v>80000</v>
      </c>
      <c r="T120" s="11">
        <f t="shared" si="13"/>
        <v>0</v>
      </c>
      <c r="U120" s="11">
        <f t="shared" si="11"/>
        <v>0</v>
      </c>
      <c r="V120" s="11">
        <f t="shared" si="12"/>
        <v>0</v>
      </c>
      <c r="W120" s="11"/>
      <c r="X120" s="11"/>
      <c r="Y120" s="11"/>
      <c r="Z120" s="18"/>
      <c r="AA120" s="11"/>
      <c r="AB120" s="11"/>
      <c r="AC120" s="11"/>
    </row>
    <row r="121" spans="2:29">
      <c r="B121" s="4" t="s">
        <v>218</v>
      </c>
      <c r="C121" s="9"/>
      <c r="D121" s="5">
        <v>50</v>
      </c>
      <c r="E121" s="5"/>
      <c r="F121" s="5"/>
      <c r="G121" s="5"/>
      <c r="H121" s="5"/>
      <c r="I121" s="5"/>
      <c r="J121" s="7"/>
      <c r="K121" s="7"/>
      <c r="L121" s="7"/>
      <c r="M121" s="7"/>
      <c r="N121" s="7"/>
      <c r="O121" s="7">
        <f t="shared" si="14"/>
        <v>50</v>
      </c>
      <c r="P121" s="184">
        <v>650</v>
      </c>
      <c r="Q121" s="119">
        <f t="shared" si="15"/>
        <v>32500</v>
      </c>
      <c r="R121" s="11">
        <f t="shared" si="9"/>
        <v>0</v>
      </c>
      <c r="S121" s="11">
        <f t="shared" si="16"/>
        <v>32500</v>
      </c>
      <c r="T121" s="11">
        <f t="shared" si="13"/>
        <v>0</v>
      </c>
      <c r="U121" s="11">
        <f t="shared" si="11"/>
        <v>0</v>
      </c>
      <c r="V121" s="11">
        <f t="shared" si="12"/>
        <v>0</v>
      </c>
      <c r="W121" s="11"/>
      <c r="X121" s="11"/>
      <c r="Y121" s="11"/>
      <c r="Z121" s="18"/>
      <c r="AA121" s="11"/>
      <c r="AB121" s="11"/>
      <c r="AC121" s="11"/>
    </row>
    <row r="122" spans="2:29">
      <c r="B122" s="4" t="s">
        <v>219</v>
      </c>
      <c r="C122" s="9"/>
      <c r="D122" s="5">
        <v>20</v>
      </c>
      <c r="E122" s="5"/>
      <c r="F122" s="5"/>
      <c r="G122" s="5">
        <v>10</v>
      </c>
      <c r="H122" s="5"/>
      <c r="I122" s="5"/>
      <c r="J122" s="7"/>
      <c r="K122" s="7"/>
      <c r="L122" s="7"/>
      <c r="M122" s="7"/>
      <c r="N122" s="7"/>
      <c r="O122" s="7">
        <f t="shared" si="14"/>
        <v>30</v>
      </c>
      <c r="P122" s="184">
        <v>1050</v>
      </c>
      <c r="Q122" s="119">
        <f t="shared" si="15"/>
        <v>31500</v>
      </c>
      <c r="R122" s="11">
        <f t="shared" si="9"/>
        <v>0</v>
      </c>
      <c r="S122" s="11">
        <f t="shared" si="16"/>
        <v>21000</v>
      </c>
      <c r="T122" s="11">
        <f t="shared" si="13"/>
        <v>0</v>
      </c>
      <c r="U122" s="11">
        <f t="shared" si="11"/>
        <v>0</v>
      </c>
      <c r="V122" s="11">
        <f t="shared" si="12"/>
        <v>10500</v>
      </c>
      <c r="W122" s="11"/>
      <c r="X122" s="11"/>
      <c r="Y122" s="11"/>
      <c r="Z122" s="18"/>
      <c r="AA122" s="11"/>
      <c r="AB122" s="11"/>
      <c r="AC122" s="11"/>
    </row>
    <row r="123" spans="2:29">
      <c r="B123" s="4" t="s">
        <v>220</v>
      </c>
      <c r="C123" s="9"/>
      <c r="D123" s="5">
        <v>100</v>
      </c>
      <c r="E123" s="5"/>
      <c r="F123" s="5"/>
      <c r="G123" s="5"/>
      <c r="H123" s="5"/>
      <c r="I123" s="5"/>
      <c r="J123" s="7"/>
      <c r="K123" s="7"/>
      <c r="L123" s="7"/>
      <c r="M123" s="7"/>
      <c r="N123" s="7"/>
      <c r="O123" s="7">
        <f t="shared" si="14"/>
        <v>100</v>
      </c>
      <c r="P123" s="184">
        <v>1000</v>
      </c>
      <c r="Q123" s="119">
        <f t="shared" si="15"/>
        <v>100000</v>
      </c>
      <c r="R123" s="11">
        <f t="shared" si="9"/>
        <v>0</v>
      </c>
      <c r="S123" s="11">
        <f t="shared" si="16"/>
        <v>100000</v>
      </c>
      <c r="T123" s="11">
        <f t="shared" si="13"/>
        <v>0</v>
      </c>
      <c r="U123" s="11">
        <f t="shared" si="11"/>
        <v>0</v>
      </c>
      <c r="V123" s="11">
        <f t="shared" si="12"/>
        <v>0</v>
      </c>
      <c r="W123" s="11"/>
      <c r="X123" s="11"/>
      <c r="Y123" s="11"/>
      <c r="Z123" s="18"/>
      <c r="AA123" s="11"/>
      <c r="AB123" s="11"/>
      <c r="AC123" s="11"/>
    </row>
    <row r="124" spans="2:29">
      <c r="B124" s="4" t="s">
        <v>221</v>
      </c>
      <c r="C124" s="9"/>
      <c r="D124" s="5">
        <v>25</v>
      </c>
      <c r="E124" s="5"/>
      <c r="F124" s="5">
        <v>50</v>
      </c>
      <c r="G124" s="5"/>
      <c r="H124" s="5"/>
      <c r="I124" s="5"/>
      <c r="J124" s="7"/>
      <c r="K124" s="7"/>
      <c r="L124" s="7"/>
      <c r="M124" s="7"/>
      <c r="N124" s="7"/>
      <c r="O124" s="7">
        <f t="shared" si="14"/>
        <v>75</v>
      </c>
      <c r="P124" s="14">
        <v>7900</v>
      </c>
      <c r="Q124" s="119">
        <f t="shared" si="15"/>
        <v>592500</v>
      </c>
      <c r="R124" s="11">
        <f t="shared" si="9"/>
        <v>0</v>
      </c>
      <c r="S124" s="11">
        <f t="shared" si="16"/>
        <v>197500</v>
      </c>
      <c r="T124" s="11">
        <f t="shared" si="13"/>
        <v>0</v>
      </c>
      <c r="U124" s="11">
        <f t="shared" si="11"/>
        <v>395000</v>
      </c>
      <c r="V124" s="11">
        <f t="shared" si="12"/>
        <v>0</v>
      </c>
      <c r="W124" s="11"/>
      <c r="X124" s="11"/>
      <c r="Y124" s="11"/>
      <c r="Z124" s="18"/>
      <c r="AA124" s="11"/>
      <c r="AB124" s="11"/>
      <c r="AC124" s="11"/>
    </row>
    <row r="125" spans="2:29">
      <c r="B125" s="4" t="s">
        <v>222</v>
      </c>
      <c r="C125" s="9"/>
      <c r="D125" s="5">
        <v>1</v>
      </c>
      <c r="E125" s="5"/>
      <c r="F125" s="5"/>
      <c r="G125" s="5"/>
      <c r="H125" s="5"/>
      <c r="I125" s="5"/>
      <c r="J125" s="7"/>
      <c r="K125" s="7"/>
      <c r="L125" s="7"/>
      <c r="M125" s="7"/>
      <c r="N125" s="7"/>
      <c r="O125" s="7">
        <f t="shared" si="14"/>
        <v>1</v>
      </c>
      <c r="P125" s="14">
        <v>110000</v>
      </c>
      <c r="Q125" s="119">
        <f t="shared" si="15"/>
        <v>110000</v>
      </c>
      <c r="R125" s="11">
        <f t="shared" si="9"/>
        <v>0</v>
      </c>
      <c r="S125" s="11">
        <f t="shared" si="16"/>
        <v>110000</v>
      </c>
      <c r="T125" s="11">
        <f t="shared" si="13"/>
        <v>0</v>
      </c>
      <c r="U125" s="11">
        <f t="shared" si="11"/>
        <v>0</v>
      </c>
      <c r="V125" s="11">
        <f t="shared" si="12"/>
        <v>0</v>
      </c>
      <c r="W125" s="11"/>
      <c r="X125" s="11"/>
      <c r="Y125" s="11"/>
      <c r="Z125" s="18"/>
      <c r="AA125" s="11"/>
      <c r="AB125" s="11"/>
      <c r="AC125" s="11"/>
    </row>
    <row r="126" spans="2:29">
      <c r="B126" s="4" t="s">
        <v>223</v>
      </c>
      <c r="C126" s="9"/>
      <c r="D126" s="5">
        <v>2</v>
      </c>
      <c r="E126" s="5"/>
      <c r="F126" s="5"/>
      <c r="G126" s="5"/>
      <c r="H126" s="5"/>
      <c r="I126" s="5"/>
      <c r="J126" s="7"/>
      <c r="K126" s="7"/>
      <c r="L126" s="7"/>
      <c r="M126" s="7"/>
      <c r="N126" s="7"/>
      <c r="O126" s="7">
        <f t="shared" si="14"/>
        <v>2</v>
      </c>
      <c r="P126" s="14">
        <v>27846</v>
      </c>
      <c r="Q126" s="119">
        <f t="shared" si="15"/>
        <v>55692</v>
      </c>
      <c r="R126" s="11">
        <f t="shared" si="9"/>
        <v>0</v>
      </c>
      <c r="S126" s="11">
        <f t="shared" si="16"/>
        <v>55692</v>
      </c>
      <c r="T126" s="11">
        <f t="shared" si="13"/>
        <v>0</v>
      </c>
      <c r="U126" s="11">
        <f t="shared" si="11"/>
        <v>0</v>
      </c>
      <c r="V126" s="11">
        <f t="shared" si="12"/>
        <v>0</v>
      </c>
      <c r="W126" s="11"/>
      <c r="X126" s="11"/>
      <c r="Y126" s="11"/>
      <c r="Z126" s="18"/>
      <c r="AA126" s="11"/>
      <c r="AB126" s="11"/>
      <c r="AC126" s="11"/>
    </row>
    <row r="127" spans="2:29">
      <c r="B127" s="4" t="s">
        <v>224</v>
      </c>
      <c r="C127" s="9"/>
      <c r="D127" s="5">
        <v>1</v>
      </c>
      <c r="E127" s="5"/>
      <c r="F127" s="5"/>
      <c r="G127" s="5"/>
      <c r="H127" s="5"/>
      <c r="I127" s="5"/>
      <c r="J127" s="7"/>
      <c r="K127" s="7"/>
      <c r="L127" s="7"/>
      <c r="M127" s="7"/>
      <c r="N127" s="7"/>
      <c r="O127" s="7">
        <f t="shared" si="14"/>
        <v>1</v>
      </c>
      <c r="P127" s="14">
        <v>57239</v>
      </c>
      <c r="Q127" s="119">
        <f t="shared" si="15"/>
        <v>57239</v>
      </c>
      <c r="R127" s="11">
        <f t="shared" si="9"/>
        <v>0</v>
      </c>
      <c r="S127" s="11">
        <f t="shared" si="16"/>
        <v>57239</v>
      </c>
      <c r="T127" s="11">
        <f t="shared" si="13"/>
        <v>0</v>
      </c>
      <c r="U127" s="11">
        <f t="shared" si="11"/>
        <v>0</v>
      </c>
      <c r="V127" s="11">
        <f t="shared" si="12"/>
        <v>0</v>
      </c>
      <c r="W127" s="11"/>
      <c r="X127" s="11"/>
      <c r="Y127" s="11"/>
      <c r="Z127" s="18"/>
      <c r="AA127" s="11"/>
      <c r="AB127" s="11"/>
      <c r="AC127" s="11"/>
    </row>
    <row r="128" spans="2:29">
      <c r="B128" s="4" t="s">
        <v>225</v>
      </c>
      <c r="C128" s="9"/>
      <c r="D128" s="5">
        <v>2</v>
      </c>
      <c r="E128" s="5"/>
      <c r="F128" s="5"/>
      <c r="G128" s="5"/>
      <c r="H128" s="5"/>
      <c r="I128" s="5"/>
      <c r="J128" s="7"/>
      <c r="K128" s="7"/>
      <c r="L128" s="7"/>
      <c r="M128" s="7"/>
      <c r="N128" s="7"/>
      <c r="O128" s="7">
        <f t="shared" si="14"/>
        <v>2</v>
      </c>
      <c r="P128" s="14">
        <v>38675</v>
      </c>
      <c r="Q128" s="119">
        <f t="shared" si="15"/>
        <v>77350</v>
      </c>
      <c r="R128" s="11">
        <f t="shared" si="9"/>
        <v>0</v>
      </c>
      <c r="S128" s="11">
        <f t="shared" si="16"/>
        <v>77350</v>
      </c>
      <c r="T128" s="11">
        <f t="shared" si="13"/>
        <v>0</v>
      </c>
      <c r="U128" s="11">
        <f t="shared" si="11"/>
        <v>0</v>
      </c>
      <c r="V128" s="11">
        <f t="shared" si="12"/>
        <v>0</v>
      </c>
      <c r="W128" s="11"/>
      <c r="X128" s="11"/>
      <c r="Y128" s="11"/>
      <c r="Z128" s="18"/>
      <c r="AA128" s="11"/>
      <c r="AB128" s="11"/>
      <c r="AC128" s="11"/>
    </row>
    <row r="129" spans="2:29">
      <c r="B129" s="4" t="s">
        <v>226</v>
      </c>
      <c r="C129" s="9"/>
      <c r="D129" s="5">
        <v>1</v>
      </c>
      <c r="E129" s="5"/>
      <c r="F129" s="5"/>
      <c r="G129" s="5"/>
      <c r="H129" s="5"/>
      <c r="I129" s="5"/>
      <c r="J129" s="7"/>
      <c r="K129" s="7"/>
      <c r="L129" s="7"/>
      <c r="M129" s="7"/>
      <c r="N129" s="7"/>
      <c r="O129" s="7">
        <f t="shared" si="14"/>
        <v>1</v>
      </c>
      <c r="P129" s="14">
        <v>105289</v>
      </c>
      <c r="Q129" s="119">
        <f t="shared" si="15"/>
        <v>105289</v>
      </c>
      <c r="R129" s="11">
        <f t="shared" si="9"/>
        <v>0</v>
      </c>
      <c r="S129" s="11">
        <f t="shared" si="16"/>
        <v>105289</v>
      </c>
      <c r="T129" s="11">
        <f t="shared" si="13"/>
        <v>0</v>
      </c>
      <c r="U129" s="11">
        <f t="shared" si="11"/>
        <v>0</v>
      </c>
      <c r="V129" s="11">
        <f t="shared" si="12"/>
        <v>0</v>
      </c>
      <c r="W129" s="11"/>
      <c r="X129" s="11"/>
      <c r="Y129" s="11"/>
      <c r="Z129" s="18"/>
      <c r="AA129" s="11"/>
      <c r="AB129" s="11"/>
      <c r="AC129" s="11"/>
    </row>
    <row r="130" spans="2:29">
      <c r="B130" s="4" t="s">
        <v>227</v>
      </c>
      <c r="C130" s="9"/>
      <c r="D130" s="5">
        <v>1</v>
      </c>
      <c r="E130" s="5"/>
      <c r="F130" s="5"/>
      <c r="G130" s="5"/>
      <c r="H130" s="5"/>
      <c r="I130" s="5"/>
      <c r="J130" s="7"/>
      <c r="K130" s="7"/>
      <c r="L130" s="7"/>
      <c r="M130" s="7"/>
      <c r="N130" s="7"/>
      <c r="O130" s="7">
        <f t="shared" si="14"/>
        <v>1</v>
      </c>
      <c r="P130" s="14">
        <v>48885</v>
      </c>
      <c r="Q130" s="119">
        <f t="shared" si="15"/>
        <v>48885</v>
      </c>
      <c r="R130" s="11">
        <f t="shared" si="9"/>
        <v>0</v>
      </c>
      <c r="S130" s="11">
        <f t="shared" si="16"/>
        <v>48885</v>
      </c>
      <c r="T130" s="11">
        <f t="shared" si="13"/>
        <v>0</v>
      </c>
      <c r="U130" s="11">
        <f t="shared" si="11"/>
        <v>0</v>
      </c>
      <c r="V130" s="11">
        <f t="shared" si="12"/>
        <v>0</v>
      </c>
      <c r="W130" s="11"/>
      <c r="X130" s="11"/>
      <c r="Y130" s="11"/>
      <c r="Z130" s="18"/>
      <c r="AA130" s="11"/>
      <c r="AB130" s="11"/>
      <c r="AC130" s="11"/>
    </row>
    <row r="131" spans="2:29">
      <c r="B131" s="4" t="s">
        <v>228</v>
      </c>
      <c r="C131" s="9"/>
      <c r="D131" s="5">
        <v>2</v>
      </c>
      <c r="E131" s="5"/>
      <c r="F131" s="5"/>
      <c r="G131" s="5"/>
      <c r="H131" s="5"/>
      <c r="I131" s="5"/>
      <c r="J131" s="7"/>
      <c r="K131" s="7"/>
      <c r="L131" s="7"/>
      <c r="M131" s="7"/>
      <c r="N131" s="7"/>
      <c r="O131" s="7">
        <f t="shared" si="14"/>
        <v>2</v>
      </c>
      <c r="P131" s="14">
        <v>112000</v>
      </c>
      <c r="Q131" s="119">
        <f t="shared" si="15"/>
        <v>224000</v>
      </c>
      <c r="R131" s="11">
        <f t="shared" si="9"/>
        <v>0</v>
      </c>
      <c r="S131" s="11">
        <f t="shared" si="16"/>
        <v>224000</v>
      </c>
      <c r="T131" s="11">
        <f t="shared" si="13"/>
        <v>0</v>
      </c>
      <c r="U131" s="11">
        <f t="shared" si="11"/>
        <v>0</v>
      </c>
      <c r="V131" s="11">
        <f t="shared" si="12"/>
        <v>0</v>
      </c>
      <c r="W131" s="11"/>
      <c r="X131" s="11"/>
      <c r="Y131" s="11"/>
      <c r="Z131" s="18"/>
      <c r="AA131" s="11"/>
      <c r="AB131" s="11"/>
      <c r="AC131" s="11"/>
    </row>
    <row r="132" spans="2:29">
      <c r="B132" s="4" t="s">
        <v>229</v>
      </c>
      <c r="C132" s="9"/>
      <c r="D132" s="5">
        <v>3</v>
      </c>
      <c r="E132" s="5"/>
      <c r="F132" s="5"/>
      <c r="G132" s="5"/>
      <c r="H132" s="5"/>
      <c r="I132" s="5"/>
      <c r="J132" s="7"/>
      <c r="K132" s="7"/>
      <c r="L132" s="7"/>
      <c r="M132" s="7"/>
      <c r="N132" s="7"/>
      <c r="O132" s="7">
        <f t="shared" si="14"/>
        <v>3</v>
      </c>
      <c r="P132" s="14">
        <v>55000</v>
      </c>
      <c r="Q132" s="119">
        <f t="shared" si="15"/>
        <v>165000</v>
      </c>
      <c r="R132" s="11">
        <f t="shared" si="9"/>
        <v>0</v>
      </c>
      <c r="S132" s="11">
        <f t="shared" si="16"/>
        <v>165000</v>
      </c>
      <c r="T132" s="11">
        <f t="shared" si="13"/>
        <v>0</v>
      </c>
      <c r="U132" s="11">
        <f t="shared" ref="U132:U194" si="17">+F132*P132</f>
        <v>0</v>
      </c>
      <c r="V132" s="11">
        <f t="shared" ref="V132:V195" si="18">+G132*P132</f>
        <v>0</v>
      </c>
      <c r="W132" s="11"/>
      <c r="X132" s="11"/>
      <c r="Y132" s="11"/>
      <c r="Z132" s="18"/>
      <c r="AA132" s="11"/>
      <c r="AB132" s="11"/>
      <c r="AC132" s="11"/>
    </row>
    <row r="133" spans="2:29">
      <c r="B133" s="4" t="s">
        <v>230</v>
      </c>
      <c r="C133" s="9"/>
      <c r="D133" s="5">
        <v>5</v>
      </c>
      <c r="E133" s="5"/>
      <c r="F133" s="5"/>
      <c r="G133" s="5"/>
      <c r="H133" s="5"/>
      <c r="I133" s="5"/>
      <c r="J133" s="7"/>
      <c r="K133" s="7"/>
      <c r="L133" s="7"/>
      <c r="M133" s="7"/>
      <c r="N133" s="7"/>
      <c r="O133" s="7">
        <f t="shared" si="14"/>
        <v>5</v>
      </c>
      <c r="P133" s="14">
        <v>120000</v>
      </c>
      <c r="Q133" s="119">
        <f t="shared" si="15"/>
        <v>600000</v>
      </c>
      <c r="R133" s="11">
        <f t="shared" ref="R133:R137" si="19">C133*P133</f>
        <v>0</v>
      </c>
      <c r="S133" s="11">
        <f t="shared" si="16"/>
        <v>600000</v>
      </c>
      <c r="T133" s="11">
        <f t="shared" si="13"/>
        <v>0</v>
      </c>
      <c r="U133" s="11">
        <f t="shared" si="17"/>
        <v>0</v>
      </c>
      <c r="V133" s="11">
        <f t="shared" si="18"/>
        <v>0</v>
      </c>
      <c r="W133" s="11"/>
      <c r="X133" s="11"/>
      <c r="Y133" s="11"/>
      <c r="Z133" s="18"/>
      <c r="AA133" s="11"/>
      <c r="AB133" s="11"/>
      <c r="AC133" s="11"/>
    </row>
    <row r="134" spans="2:29">
      <c r="B134" s="4" t="s">
        <v>286</v>
      </c>
      <c r="C134" s="9"/>
      <c r="D134" s="5"/>
      <c r="E134" s="5">
        <v>1</v>
      </c>
      <c r="F134" s="5"/>
      <c r="G134" s="5"/>
      <c r="H134" s="5"/>
      <c r="I134" s="5"/>
      <c r="J134" s="7"/>
      <c r="K134" s="7"/>
      <c r="L134" s="7"/>
      <c r="M134" s="7"/>
      <c r="N134" s="7"/>
      <c r="O134" s="7">
        <f t="shared" si="14"/>
        <v>1</v>
      </c>
      <c r="P134" s="14">
        <v>60000</v>
      </c>
      <c r="Q134" s="119">
        <f t="shared" si="15"/>
        <v>60000</v>
      </c>
      <c r="R134" s="11">
        <f t="shared" si="19"/>
        <v>0</v>
      </c>
      <c r="S134" s="11">
        <f t="shared" si="16"/>
        <v>0</v>
      </c>
      <c r="T134" s="11">
        <f t="shared" ref="T134:T168" si="20">+E134*P134</f>
        <v>60000</v>
      </c>
      <c r="U134" s="11">
        <f t="shared" si="17"/>
        <v>0</v>
      </c>
      <c r="V134" s="11">
        <f t="shared" si="18"/>
        <v>0</v>
      </c>
      <c r="W134" s="11"/>
      <c r="X134" s="11"/>
      <c r="Y134" s="11"/>
      <c r="Z134" s="18"/>
      <c r="AA134" s="11"/>
      <c r="AB134" s="11"/>
      <c r="AC134" s="11"/>
    </row>
    <row r="135" spans="2:29">
      <c r="B135" s="4" t="s">
        <v>231</v>
      </c>
      <c r="C135" s="9"/>
      <c r="D135" s="5">
        <v>2</v>
      </c>
      <c r="E135" s="5"/>
      <c r="F135" s="5"/>
      <c r="G135" s="5"/>
      <c r="H135" s="5"/>
      <c r="I135" s="5"/>
      <c r="J135" s="7"/>
      <c r="K135" s="7"/>
      <c r="L135" s="7"/>
      <c r="M135" s="7"/>
      <c r="N135" s="7"/>
      <c r="O135" s="7">
        <f t="shared" si="14"/>
        <v>2</v>
      </c>
      <c r="P135" s="14">
        <v>23205</v>
      </c>
      <c r="Q135" s="119">
        <f t="shared" si="15"/>
        <v>46410</v>
      </c>
      <c r="R135" s="11">
        <f t="shared" si="19"/>
        <v>0</v>
      </c>
      <c r="S135" s="11">
        <f t="shared" si="16"/>
        <v>46410</v>
      </c>
      <c r="T135" s="11">
        <f t="shared" si="20"/>
        <v>0</v>
      </c>
      <c r="U135" s="11">
        <f t="shared" si="17"/>
        <v>0</v>
      </c>
      <c r="V135" s="11">
        <f t="shared" si="18"/>
        <v>0</v>
      </c>
      <c r="W135" s="11"/>
      <c r="X135" s="11"/>
      <c r="Y135" s="11"/>
      <c r="Z135" s="18"/>
      <c r="AA135" s="11"/>
      <c r="AB135" s="11"/>
      <c r="AC135" s="11"/>
    </row>
    <row r="136" spans="2:29">
      <c r="B136" s="4" t="s">
        <v>232</v>
      </c>
      <c r="C136" s="9"/>
      <c r="D136" s="5">
        <v>2</v>
      </c>
      <c r="E136" s="5"/>
      <c r="F136" s="5"/>
      <c r="G136" s="5"/>
      <c r="H136" s="5"/>
      <c r="I136" s="5"/>
      <c r="J136" s="7"/>
      <c r="K136" s="7"/>
      <c r="L136" s="7"/>
      <c r="M136" s="7"/>
      <c r="N136" s="7"/>
      <c r="O136" s="7">
        <f t="shared" si="14"/>
        <v>2</v>
      </c>
      <c r="P136" s="14">
        <v>6962</v>
      </c>
      <c r="Q136" s="119">
        <f t="shared" si="15"/>
        <v>13924</v>
      </c>
      <c r="R136" s="11">
        <f t="shared" si="19"/>
        <v>0</v>
      </c>
      <c r="S136" s="11">
        <f t="shared" si="16"/>
        <v>13924</v>
      </c>
      <c r="T136" s="11">
        <f t="shared" si="20"/>
        <v>0</v>
      </c>
      <c r="U136" s="11">
        <f t="shared" si="17"/>
        <v>0</v>
      </c>
      <c r="V136" s="11">
        <f t="shared" si="18"/>
        <v>0</v>
      </c>
      <c r="W136" s="11"/>
      <c r="X136" s="11"/>
      <c r="Y136" s="11"/>
      <c r="Z136" s="18"/>
      <c r="AA136" s="11"/>
      <c r="AB136" s="11"/>
      <c r="AC136" s="11"/>
    </row>
    <row r="137" spans="2:29">
      <c r="B137" s="4" t="s">
        <v>267</v>
      </c>
      <c r="C137" s="9"/>
      <c r="D137" s="5"/>
      <c r="E137" s="5">
        <v>2</v>
      </c>
      <c r="F137" s="5"/>
      <c r="G137" s="5"/>
      <c r="H137" s="5"/>
      <c r="I137" s="5"/>
      <c r="J137" s="7"/>
      <c r="K137" s="7"/>
      <c r="L137" s="7"/>
      <c r="M137" s="7"/>
      <c r="N137" s="7"/>
      <c r="O137" s="7">
        <f t="shared" si="14"/>
        <v>2</v>
      </c>
      <c r="P137" s="14">
        <v>32000</v>
      </c>
      <c r="Q137" s="119">
        <f t="shared" si="15"/>
        <v>64000</v>
      </c>
      <c r="R137" s="11">
        <f t="shared" si="19"/>
        <v>0</v>
      </c>
      <c r="S137" s="11"/>
      <c r="T137" s="11">
        <f t="shared" si="20"/>
        <v>64000</v>
      </c>
      <c r="U137" s="11">
        <f t="shared" si="17"/>
        <v>0</v>
      </c>
      <c r="V137" s="11">
        <f t="shared" si="18"/>
        <v>0</v>
      </c>
      <c r="W137" s="11"/>
      <c r="X137" s="11"/>
      <c r="Y137" s="11"/>
      <c r="Z137" s="18"/>
      <c r="AA137" s="11"/>
      <c r="AB137" s="11"/>
      <c r="AC137" s="11"/>
    </row>
    <row r="138" spans="2:29">
      <c r="B138" s="4" t="s">
        <v>268</v>
      </c>
      <c r="C138" s="9"/>
      <c r="D138" s="5"/>
      <c r="E138" s="5"/>
      <c r="F138" s="5"/>
      <c r="G138" s="5"/>
      <c r="H138" s="5"/>
      <c r="I138" s="5"/>
      <c r="J138" s="7"/>
      <c r="K138" s="7"/>
      <c r="L138" s="7"/>
      <c r="M138" s="7"/>
      <c r="N138" s="7"/>
      <c r="O138" s="7">
        <f t="shared" si="14"/>
        <v>0</v>
      </c>
      <c r="P138" s="14"/>
      <c r="Q138" s="119">
        <f t="shared" si="15"/>
        <v>0</v>
      </c>
      <c r="R138" s="11"/>
      <c r="S138" s="11"/>
      <c r="T138" s="11">
        <f t="shared" si="20"/>
        <v>0</v>
      </c>
      <c r="U138" s="11">
        <f t="shared" si="17"/>
        <v>0</v>
      </c>
      <c r="V138" s="11">
        <f t="shared" si="18"/>
        <v>0</v>
      </c>
      <c r="W138" s="11"/>
      <c r="X138" s="11"/>
      <c r="Y138" s="11"/>
      <c r="Z138" s="18"/>
      <c r="AA138" s="11"/>
      <c r="AB138" s="11"/>
      <c r="AC138" s="11"/>
    </row>
    <row r="139" spans="2:29">
      <c r="B139" s="4" t="s">
        <v>269</v>
      </c>
      <c r="C139" s="9"/>
      <c r="D139" s="5"/>
      <c r="E139" s="5">
        <v>1</v>
      </c>
      <c r="F139" s="5"/>
      <c r="G139" s="5"/>
      <c r="H139" s="5"/>
      <c r="I139" s="5"/>
      <c r="J139" s="7"/>
      <c r="K139" s="7"/>
      <c r="L139" s="7"/>
      <c r="M139" s="7"/>
      <c r="N139" s="7"/>
      <c r="O139" s="7">
        <f t="shared" si="14"/>
        <v>1</v>
      </c>
      <c r="P139" s="14">
        <v>865000</v>
      </c>
      <c r="Q139" s="119">
        <f t="shared" si="15"/>
        <v>865000</v>
      </c>
      <c r="R139" s="11"/>
      <c r="S139" s="11"/>
      <c r="T139" s="11">
        <f t="shared" si="20"/>
        <v>865000</v>
      </c>
      <c r="U139" s="11">
        <f t="shared" si="17"/>
        <v>0</v>
      </c>
      <c r="V139" s="11">
        <f t="shared" si="18"/>
        <v>0</v>
      </c>
      <c r="W139" s="11"/>
      <c r="X139" s="11"/>
      <c r="Y139" s="11"/>
      <c r="Z139" s="18"/>
      <c r="AA139" s="11"/>
      <c r="AB139" s="11"/>
      <c r="AC139" s="11"/>
    </row>
    <row r="140" spans="2:29">
      <c r="B140" s="4" t="s">
        <v>270</v>
      </c>
      <c r="C140" s="9"/>
      <c r="D140" s="5"/>
      <c r="E140" s="5">
        <v>1</v>
      </c>
      <c r="F140" s="5"/>
      <c r="G140" s="5"/>
      <c r="H140" s="5"/>
      <c r="I140" s="5"/>
      <c r="J140" s="7"/>
      <c r="K140" s="7"/>
      <c r="L140" s="7"/>
      <c r="M140" s="7"/>
      <c r="N140" s="7"/>
      <c r="O140" s="7">
        <f t="shared" ref="O140:O211" si="21">SUM(C140:N140)</f>
        <v>1</v>
      </c>
      <c r="P140" s="14">
        <v>8500</v>
      </c>
      <c r="Q140" s="119">
        <f t="shared" ref="Q140:Q159" si="22">O140*P140</f>
        <v>8500</v>
      </c>
      <c r="R140" s="11"/>
      <c r="S140" s="11"/>
      <c r="T140" s="11">
        <f t="shared" si="20"/>
        <v>8500</v>
      </c>
      <c r="U140" s="11">
        <f t="shared" si="17"/>
        <v>0</v>
      </c>
      <c r="V140" s="11">
        <f t="shared" si="18"/>
        <v>0</v>
      </c>
      <c r="W140" s="11"/>
      <c r="X140" s="11"/>
      <c r="Y140" s="11"/>
      <c r="Z140" s="18"/>
      <c r="AA140" s="11"/>
      <c r="AB140" s="11"/>
      <c r="AC140" s="11"/>
    </row>
    <row r="141" spans="2:29">
      <c r="B141" s="4" t="s">
        <v>271</v>
      </c>
      <c r="C141" s="9"/>
      <c r="D141" s="5"/>
      <c r="E141" s="5">
        <v>1</v>
      </c>
      <c r="F141" s="5"/>
      <c r="G141" s="5"/>
      <c r="H141" s="5"/>
      <c r="I141" s="5"/>
      <c r="J141" s="7"/>
      <c r="K141" s="7"/>
      <c r="L141" s="7"/>
      <c r="M141" s="7"/>
      <c r="N141" s="7"/>
      <c r="O141" s="7">
        <f t="shared" si="21"/>
        <v>1</v>
      </c>
      <c r="P141" s="14">
        <v>7500</v>
      </c>
      <c r="Q141" s="119">
        <f t="shared" si="22"/>
        <v>7500</v>
      </c>
      <c r="R141" s="11"/>
      <c r="S141" s="11"/>
      <c r="T141" s="11">
        <f t="shared" si="20"/>
        <v>7500</v>
      </c>
      <c r="U141" s="11">
        <f t="shared" si="17"/>
        <v>0</v>
      </c>
      <c r="V141" s="11">
        <f t="shared" si="18"/>
        <v>0</v>
      </c>
      <c r="W141" s="11"/>
      <c r="X141" s="11"/>
      <c r="Y141" s="11"/>
      <c r="Z141" s="18"/>
      <c r="AA141" s="11"/>
      <c r="AB141" s="11"/>
      <c r="AC141" s="11"/>
    </row>
    <row r="142" spans="2:29">
      <c r="B142" s="4" t="s">
        <v>272</v>
      </c>
      <c r="C142" s="9"/>
      <c r="D142" s="5"/>
      <c r="E142" s="5">
        <v>3</v>
      </c>
      <c r="F142" s="5"/>
      <c r="G142" s="5"/>
      <c r="H142" s="5"/>
      <c r="I142" s="5"/>
      <c r="J142" s="7"/>
      <c r="K142" s="7"/>
      <c r="L142" s="7"/>
      <c r="M142" s="7"/>
      <c r="N142" s="7"/>
      <c r="O142" s="7">
        <f t="shared" si="21"/>
        <v>3</v>
      </c>
      <c r="P142" s="14">
        <v>25000</v>
      </c>
      <c r="Q142" s="119">
        <f t="shared" si="22"/>
        <v>75000</v>
      </c>
      <c r="R142" s="11"/>
      <c r="S142" s="11"/>
      <c r="T142" s="11">
        <f t="shared" si="20"/>
        <v>75000</v>
      </c>
      <c r="U142" s="11">
        <f t="shared" si="17"/>
        <v>0</v>
      </c>
      <c r="V142" s="11">
        <f t="shared" si="18"/>
        <v>0</v>
      </c>
      <c r="W142" s="11"/>
      <c r="X142" s="11"/>
      <c r="Y142" s="11"/>
      <c r="Z142" s="18"/>
      <c r="AA142" s="11"/>
      <c r="AB142" s="11"/>
      <c r="AC142" s="11"/>
    </row>
    <row r="143" spans="2:29">
      <c r="B143" s="4" t="s">
        <v>273</v>
      </c>
      <c r="C143" s="9"/>
      <c r="D143" s="5"/>
      <c r="E143" s="5">
        <v>3</v>
      </c>
      <c r="F143" s="5"/>
      <c r="G143" s="5"/>
      <c r="H143" s="5"/>
      <c r="I143" s="5"/>
      <c r="J143" s="7"/>
      <c r="K143" s="7"/>
      <c r="L143" s="7"/>
      <c r="M143" s="7"/>
      <c r="N143" s="7"/>
      <c r="O143" s="7">
        <f t="shared" si="21"/>
        <v>3</v>
      </c>
      <c r="P143" s="14">
        <v>6500</v>
      </c>
      <c r="Q143" s="119">
        <f t="shared" si="22"/>
        <v>19500</v>
      </c>
      <c r="R143" s="11"/>
      <c r="S143" s="11"/>
      <c r="T143" s="11">
        <f t="shared" si="20"/>
        <v>19500</v>
      </c>
      <c r="U143" s="11">
        <f t="shared" si="17"/>
        <v>0</v>
      </c>
      <c r="V143" s="11">
        <f t="shared" si="18"/>
        <v>0</v>
      </c>
      <c r="W143" s="11"/>
      <c r="X143" s="11"/>
      <c r="Y143" s="11"/>
      <c r="Z143" s="18"/>
      <c r="AA143" s="11"/>
      <c r="AB143" s="11"/>
      <c r="AC143" s="11"/>
    </row>
    <row r="144" spans="2:29">
      <c r="B144" s="4" t="s">
        <v>274</v>
      </c>
      <c r="C144" s="9"/>
      <c r="D144" s="5"/>
      <c r="E144" s="5">
        <v>4</v>
      </c>
      <c r="F144" s="5"/>
      <c r="G144" s="5"/>
      <c r="H144" s="5"/>
      <c r="I144" s="5"/>
      <c r="J144" s="7"/>
      <c r="K144" s="7"/>
      <c r="L144" s="7"/>
      <c r="M144" s="7"/>
      <c r="N144" s="7"/>
      <c r="O144" s="7">
        <f t="shared" si="21"/>
        <v>4</v>
      </c>
      <c r="P144" s="14">
        <v>7000</v>
      </c>
      <c r="Q144" s="119">
        <f t="shared" si="22"/>
        <v>28000</v>
      </c>
      <c r="R144" s="11"/>
      <c r="S144" s="11"/>
      <c r="T144" s="11">
        <f t="shared" si="20"/>
        <v>28000</v>
      </c>
      <c r="U144" s="11">
        <f t="shared" si="17"/>
        <v>0</v>
      </c>
      <c r="V144" s="11">
        <f t="shared" si="18"/>
        <v>0</v>
      </c>
      <c r="W144" s="11"/>
      <c r="X144" s="11"/>
      <c r="Y144" s="11"/>
      <c r="Z144" s="18"/>
      <c r="AA144" s="11"/>
      <c r="AB144" s="11"/>
      <c r="AC144" s="11"/>
    </row>
    <row r="145" spans="2:29">
      <c r="B145" s="4" t="s">
        <v>275</v>
      </c>
      <c r="C145" s="9"/>
      <c r="D145" s="5"/>
      <c r="E145" s="5">
        <v>4</v>
      </c>
      <c r="F145" s="5"/>
      <c r="G145" s="5"/>
      <c r="H145" s="5"/>
      <c r="I145" s="5"/>
      <c r="J145" s="7"/>
      <c r="K145" s="7"/>
      <c r="L145" s="7"/>
      <c r="M145" s="7"/>
      <c r="N145" s="7"/>
      <c r="O145" s="7">
        <f t="shared" si="21"/>
        <v>4</v>
      </c>
      <c r="P145" s="14">
        <v>6800</v>
      </c>
      <c r="Q145" s="119">
        <f t="shared" si="22"/>
        <v>27200</v>
      </c>
      <c r="R145" s="11"/>
      <c r="S145" s="11"/>
      <c r="T145" s="11">
        <f t="shared" si="20"/>
        <v>27200</v>
      </c>
      <c r="U145" s="11">
        <f t="shared" si="17"/>
        <v>0</v>
      </c>
      <c r="V145" s="11">
        <f t="shared" si="18"/>
        <v>0</v>
      </c>
      <c r="W145" s="11"/>
      <c r="X145" s="11"/>
      <c r="Y145" s="11"/>
      <c r="Z145" s="18"/>
      <c r="AA145" s="11"/>
      <c r="AB145" s="11"/>
      <c r="AC145" s="11"/>
    </row>
    <row r="146" spans="2:29">
      <c r="B146" s="4" t="s">
        <v>276</v>
      </c>
      <c r="C146" s="9"/>
      <c r="D146" s="5"/>
      <c r="E146" s="5">
        <v>4</v>
      </c>
      <c r="F146" s="5"/>
      <c r="G146" s="5"/>
      <c r="H146" s="5"/>
      <c r="I146" s="5"/>
      <c r="J146" s="7"/>
      <c r="K146" s="7"/>
      <c r="L146" s="7"/>
      <c r="M146" s="7"/>
      <c r="N146" s="7"/>
      <c r="O146" s="7">
        <f t="shared" si="21"/>
        <v>4</v>
      </c>
      <c r="P146" s="14">
        <v>6500</v>
      </c>
      <c r="Q146" s="119">
        <f t="shared" si="22"/>
        <v>26000</v>
      </c>
      <c r="R146" s="11"/>
      <c r="S146" s="11"/>
      <c r="T146" s="11">
        <f t="shared" si="20"/>
        <v>26000</v>
      </c>
      <c r="U146" s="11">
        <f t="shared" si="17"/>
        <v>0</v>
      </c>
      <c r="V146" s="11">
        <f t="shared" si="18"/>
        <v>0</v>
      </c>
      <c r="W146" s="11"/>
      <c r="X146" s="11"/>
      <c r="Y146" s="11"/>
      <c r="Z146" s="18"/>
      <c r="AA146" s="11"/>
      <c r="AB146" s="11"/>
      <c r="AC146" s="11"/>
    </row>
    <row r="147" spans="2:29">
      <c r="B147" s="4" t="s">
        <v>277</v>
      </c>
      <c r="C147" s="9"/>
      <c r="D147" s="5"/>
      <c r="E147" s="5">
        <v>1</v>
      </c>
      <c r="F147" s="5"/>
      <c r="G147" s="5"/>
      <c r="H147" s="5"/>
      <c r="I147" s="5"/>
      <c r="J147" s="7"/>
      <c r="K147" s="7"/>
      <c r="L147" s="7"/>
      <c r="M147" s="7"/>
      <c r="N147" s="7"/>
      <c r="O147" s="7">
        <f t="shared" si="21"/>
        <v>1</v>
      </c>
      <c r="P147" s="14">
        <v>85000</v>
      </c>
      <c r="Q147" s="119">
        <f t="shared" si="22"/>
        <v>85000</v>
      </c>
      <c r="R147" s="11"/>
      <c r="S147" s="11"/>
      <c r="T147" s="11">
        <f t="shared" si="20"/>
        <v>85000</v>
      </c>
      <c r="U147" s="11">
        <f t="shared" si="17"/>
        <v>0</v>
      </c>
      <c r="V147" s="11">
        <f t="shared" si="18"/>
        <v>0</v>
      </c>
      <c r="W147" s="11"/>
      <c r="X147" s="11"/>
      <c r="Y147" s="11"/>
      <c r="Z147" s="18"/>
      <c r="AA147" s="11"/>
      <c r="AB147" s="11"/>
      <c r="AC147" s="11"/>
    </row>
    <row r="148" spans="2:29">
      <c r="B148" s="4" t="s">
        <v>278</v>
      </c>
      <c r="C148" s="9"/>
      <c r="D148" s="5"/>
      <c r="E148" s="5">
        <v>1</v>
      </c>
      <c r="F148" s="5"/>
      <c r="G148" s="5"/>
      <c r="H148" s="5"/>
      <c r="I148" s="5"/>
      <c r="J148" s="7"/>
      <c r="K148" s="7"/>
      <c r="L148" s="7"/>
      <c r="M148" s="7"/>
      <c r="N148" s="7"/>
      <c r="O148" s="7">
        <f t="shared" si="21"/>
        <v>1</v>
      </c>
      <c r="P148" s="14">
        <v>24000</v>
      </c>
      <c r="Q148" s="119">
        <f t="shared" si="22"/>
        <v>24000</v>
      </c>
      <c r="R148" s="11"/>
      <c r="S148" s="11"/>
      <c r="T148" s="11">
        <f t="shared" si="20"/>
        <v>24000</v>
      </c>
      <c r="U148" s="11">
        <f t="shared" si="17"/>
        <v>0</v>
      </c>
      <c r="V148" s="11">
        <f t="shared" si="18"/>
        <v>0</v>
      </c>
      <c r="W148" s="11"/>
      <c r="X148" s="11"/>
      <c r="Y148" s="11"/>
      <c r="Z148" s="18"/>
      <c r="AA148" s="11"/>
      <c r="AB148" s="11"/>
      <c r="AC148" s="11"/>
    </row>
    <row r="149" spans="2:29">
      <c r="B149" s="4" t="s">
        <v>279</v>
      </c>
      <c r="C149" s="9"/>
      <c r="D149" s="5"/>
      <c r="E149" s="5">
        <v>2</v>
      </c>
      <c r="F149" s="5">
        <v>2</v>
      </c>
      <c r="G149" s="5"/>
      <c r="H149" s="5"/>
      <c r="I149" s="5"/>
      <c r="J149" s="7"/>
      <c r="K149" s="7"/>
      <c r="L149" s="7"/>
      <c r="M149" s="7"/>
      <c r="N149" s="7"/>
      <c r="O149" s="7">
        <f t="shared" si="21"/>
        <v>4</v>
      </c>
      <c r="P149" s="14">
        <v>78319</v>
      </c>
      <c r="Q149" s="119">
        <f t="shared" si="22"/>
        <v>313276</v>
      </c>
      <c r="R149" s="11"/>
      <c r="S149" s="11"/>
      <c r="T149" s="11">
        <f t="shared" si="20"/>
        <v>156638</v>
      </c>
      <c r="U149" s="11">
        <f t="shared" si="17"/>
        <v>156638</v>
      </c>
      <c r="V149" s="11">
        <f t="shared" si="18"/>
        <v>0</v>
      </c>
      <c r="W149" s="11"/>
      <c r="X149" s="11"/>
      <c r="Y149" s="11"/>
      <c r="Z149" s="18"/>
      <c r="AA149" s="11"/>
      <c r="AB149" s="11"/>
      <c r="AC149" s="11"/>
    </row>
    <row r="150" spans="2:29">
      <c r="B150" s="4" t="s">
        <v>280</v>
      </c>
      <c r="C150" s="9"/>
      <c r="D150" s="5"/>
      <c r="E150" s="5">
        <v>4</v>
      </c>
      <c r="F150" s="5">
        <v>2</v>
      </c>
      <c r="G150" s="5"/>
      <c r="H150" s="5"/>
      <c r="I150" s="5"/>
      <c r="J150" s="7"/>
      <c r="K150" s="7"/>
      <c r="L150" s="7"/>
      <c r="M150" s="7"/>
      <c r="N150" s="7"/>
      <c r="O150" s="7">
        <f t="shared" si="21"/>
        <v>6</v>
      </c>
      <c r="P150" s="14">
        <v>13016</v>
      </c>
      <c r="Q150" s="119">
        <f t="shared" si="22"/>
        <v>78096</v>
      </c>
      <c r="R150" s="11"/>
      <c r="S150" s="11"/>
      <c r="T150" s="11">
        <f t="shared" si="20"/>
        <v>52064</v>
      </c>
      <c r="U150" s="11">
        <f t="shared" si="17"/>
        <v>26032</v>
      </c>
      <c r="V150" s="11">
        <f t="shared" si="18"/>
        <v>0</v>
      </c>
      <c r="W150" s="11"/>
      <c r="X150" s="11"/>
      <c r="Y150" s="11"/>
      <c r="Z150" s="18"/>
      <c r="AA150" s="11"/>
      <c r="AB150" s="11"/>
      <c r="AC150" s="11"/>
    </row>
    <row r="151" spans="2:29">
      <c r="B151" s="4" t="s">
        <v>283</v>
      </c>
      <c r="C151" s="9"/>
      <c r="D151" s="5"/>
      <c r="E151" s="5">
        <v>6</v>
      </c>
      <c r="F151" s="5">
        <v>3</v>
      </c>
      <c r="G151" s="5">
        <v>2</v>
      </c>
      <c r="H151" s="5"/>
      <c r="I151" s="5"/>
      <c r="J151" s="7"/>
      <c r="K151" s="7"/>
      <c r="L151" s="7"/>
      <c r="M151" s="7"/>
      <c r="N151" s="7"/>
      <c r="O151" s="7">
        <f t="shared" si="21"/>
        <v>11</v>
      </c>
      <c r="P151" s="14">
        <v>6363</v>
      </c>
      <c r="Q151" s="119">
        <f t="shared" si="22"/>
        <v>69993</v>
      </c>
      <c r="R151" s="11"/>
      <c r="S151" s="11"/>
      <c r="T151" s="11">
        <f t="shared" si="20"/>
        <v>38178</v>
      </c>
      <c r="U151" s="11">
        <f t="shared" si="17"/>
        <v>19089</v>
      </c>
      <c r="V151" s="11">
        <f t="shared" si="18"/>
        <v>12726</v>
      </c>
      <c r="W151" s="11"/>
      <c r="X151" s="11"/>
      <c r="Y151" s="11"/>
      <c r="Z151" s="18"/>
      <c r="AA151" s="11"/>
      <c r="AB151" s="11"/>
      <c r="AC151" s="11"/>
    </row>
    <row r="152" spans="2:29">
      <c r="B152" s="4" t="s">
        <v>284</v>
      </c>
      <c r="C152" s="9"/>
      <c r="D152" s="5"/>
      <c r="E152" s="5">
        <v>1</v>
      </c>
      <c r="F152" s="5"/>
      <c r="G152" s="5"/>
      <c r="H152" s="5"/>
      <c r="I152" s="5"/>
      <c r="J152" s="7"/>
      <c r="K152" s="7"/>
      <c r="L152" s="7"/>
      <c r="M152" s="7"/>
      <c r="N152" s="7"/>
      <c r="O152" s="7">
        <f t="shared" si="21"/>
        <v>1</v>
      </c>
      <c r="P152" s="14">
        <v>77310</v>
      </c>
      <c r="Q152" s="119">
        <f t="shared" si="22"/>
        <v>77310</v>
      </c>
      <c r="R152" s="11"/>
      <c r="S152" s="11"/>
      <c r="T152" s="11">
        <f t="shared" si="20"/>
        <v>77310</v>
      </c>
      <c r="U152" s="11">
        <f t="shared" si="17"/>
        <v>0</v>
      </c>
      <c r="V152" s="11">
        <f t="shared" si="18"/>
        <v>0</v>
      </c>
      <c r="W152" s="11"/>
      <c r="X152" s="11"/>
      <c r="Y152" s="11"/>
      <c r="Z152" s="18"/>
      <c r="AA152" s="11"/>
      <c r="AB152" s="11"/>
      <c r="AC152" s="11"/>
    </row>
    <row r="153" spans="2:29">
      <c r="B153" s="4" t="s">
        <v>287</v>
      </c>
      <c r="C153" s="9"/>
      <c r="D153" s="5"/>
      <c r="E153" s="5">
        <v>2</v>
      </c>
      <c r="F153" s="5"/>
      <c r="G153" s="5"/>
      <c r="H153" s="5"/>
      <c r="I153" s="5"/>
      <c r="J153" s="7"/>
      <c r="K153" s="7"/>
      <c r="L153" s="7"/>
      <c r="M153" s="7"/>
      <c r="N153" s="7"/>
      <c r="O153" s="7">
        <f t="shared" si="21"/>
        <v>2</v>
      </c>
      <c r="P153" s="14">
        <v>12000</v>
      </c>
      <c r="Q153" s="119">
        <f t="shared" si="22"/>
        <v>24000</v>
      </c>
      <c r="R153" s="11"/>
      <c r="S153" s="11"/>
      <c r="T153" s="11">
        <f t="shared" si="20"/>
        <v>24000</v>
      </c>
      <c r="U153" s="11">
        <f t="shared" si="17"/>
        <v>0</v>
      </c>
      <c r="V153" s="11">
        <f t="shared" si="18"/>
        <v>0</v>
      </c>
      <c r="W153" s="11"/>
      <c r="X153" s="11"/>
      <c r="Y153" s="11"/>
      <c r="Z153" s="18"/>
      <c r="AA153" s="11"/>
      <c r="AB153" s="11"/>
      <c r="AC153" s="11"/>
    </row>
    <row r="154" spans="2:29">
      <c r="B154" s="4" t="s">
        <v>285</v>
      </c>
      <c r="C154" s="9"/>
      <c r="D154" s="5"/>
      <c r="E154" s="5">
        <v>6</v>
      </c>
      <c r="F154" s="5"/>
      <c r="G154" s="5"/>
      <c r="H154" s="5"/>
      <c r="I154" s="5"/>
      <c r="J154" s="7"/>
      <c r="K154" s="7"/>
      <c r="L154" s="7"/>
      <c r="M154" s="7"/>
      <c r="N154" s="7"/>
      <c r="O154" s="7">
        <f t="shared" si="21"/>
        <v>6</v>
      </c>
      <c r="P154" s="14">
        <v>3778</v>
      </c>
      <c r="Q154" s="119">
        <f t="shared" si="22"/>
        <v>22668</v>
      </c>
      <c r="R154" s="11"/>
      <c r="S154" s="11"/>
      <c r="T154" s="11">
        <f t="shared" si="20"/>
        <v>22668</v>
      </c>
      <c r="U154" s="11">
        <f t="shared" si="17"/>
        <v>0</v>
      </c>
      <c r="V154" s="11">
        <f t="shared" si="18"/>
        <v>0</v>
      </c>
      <c r="W154" s="11"/>
      <c r="X154" s="11"/>
      <c r="Y154" s="11"/>
      <c r="Z154" s="18"/>
      <c r="AA154" s="11"/>
      <c r="AB154" s="11"/>
      <c r="AC154" s="11"/>
    </row>
    <row r="155" spans="2:29">
      <c r="B155" s="4" t="s">
        <v>288</v>
      </c>
      <c r="C155" s="9"/>
      <c r="D155" s="5"/>
      <c r="E155" s="5">
        <v>50</v>
      </c>
      <c r="F155" s="5"/>
      <c r="G155" s="5"/>
      <c r="H155" s="5"/>
      <c r="I155" s="5"/>
      <c r="J155" s="7"/>
      <c r="K155" s="7"/>
      <c r="L155" s="7"/>
      <c r="M155" s="7"/>
      <c r="N155" s="7"/>
      <c r="O155" s="7">
        <f t="shared" si="21"/>
        <v>50</v>
      </c>
      <c r="P155" s="14">
        <v>1000</v>
      </c>
      <c r="Q155" s="119">
        <f t="shared" si="22"/>
        <v>50000</v>
      </c>
      <c r="R155" s="11"/>
      <c r="S155" s="11"/>
      <c r="T155" s="11">
        <f t="shared" si="20"/>
        <v>50000</v>
      </c>
      <c r="U155" s="11">
        <f t="shared" si="17"/>
        <v>0</v>
      </c>
      <c r="V155" s="11">
        <f t="shared" si="18"/>
        <v>0</v>
      </c>
      <c r="W155" s="11"/>
      <c r="X155" s="11"/>
      <c r="Y155" s="11"/>
      <c r="Z155" s="18"/>
      <c r="AA155" s="11"/>
      <c r="AB155" s="11"/>
      <c r="AC155" s="11"/>
    </row>
    <row r="156" spans="2:29">
      <c r="B156" s="4" t="s">
        <v>289</v>
      </c>
      <c r="C156" s="9"/>
      <c r="D156" s="5"/>
      <c r="E156" s="5">
        <v>1</v>
      </c>
      <c r="F156" s="5"/>
      <c r="G156" s="5"/>
      <c r="H156" s="5"/>
      <c r="I156" s="5"/>
      <c r="J156" s="7"/>
      <c r="K156" s="7"/>
      <c r="L156" s="7"/>
      <c r="M156" s="7"/>
      <c r="N156" s="7"/>
      <c r="O156" s="7">
        <f t="shared" si="21"/>
        <v>1</v>
      </c>
      <c r="P156" s="14">
        <v>40000</v>
      </c>
      <c r="Q156" s="119">
        <f t="shared" si="22"/>
        <v>40000</v>
      </c>
      <c r="R156" s="11"/>
      <c r="S156" s="11"/>
      <c r="T156" s="11">
        <f t="shared" si="20"/>
        <v>40000</v>
      </c>
      <c r="U156" s="11">
        <f t="shared" si="17"/>
        <v>0</v>
      </c>
      <c r="V156" s="11">
        <f t="shared" si="18"/>
        <v>0</v>
      </c>
      <c r="W156" s="11"/>
      <c r="X156" s="11"/>
      <c r="Y156" s="11"/>
      <c r="Z156" s="18"/>
      <c r="AA156" s="11"/>
      <c r="AB156" s="11"/>
      <c r="AC156" s="11"/>
    </row>
    <row r="157" spans="2:29">
      <c r="B157" s="4" t="s">
        <v>290</v>
      </c>
      <c r="C157" s="9"/>
      <c r="D157" s="5"/>
      <c r="E157" s="5">
        <v>10</v>
      </c>
      <c r="F157" s="5"/>
      <c r="G157" s="5"/>
      <c r="H157" s="5"/>
      <c r="I157" s="5"/>
      <c r="J157" s="7"/>
      <c r="K157" s="7"/>
      <c r="L157" s="7"/>
      <c r="M157" s="7"/>
      <c r="N157" s="7"/>
      <c r="O157" s="7">
        <f t="shared" si="21"/>
        <v>10</v>
      </c>
      <c r="P157" s="14">
        <v>5200</v>
      </c>
      <c r="Q157" s="119">
        <f t="shared" si="22"/>
        <v>52000</v>
      </c>
      <c r="R157" s="11"/>
      <c r="S157" s="11"/>
      <c r="T157" s="11">
        <f t="shared" si="20"/>
        <v>52000</v>
      </c>
      <c r="U157" s="11">
        <f t="shared" si="17"/>
        <v>0</v>
      </c>
      <c r="V157" s="11">
        <f t="shared" si="18"/>
        <v>0</v>
      </c>
      <c r="W157" s="11"/>
      <c r="X157" s="11"/>
      <c r="Y157" s="11"/>
      <c r="Z157" s="18"/>
      <c r="AA157" s="11"/>
      <c r="AB157" s="11"/>
      <c r="AC157" s="11"/>
    </row>
    <row r="158" spans="2:29">
      <c r="B158" s="4" t="s">
        <v>291</v>
      </c>
      <c r="C158" s="9"/>
      <c r="D158" s="5"/>
      <c r="E158" s="5">
        <v>10</v>
      </c>
      <c r="F158" s="5"/>
      <c r="G158" s="5"/>
      <c r="H158" s="5"/>
      <c r="I158" s="5"/>
      <c r="J158" s="7"/>
      <c r="K158" s="7"/>
      <c r="L158" s="7"/>
      <c r="M158" s="7"/>
      <c r="N158" s="7"/>
      <c r="O158" s="7">
        <f t="shared" si="21"/>
        <v>10</v>
      </c>
      <c r="P158" s="14">
        <v>5200</v>
      </c>
      <c r="Q158" s="119">
        <f t="shared" si="22"/>
        <v>52000</v>
      </c>
      <c r="R158" s="11"/>
      <c r="S158" s="11"/>
      <c r="T158" s="11">
        <f t="shared" si="20"/>
        <v>52000</v>
      </c>
      <c r="U158" s="11">
        <f t="shared" si="17"/>
        <v>0</v>
      </c>
      <c r="V158" s="11">
        <f t="shared" si="18"/>
        <v>0</v>
      </c>
      <c r="W158" s="11"/>
      <c r="X158" s="11"/>
      <c r="Y158" s="11"/>
      <c r="Z158" s="18"/>
      <c r="AA158" s="11"/>
      <c r="AB158" s="11"/>
      <c r="AC158" s="11"/>
    </row>
    <row r="159" spans="2:29">
      <c r="B159" s="4" t="s">
        <v>292</v>
      </c>
      <c r="C159" s="9"/>
      <c r="D159" s="5"/>
      <c r="E159" s="5">
        <v>2</v>
      </c>
      <c r="F159" s="5"/>
      <c r="G159" s="5"/>
      <c r="H159" s="5"/>
      <c r="I159" s="5"/>
      <c r="J159" s="7"/>
      <c r="K159" s="7"/>
      <c r="L159" s="7"/>
      <c r="M159" s="7"/>
      <c r="N159" s="7"/>
      <c r="O159" s="7">
        <f t="shared" si="21"/>
        <v>2</v>
      </c>
      <c r="P159" s="14">
        <v>15000</v>
      </c>
      <c r="Q159" s="119">
        <f t="shared" si="22"/>
        <v>30000</v>
      </c>
      <c r="R159" s="11"/>
      <c r="S159" s="11"/>
      <c r="T159" s="11">
        <f t="shared" si="20"/>
        <v>30000</v>
      </c>
      <c r="U159" s="11">
        <f t="shared" si="17"/>
        <v>0</v>
      </c>
      <c r="V159" s="11">
        <f t="shared" si="18"/>
        <v>0</v>
      </c>
      <c r="W159" s="11"/>
      <c r="X159" s="11"/>
      <c r="Y159" s="11"/>
      <c r="Z159" s="18"/>
      <c r="AA159" s="11"/>
      <c r="AB159" s="11"/>
      <c r="AC159" s="11"/>
    </row>
    <row r="160" spans="2:29">
      <c r="B160" s="4" t="s">
        <v>294</v>
      </c>
      <c r="C160" s="9"/>
      <c r="D160" s="5"/>
      <c r="E160" s="5">
        <v>1</v>
      </c>
      <c r="F160" s="5">
        <v>1</v>
      </c>
      <c r="G160" s="5"/>
      <c r="H160" s="5"/>
      <c r="I160" s="5"/>
      <c r="J160" s="7"/>
      <c r="K160" s="7"/>
      <c r="L160" s="7"/>
      <c r="M160" s="7"/>
      <c r="N160" s="7"/>
      <c r="O160" s="7">
        <f t="shared" si="21"/>
        <v>2</v>
      </c>
      <c r="P160" s="14">
        <v>16700</v>
      </c>
      <c r="Q160" s="119">
        <f>O160*P160</f>
        <v>33400</v>
      </c>
      <c r="R160" s="11"/>
      <c r="S160" s="11"/>
      <c r="T160" s="11">
        <f t="shared" si="20"/>
        <v>16700</v>
      </c>
      <c r="U160" s="11">
        <f t="shared" si="17"/>
        <v>16700</v>
      </c>
      <c r="V160" s="11">
        <f t="shared" si="18"/>
        <v>0</v>
      </c>
      <c r="W160" s="11"/>
      <c r="X160" s="11"/>
      <c r="Y160" s="11"/>
      <c r="Z160" s="18"/>
      <c r="AA160" s="11"/>
      <c r="AB160" s="11"/>
      <c r="AC160" s="11"/>
    </row>
    <row r="161" spans="2:29">
      <c r="B161" s="4" t="s">
        <v>295</v>
      </c>
      <c r="C161" s="9"/>
      <c r="D161" s="5"/>
      <c r="E161" s="5">
        <v>2</v>
      </c>
      <c r="F161" s="5"/>
      <c r="G161" s="5"/>
      <c r="H161" s="5"/>
      <c r="I161" s="5"/>
      <c r="J161" s="7"/>
      <c r="K161" s="7"/>
      <c r="L161" s="7"/>
      <c r="M161" s="7"/>
      <c r="N161" s="7"/>
      <c r="O161" s="7">
        <f t="shared" si="21"/>
        <v>2</v>
      </c>
      <c r="P161" s="14">
        <v>33300</v>
      </c>
      <c r="Q161" s="119">
        <f t="shared" ref="Q161:Q164" si="23">O161*P161</f>
        <v>66600</v>
      </c>
      <c r="R161" s="11"/>
      <c r="S161" s="11"/>
      <c r="T161" s="11">
        <f t="shared" si="20"/>
        <v>66600</v>
      </c>
      <c r="U161" s="11">
        <f t="shared" si="17"/>
        <v>0</v>
      </c>
      <c r="V161" s="11">
        <f t="shared" si="18"/>
        <v>0</v>
      </c>
      <c r="W161" s="11"/>
      <c r="X161" s="11"/>
      <c r="Y161" s="11"/>
      <c r="Z161" s="18"/>
      <c r="AA161" s="11"/>
      <c r="AB161" s="11"/>
      <c r="AC161" s="11"/>
    </row>
    <row r="162" spans="2:29">
      <c r="B162" s="4" t="s">
        <v>296</v>
      </c>
      <c r="C162" s="9"/>
      <c r="D162" s="5"/>
      <c r="E162" s="5">
        <v>6</v>
      </c>
      <c r="F162" s="5"/>
      <c r="G162" s="5"/>
      <c r="H162" s="5"/>
      <c r="I162" s="5"/>
      <c r="J162" s="7"/>
      <c r="K162" s="7"/>
      <c r="L162" s="7"/>
      <c r="M162" s="7"/>
      <c r="N162" s="7"/>
      <c r="O162" s="7">
        <f t="shared" si="21"/>
        <v>6</v>
      </c>
      <c r="P162" s="14">
        <v>3915</v>
      </c>
      <c r="Q162" s="119">
        <f t="shared" si="23"/>
        <v>23490</v>
      </c>
      <c r="R162" s="11"/>
      <c r="S162" s="11"/>
      <c r="T162" s="11">
        <f t="shared" si="20"/>
        <v>23490</v>
      </c>
      <c r="U162" s="11">
        <f t="shared" si="17"/>
        <v>0</v>
      </c>
      <c r="V162" s="11">
        <f t="shared" si="18"/>
        <v>0</v>
      </c>
      <c r="W162" s="11"/>
      <c r="X162" s="11"/>
      <c r="Y162" s="11"/>
      <c r="Z162" s="18"/>
      <c r="AA162" s="11"/>
      <c r="AB162" s="11"/>
      <c r="AC162" s="11"/>
    </row>
    <row r="163" spans="2:29">
      <c r="B163" s="4" t="s">
        <v>297</v>
      </c>
      <c r="C163" s="9"/>
      <c r="D163" s="5"/>
      <c r="E163" s="5">
        <v>3</v>
      </c>
      <c r="F163" s="5"/>
      <c r="G163" s="5"/>
      <c r="H163" s="5"/>
      <c r="I163" s="5"/>
      <c r="J163" s="7"/>
      <c r="K163" s="7"/>
      <c r="L163" s="7"/>
      <c r="M163" s="7"/>
      <c r="N163" s="7"/>
      <c r="O163" s="7">
        <f t="shared" si="21"/>
        <v>3</v>
      </c>
      <c r="P163" s="14">
        <v>7500</v>
      </c>
      <c r="Q163" s="119">
        <f t="shared" si="23"/>
        <v>22500</v>
      </c>
      <c r="R163" s="11"/>
      <c r="S163" s="11"/>
      <c r="T163" s="11">
        <f t="shared" si="20"/>
        <v>22500</v>
      </c>
      <c r="U163" s="11">
        <f t="shared" si="17"/>
        <v>0</v>
      </c>
      <c r="V163" s="11">
        <f t="shared" si="18"/>
        <v>0</v>
      </c>
      <c r="W163" s="11"/>
      <c r="X163" s="11"/>
      <c r="Y163" s="11"/>
      <c r="Z163" s="18"/>
      <c r="AA163" s="11"/>
      <c r="AB163" s="11"/>
      <c r="AC163" s="11"/>
    </row>
    <row r="164" spans="2:29">
      <c r="B164" s="4" t="s">
        <v>298</v>
      </c>
      <c r="C164" s="9"/>
      <c r="D164" s="5"/>
      <c r="E164" s="5">
        <v>1</v>
      </c>
      <c r="F164" s="5"/>
      <c r="G164" s="5"/>
      <c r="H164" s="5"/>
      <c r="I164" s="5"/>
      <c r="J164" s="7"/>
      <c r="K164" s="7"/>
      <c r="L164" s="7"/>
      <c r="M164" s="7"/>
      <c r="N164" s="7"/>
      <c r="O164" s="7">
        <f t="shared" si="21"/>
        <v>1</v>
      </c>
      <c r="P164" s="14">
        <v>25000</v>
      </c>
      <c r="Q164" s="119">
        <f t="shared" si="23"/>
        <v>25000</v>
      </c>
      <c r="R164" s="11"/>
      <c r="S164" s="11"/>
      <c r="T164" s="11">
        <f t="shared" si="20"/>
        <v>25000</v>
      </c>
      <c r="U164" s="11">
        <f t="shared" si="17"/>
        <v>0</v>
      </c>
      <c r="V164" s="11">
        <f t="shared" si="18"/>
        <v>0</v>
      </c>
      <c r="W164" s="11"/>
      <c r="X164" s="11"/>
      <c r="Y164" s="11"/>
      <c r="Z164" s="18"/>
      <c r="AA164" s="11"/>
      <c r="AB164" s="11"/>
      <c r="AC164" s="11"/>
    </row>
    <row r="165" spans="2:29">
      <c r="B165" s="4" t="s">
        <v>299</v>
      </c>
      <c r="C165" s="9"/>
      <c r="D165" s="5"/>
      <c r="E165" s="5">
        <v>1</v>
      </c>
      <c r="F165" s="5"/>
      <c r="G165" s="5"/>
      <c r="H165" s="5"/>
      <c r="I165" s="5"/>
      <c r="J165" s="7"/>
      <c r="K165" s="7"/>
      <c r="L165" s="7"/>
      <c r="M165" s="7"/>
      <c r="N165" s="7"/>
      <c r="O165" s="7">
        <f t="shared" si="21"/>
        <v>1</v>
      </c>
      <c r="P165" s="14">
        <v>2790000</v>
      </c>
      <c r="Q165" s="119">
        <f>O165*P165</f>
        <v>2790000</v>
      </c>
      <c r="R165" s="11"/>
      <c r="S165" s="11"/>
      <c r="T165" s="11">
        <f t="shared" si="20"/>
        <v>2790000</v>
      </c>
      <c r="U165" s="11">
        <f t="shared" si="17"/>
        <v>0</v>
      </c>
      <c r="V165" s="11">
        <f t="shared" si="18"/>
        <v>0</v>
      </c>
      <c r="W165" s="11"/>
      <c r="X165" s="11"/>
      <c r="Y165" s="11"/>
      <c r="Z165" s="18"/>
      <c r="AA165" s="11"/>
      <c r="AB165" s="11"/>
      <c r="AC165" s="11"/>
    </row>
    <row r="166" spans="2:29">
      <c r="B166" s="4" t="s">
        <v>300</v>
      </c>
      <c r="C166" s="9"/>
      <c r="D166" s="5"/>
      <c r="E166" s="5">
        <v>8</v>
      </c>
      <c r="F166" s="5"/>
      <c r="G166" s="5"/>
      <c r="H166" s="5"/>
      <c r="I166" s="5"/>
      <c r="J166" s="7"/>
      <c r="K166" s="7"/>
      <c r="L166" s="7"/>
      <c r="M166" s="7"/>
      <c r="N166" s="7"/>
      <c r="O166" s="7">
        <f t="shared" si="21"/>
        <v>8</v>
      </c>
      <c r="P166" s="14">
        <v>1000000</v>
      </c>
      <c r="Q166" s="119">
        <f>O166*P166</f>
        <v>8000000</v>
      </c>
      <c r="R166" s="11"/>
      <c r="S166" s="11"/>
      <c r="T166" s="11">
        <f t="shared" si="20"/>
        <v>8000000</v>
      </c>
      <c r="U166" s="11">
        <f t="shared" si="17"/>
        <v>0</v>
      </c>
      <c r="V166" s="11">
        <f t="shared" si="18"/>
        <v>0</v>
      </c>
      <c r="W166" s="11"/>
      <c r="X166" s="11"/>
      <c r="Y166" s="11"/>
      <c r="Z166" s="18"/>
      <c r="AA166" s="11"/>
      <c r="AB166" s="11"/>
      <c r="AC166" s="11"/>
    </row>
    <row r="167" spans="2:29">
      <c r="B167" s="4" t="s">
        <v>301</v>
      </c>
      <c r="C167" s="9"/>
      <c r="D167" s="5"/>
      <c r="E167" s="5"/>
      <c r="F167" s="5">
        <v>1</v>
      </c>
      <c r="G167" s="5"/>
      <c r="H167" s="5"/>
      <c r="I167" s="5"/>
      <c r="J167" s="7"/>
      <c r="K167" s="7"/>
      <c r="L167" s="7"/>
      <c r="M167" s="7"/>
      <c r="N167" s="7"/>
      <c r="O167" s="7">
        <f t="shared" si="21"/>
        <v>1</v>
      </c>
      <c r="P167" s="14">
        <v>200000</v>
      </c>
      <c r="Q167" s="119">
        <f>O167*P167</f>
        <v>200000</v>
      </c>
      <c r="R167" s="11"/>
      <c r="S167" s="11"/>
      <c r="T167" s="11">
        <f t="shared" si="20"/>
        <v>0</v>
      </c>
      <c r="U167" s="11">
        <f t="shared" si="17"/>
        <v>200000</v>
      </c>
      <c r="V167" s="11">
        <f t="shared" si="18"/>
        <v>0</v>
      </c>
      <c r="W167" s="11"/>
      <c r="X167" s="11"/>
      <c r="Y167" s="11"/>
      <c r="Z167" s="18"/>
      <c r="AA167" s="11"/>
      <c r="AB167" s="11"/>
      <c r="AC167" s="11"/>
    </row>
    <row r="168" spans="2:29">
      <c r="B168" s="4" t="s">
        <v>302</v>
      </c>
      <c r="C168" s="9"/>
      <c r="D168" s="5"/>
      <c r="E168" s="5"/>
      <c r="F168" s="5">
        <v>1</v>
      </c>
      <c r="G168" s="5"/>
      <c r="H168" s="5"/>
      <c r="I168" s="5"/>
      <c r="J168" s="7"/>
      <c r="K168" s="7"/>
      <c r="L168" s="7"/>
      <c r="M168" s="7"/>
      <c r="N168" s="7"/>
      <c r="O168" s="7">
        <f t="shared" si="21"/>
        <v>1</v>
      </c>
      <c r="P168" s="14">
        <v>43316</v>
      </c>
      <c r="Q168" s="119">
        <f t="shared" ref="Q168:Q212" si="24">O168*P168</f>
        <v>43316</v>
      </c>
      <c r="R168" s="11"/>
      <c r="S168" s="11"/>
      <c r="T168" s="11">
        <f t="shared" si="20"/>
        <v>0</v>
      </c>
      <c r="U168" s="11">
        <f t="shared" si="17"/>
        <v>43316</v>
      </c>
      <c r="V168" s="11">
        <f t="shared" si="18"/>
        <v>0</v>
      </c>
      <c r="W168" s="11"/>
      <c r="X168" s="11"/>
      <c r="Y168" s="11"/>
      <c r="Z168" s="18"/>
      <c r="AA168" s="11"/>
      <c r="AB168" s="11"/>
      <c r="AC168" s="11"/>
    </row>
    <row r="169" spans="2:29">
      <c r="B169" s="4" t="s">
        <v>303</v>
      </c>
      <c r="C169" s="9"/>
      <c r="D169" s="5"/>
      <c r="E169" s="5"/>
      <c r="F169" s="5">
        <v>1</v>
      </c>
      <c r="G169" s="5"/>
      <c r="H169" s="5"/>
      <c r="I169" s="5"/>
      <c r="J169" s="7"/>
      <c r="K169" s="7"/>
      <c r="L169" s="7"/>
      <c r="M169" s="7"/>
      <c r="N169" s="7"/>
      <c r="O169" s="7">
        <f t="shared" si="21"/>
        <v>1</v>
      </c>
      <c r="P169" s="14">
        <v>832142.5</v>
      </c>
      <c r="Q169" s="119">
        <f t="shared" si="24"/>
        <v>832142.5</v>
      </c>
      <c r="R169" s="11"/>
      <c r="S169" s="11"/>
      <c r="T169" s="11"/>
      <c r="U169" s="11">
        <f t="shared" si="17"/>
        <v>832142.5</v>
      </c>
      <c r="V169" s="11">
        <f t="shared" si="18"/>
        <v>0</v>
      </c>
      <c r="W169" s="11"/>
      <c r="X169" s="11"/>
      <c r="Y169" s="11"/>
      <c r="Z169" s="18"/>
      <c r="AA169" s="11"/>
      <c r="AB169" s="11"/>
      <c r="AC169" s="11"/>
    </row>
    <row r="170" spans="2:29">
      <c r="B170" s="4" t="s">
        <v>304</v>
      </c>
      <c r="C170" s="9"/>
      <c r="D170" s="5"/>
      <c r="E170" s="5"/>
      <c r="F170" s="5">
        <v>2</v>
      </c>
      <c r="G170" s="5"/>
      <c r="H170" s="5"/>
      <c r="I170" s="5"/>
      <c r="J170" s="7"/>
      <c r="K170" s="7"/>
      <c r="L170" s="7"/>
      <c r="M170" s="7"/>
      <c r="N170" s="7"/>
      <c r="O170" s="7">
        <f t="shared" si="21"/>
        <v>2</v>
      </c>
      <c r="P170" s="14">
        <v>65000</v>
      </c>
      <c r="Q170" s="119">
        <f t="shared" si="24"/>
        <v>130000</v>
      </c>
      <c r="R170" s="11"/>
      <c r="S170" s="11"/>
      <c r="T170" s="11"/>
      <c r="U170" s="11">
        <f t="shared" si="17"/>
        <v>130000</v>
      </c>
      <c r="V170" s="11">
        <f t="shared" si="18"/>
        <v>0</v>
      </c>
      <c r="W170" s="11"/>
      <c r="X170" s="11"/>
      <c r="Y170" s="11"/>
      <c r="Z170" s="18"/>
      <c r="AA170" s="11"/>
      <c r="AB170" s="11"/>
      <c r="AC170" s="11"/>
    </row>
    <row r="171" spans="2:29">
      <c r="B171" s="4" t="s">
        <v>305</v>
      </c>
      <c r="C171" s="9"/>
      <c r="D171" s="5"/>
      <c r="E171" s="5"/>
      <c r="F171" s="5">
        <v>2</v>
      </c>
      <c r="G171" s="5"/>
      <c r="H171" s="5"/>
      <c r="I171" s="5"/>
      <c r="J171" s="7"/>
      <c r="K171" s="7"/>
      <c r="L171" s="7"/>
      <c r="M171" s="7"/>
      <c r="N171" s="7"/>
      <c r="O171" s="7">
        <f t="shared" si="21"/>
        <v>2</v>
      </c>
      <c r="P171" s="14">
        <v>85000</v>
      </c>
      <c r="Q171" s="119">
        <f t="shared" si="24"/>
        <v>170000</v>
      </c>
      <c r="R171" s="11"/>
      <c r="S171" s="11"/>
      <c r="T171" s="11"/>
      <c r="U171" s="11">
        <f t="shared" si="17"/>
        <v>170000</v>
      </c>
      <c r="V171" s="11">
        <f t="shared" si="18"/>
        <v>0</v>
      </c>
      <c r="W171" s="11"/>
      <c r="X171" s="11"/>
      <c r="Y171" s="11"/>
      <c r="Z171" s="18"/>
      <c r="AA171" s="11"/>
      <c r="AB171" s="11"/>
      <c r="AC171" s="11"/>
    </row>
    <row r="172" spans="2:29">
      <c r="B172" s="4" t="s">
        <v>306</v>
      </c>
      <c r="C172" s="9"/>
      <c r="D172" s="5"/>
      <c r="E172" s="5"/>
      <c r="F172" s="5">
        <v>1</v>
      </c>
      <c r="G172" s="5">
        <v>1</v>
      </c>
      <c r="H172" s="5">
        <v>1</v>
      </c>
      <c r="I172" s="5"/>
      <c r="J172" s="7"/>
      <c r="K172" s="7"/>
      <c r="L172" s="7"/>
      <c r="M172" s="7"/>
      <c r="N172" s="7"/>
      <c r="O172" s="7">
        <f t="shared" si="21"/>
        <v>3</v>
      </c>
      <c r="P172" s="14">
        <v>188000</v>
      </c>
      <c r="Q172" s="119">
        <f t="shared" si="24"/>
        <v>564000</v>
      </c>
      <c r="R172" s="11"/>
      <c r="S172" s="11"/>
      <c r="T172" s="11"/>
      <c r="U172" s="11">
        <f t="shared" si="17"/>
        <v>188000</v>
      </c>
      <c r="V172" s="11">
        <f t="shared" si="18"/>
        <v>188000</v>
      </c>
      <c r="W172" s="11"/>
      <c r="X172" s="11"/>
      <c r="Y172" s="11"/>
      <c r="Z172" s="18"/>
      <c r="AA172" s="11"/>
      <c r="AB172" s="11"/>
      <c r="AC172" s="11"/>
    </row>
    <row r="173" spans="2:29">
      <c r="B173" s="4" t="s">
        <v>307</v>
      </c>
      <c r="C173" s="9"/>
      <c r="D173" s="5"/>
      <c r="E173" s="5"/>
      <c r="F173" s="5">
        <v>1</v>
      </c>
      <c r="G173" s="5"/>
      <c r="H173" s="5"/>
      <c r="I173" s="5"/>
      <c r="J173" s="7"/>
      <c r="K173" s="7"/>
      <c r="L173" s="7"/>
      <c r="M173" s="7"/>
      <c r="N173" s="7"/>
      <c r="O173" s="7">
        <f t="shared" si="21"/>
        <v>1</v>
      </c>
      <c r="P173" s="14">
        <v>193375</v>
      </c>
      <c r="Q173" s="119">
        <f t="shared" si="24"/>
        <v>193375</v>
      </c>
      <c r="R173" s="11"/>
      <c r="S173" s="11"/>
      <c r="T173" s="11"/>
      <c r="U173" s="11">
        <f t="shared" si="17"/>
        <v>193375</v>
      </c>
      <c r="V173" s="11">
        <f t="shared" si="18"/>
        <v>0</v>
      </c>
      <c r="W173" s="11"/>
      <c r="X173" s="11"/>
      <c r="Y173" s="11"/>
      <c r="Z173" s="18"/>
      <c r="AA173" s="11"/>
      <c r="AB173" s="11"/>
      <c r="AC173" s="11"/>
    </row>
    <row r="174" spans="2:29">
      <c r="B174" s="4" t="s">
        <v>308</v>
      </c>
      <c r="C174" s="9"/>
      <c r="D174" s="188"/>
      <c r="E174" s="5"/>
      <c r="F174" s="5">
        <v>1</v>
      </c>
      <c r="G174" s="5"/>
      <c r="H174" s="5"/>
      <c r="I174" s="5"/>
      <c r="J174" s="7"/>
      <c r="K174" s="7"/>
      <c r="L174" s="7"/>
      <c r="M174" s="7"/>
      <c r="N174" s="7"/>
      <c r="O174" s="7">
        <f t="shared" si="21"/>
        <v>1</v>
      </c>
      <c r="P174" s="14">
        <v>36000</v>
      </c>
      <c r="Q174" s="119">
        <f t="shared" si="24"/>
        <v>36000</v>
      </c>
      <c r="R174" s="11"/>
      <c r="S174" s="11"/>
      <c r="T174" s="11"/>
      <c r="U174" s="11">
        <f t="shared" si="17"/>
        <v>36000</v>
      </c>
      <c r="V174" s="11">
        <f t="shared" si="18"/>
        <v>0</v>
      </c>
      <c r="W174" s="11"/>
      <c r="X174" s="11"/>
      <c r="Y174" s="11"/>
      <c r="Z174" s="18"/>
      <c r="AA174" s="11"/>
      <c r="AB174" s="11"/>
      <c r="AC174" s="11"/>
    </row>
    <row r="175" spans="2:29">
      <c r="B175" s="4" t="s">
        <v>309</v>
      </c>
      <c r="C175" s="9"/>
      <c r="D175" s="188"/>
      <c r="E175" s="5"/>
      <c r="F175" s="5">
        <v>1</v>
      </c>
      <c r="G175" s="5"/>
      <c r="H175" s="5"/>
      <c r="I175" s="5"/>
      <c r="J175" s="7"/>
      <c r="K175" s="7"/>
      <c r="L175" s="7"/>
      <c r="M175" s="7"/>
      <c r="N175" s="7"/>
      <c r="O175" s="7">
        <f t="shared" si="21"/>
        <v>1</v>
      </c>
      <c r="P175" s="14">
        <v>22000</v>
      </c>
      <c r="Q175" s="119">
        <f t="shared" si="24"/>
        <v>22000</v>
      </c>
      <c r="R175" s="11"/>
      <c r="S175" s="11"/>
      <c r="T175" s="11"/>
      <c r="U175" s="11">
        <f t="shared" si="17"/>
        <v>22000</v>
      </c>
      <c r="V175" s="11">
        <f t="shared" si="18"/>
        <v>0</v>
      </c>
      <c r="W175" s="11"/>
      <c r="X175" s="11"/>
      <c r="Y175" s="11"/>
      <c r="Z175" s="18"/>
      <c r="AA175" s="11"/>
      <c r="AB175" s="11"/>
      <c r="AC175" s="11"/>
    </row>
    <row r="176" spans="2:29">
      <c r="B176" s="4" t="s">
        <v>310</v>
      </c>
      <c r="C176" s="9"/>
      <c r="D176" s="188"/>
      <c r="E176" s="5"/>
      <c r="F176" s="5">
        <v>1</v>
      </c>
      <c r="G176" s="5"/>
      <c r="H176" s="5"/>
      <c r="I176" s="5"/>
      <c r="J176" s="7"/>
      <c r="K176" s="7"/>
      <c r="L176" s="7"/>
      <c r="M176" s="7"/>
      <c r="N176" s="7"/>
      <c r="O176" s="7">
        <f t="shared" si="21"/>
        <v>1</v>
      </c>
      <c r="P176" s="14">
        <v>5200</v>
      </c>
      <c r="Q176" s="119">
        <f t="shared" si="24"/>
        <v>5200</v>
      </c>
      <c r="R176" s="11"/>
      <c r="S176" s="11"/>
      <c r="T176" s="11"/>
      <c r="U176" s="11">
        <f t="shared" si="17"/>
        <v>5200</v>
      </c>
      <c r="V176" s="11">
        <f t="shared" si="18"/>
        <v>0</v>
      </c>
      <c r="W176" s="11"/>
      <c r="X176" s="11"/>
      <c r="Y176" s="11"/>
      <c r="Z176" s="18"/>
      <c r="AA176" s="11"/>
      <c r="AB176" s="11"/>
      <c r="AC176" s="11"/>
    </row>
    <row r="177" spans="2:29">
      <c r="B177" s="4" t="s">
        <v>311</v>
      </c>
      <c r="C177" s="9"/>
      <c r="D177" s="188"/>
      <c r="E177" s="5"/>
      <c r="F177" s="5">
        <v>6</v>
      </c>
      <c r="G177" s="5"/>
      <c r="H177" s="5"/>
      <c r="I177" s="5"/>
      <c r="J177" s="7"/>
      <c r="K177" s="7"/>
      <c r="L177" s="7"/>
      <c r="M177" s="7"/>
      <c r="N177" s="7"/>
      <c r="O177" s="7">
        <f t="shared" si="21"/>
        <v>6</v>
      </c>
      <c r="P177" s="14">
        <v>12000</v>
      </c>
      <c r="Q177" s="119">
        <f t="shared" si="24"/>
        <v>72000</v>
      </c>
      <c r="R177" s="11"/>
      <c r="S177" s="11"/>
      <c r="T177" s="11"/>
      <c r="U177" s="11">
        <f t="shared" si="17"/>
        <v>72000</v>
      </c>
      <c r="V177" s="11">
        <f t="shared" si="18"/>
        <v>0</v>
      </c>
      <c r="W177" s="11"/>
      <c r="X177" s="11"/>
      <c r="Y177" s="11"/>
      <c r="Z177" s="18"/>
      <c r="AA177" s="11"/>
      <c r="AB177" s="11"/>
      <c r="AC177" s="11"/>
    </row>
    <row r="178" spans="2:29">
      <c r="B178" s="4" t="s">
        <v>312</v>
      </c>
      <c r="C178" s="9"/>
      <c r="D178" s="188"/>
      <c r="E178" s="5"/>
      <c r="F178" s="5">
        <v>12</v>
      </c>
      <c r="G178" s="5"/>
      <c r="H178" s="5"/>
      <c r="I178" s="5"/>
      <c r="J178" s="7"/>
      <c r="K178" s="7"/>
      <c r="L178" s="7"/>
      <c r="M178" s="7"/>
      <c r="N178" s="7"/>
      <c r="O178" s="7">
        <f t="shared" si="21"/>
        <v>12</v>
      </c>
      <c r="P178" s="14">
        <v>1600</v>
      </c>
      <c r="Q178" s="119">
        <f t="shared" si="24"/>
        <v>19200</v>
      </c>
      <c r="R178" s="11"/>
      <c r="S178" s="11"/>
      <c r="T178" s="11"/>
      <c r="U178" s="11">
        <f t="shared" si="17"/>
        <v>19200</v>
      </c>
      <c r="V178" s="11">
        <f t="shared" si="18"/>
        <v>0</v>
      </c>
      <c r="W178" s="11"/>
      <c r="X178" s="11"/>
      <c r="Y178" s="11"/>
      <c r="Z178" s="18"/>
      <c r="AA178" s="11"/>
      <c r="AB178" s="11"/>
      <c r="AC178" s="11"/>
    </row>
    <row r="179" spans="2:29">
      <c r="B179" s="4" t="s">
        <v>313</v>
      </c>
      <c r="C179" s="9"/>
      <c r="D179" s="5"/>
      <c r="E179" s="5"/>
      <c r="F179" s="5">
        <v>6</v>
      </c>
      <c r="G179" s="5"/>
      <c r="H179" s="5"/>
      <c r="I179" s="5"/>
      <c r="J179" s="7"/>
      <c r="K179" s="7"/>
      <c r="L179" s="7"/>
      <c r="M179" s="7"/>
      <c r="N179" s="7"/>
      <c r="O179" s="7">
        <f t="shared" si="21"/>
        <v>6</v>
      </c>
      <c r="P179" s="14">
        <v>6800</v>
      </c>
      <c r="Q179" s="119">
        <f t="shared" si="24"/>
        <v>40800</v>
      </c>
      <c r="R179" s="11"/>
      <c r="S179" s="11"/>
      <c r="T179" s="11"/>
      <c r="U179" s="11">
        <f t="shared" si="17"/>
        <v>40800</v>
      </c>
      <c r="V179" s="11">
        <f t="shared" si="18"/>
        <v>0</v>
      </c>
      <c r="W179" s="11"/>
      <c r="X179" s="11"/>
      <c r="Y179" s="11"/>
      <c r="Z179" s="18"/>
      <c r="AA179" s="11"/>
      <c r="AB179" s="11"/>
      <c r="AC179" s="11"/>
    </row>
    <row r="180" spans="2:29">
      <c r="B180" s="4" t="s">
        <v>314</v>
      </c>
      <c r="C180" s="9"/>
      <c r="D180" s="5"/>
      <c r="E180" s="5"/>
      <c r="F180" s="5">
        <v>6</v>
      </c>
      <c r="G180" s="5"/>
      <c r="H180" s="5"/>
      <c r="I180" s="5"/>
      <c r="J180" s="7"/>
      <c r="K180" s="7"/>
      <c r="L180" s="7"/>
      <c r="M180" s="7"/>
      <c r="N180" s="7"/>
      <c r="O180" s="7">
        <f t="shared" si="21"/>
        <v>6</v>
      </c>
      <c r="P180" s="14">
        <v>6800</v>
      </c>
      <c r="Q180" s="119">
        <f t="shared" si="24"/>
        <v>40800</v>
      </c>
      <c r="R180" s="11"/>
      <c r="S180" s="11"/>
      <c r="T180" s="11"/>
      <c r="U180" s="11">
        <f t="shared" si="17"/>
        <v>40800</v>
      </c>
      <c r="V180" s="11">
        <f t="shared" si="18"/>
        <v>0</v>
      </c>
      <c r="W180" s="11"/>
      <c r="X180" s="11"/>
      <c r="Y180" s="11"/>
      <c r="Z180" s="18"/>
      <c r="AA180" s="11"/>
      <c r="AB180" s="11"/>
      <c r="AC180" s="11"/>
    </row>
    <row r="181" spans="2:29">
      <c r="B181" s="4" t="s">
        <v>315</v>
      </c>
      <c r="C181" s="9"/>
      <c r="D181" s="5"/>
      <c r="E181" s="5"/>
      <c r="F181" s="5">
        <v>1</v>
      </c>
      <c r="G181" s="5"/>
      <c r="H181" s="5"/>
      <c r="I181" s="5"/>
      <c r="J181" s="7"/>
      <c r="K181" s="7"/>
      <c r="L181" s="7"/>
      <c r="M181" s="7"/>
      <c r="N181" s="7"/>
      <c r="O181" s="7">
        <f t="shared" si="21"/>
        <v>1</v>
      </c>
      <c r="P181" s="14">
        <v>87000</v>
      </c>
      <c r="Q181" s="119">
        <f t="shared" si="24"/>
        <v>87000</v>
      </c>
      <c r="R181" s="11"/>
      <c r="S181" s="11"/>
      <c r="T181" s="11"/>
      <c r="U181" s="11">
        <f t="shared" si="17"/>
        <v>87000</v>
      </c>
      <c r="V181" s="11">
        <f t="shared" si="18"/>
        <v>0</v>
      </c>
      <c r="W181" s="11"/>
      <c r="X181" s="11"/>
      <c r="Y181" s="11"/>
      <c r="Z181" s="18"/>
      <c r="AA181" s="11"/>
      <c r="AB181" s="11"/>
      <c r="AC181" s="11"/>
    </row>
    <row r="182" spans="2:29">
      <c r="B182" s="4" t="s">
        <v>316</v>
      </c>
      <c r="C182" s="9"/>
      <c r="D182" s="5"/>
      <c r="E182" s="5"/>
      <c r="F182" s="5">
        <v>1</v>
      </c>
      <c r="G182" s="5"/>
      <c r="H182" s="5"/>
      <c r="I182" s="5"/>
      <c r="J182" s="7"/>
      <c r="K182" s="7"/>
      <c r="L182" s="7"/>
      <c r="M182" s="7"/>
      <c r="N182" s="7"/>
      <c r="O182" s="7">
        <f t="shared" si="21"/>
        <v>1</v>
      </c>
      <c r="P182" s="14">
        <v>21600</v>
      </c>
      <c r="Q182" s="119">
        <f t="shared" si="24"/>
        <v>21600</v>
      </c>
      <c r="R182" s="11"/>
      <c r="S182" s="11"/>
      <c r="T182" s="11"/>
      <c r="U182" s="11">
        <f t="shared" si="17"/>
        <v>21600</v>
      </c>
      <c r="V182" s="11">
        <f t="shared" si="18"/>
        <v>0</v>
      </c>
      <c r="W182" s="11"/>
      <c r="X182" s="11"/>
      <c r="Y182" s="11"/>
      <c r="Z182" s="18"/>
      <c r="AA182" s="11"/>
      <c r="AB182" s="11"/>
      <c r="AC182" s="11"/>
    </row>
    <row r="183" spans="2:29">
      <c r="B183" s="4" t="s">
        <v>317</v>
      </c>
      <c r="C183" s="9"/>
      <c r="D183" s="188"/>
      <c r="E183" s="5"/>
      <c r="F183" s="5">
        <v>2</v>
      </c>
      <c r="G183" s="5"/>
      <c r="H183" s="5"/>
      <c r="I183" s="5"/>
      <c r="J183" s="7"/>
      <c r="K183" s="7"/>
      <c r="L183" s="7"/>
      <c r="M183" s="7"/>
      <c r="N183" s="7"/>
      <c r="O183" s="7">
        <f t="shared" si="21"/>
        <v>2</v>
      </c>
      <c r="P183" s="14">
        <v>62000</v>
      </c>
      <c r="Q183" s="119">
        <f t="shared" si="24"/>
        <v>124000</v>
      </c>
      <c r="R183" s="11"/>
      <c r="S183" s="11"/>
      <c r="T183" s="11"/>
      <c r="U183" s="11">
        <f t="shared" si="17"/>
        <v>124000</v>
      </c>
      <c r="V183" s="11">
        <f t="shared" si="18"/>
        <v>0</v>
      </c>
      <c r="W183" s="11"/>
      <c r="X183" s="11"/>
      <c r="Y183" s="11"/>
      <c r="Z183" s="18"/>
      <c r="AA183" s="11"/>
      <c r="AB183" s="11"/>
      <c r="AC183" s="11"/>
    </row>
    <row r="184" spans="2:29">
      <c r="B184" s="4" t="s">
        <v>318</v>
      </c>
      <c r="C184" s="9"/>
      <c r="D184" s="188"/>
      <c r="E184" s="5"/>
      <c r="F184" s="5">
        <v>4</v>
      </c>
      <c r="G184" s="5"/>
      <c r="H184" s="5"/>
      <c r="I184" s="5"/>
      <c r="J184" s="7"/>
      <c r="K184" s="7"/>
      <c r="L184" s="7"/>
      <c r="M184" s="7"/>
      <c r="N184" s="7"/>
      <c r="O184" s="7">
        <f t="shared" si="21"/>
        <v>4</v>
      </c>
      <c r="P184" s="14">
        <v>12000</v>
      </c>
      <c r="Q184" s="119">
        <f t="shared" si="24"/>
        <v>48000</v>
      </c>
      <c r="R184" s="11"/>
      <c r="S184" s="11"/>
      <c r="T184" s="11"/>
      <c r="U184" s="11">
        <f t="shared" si="17"/>
        <v>48000</v>
      </c>
      <c r="V184" s="11">
        <f t="shared" si="18"/>
        <v>0</v>
      </c>
      <c r="W184" s="11"/>
      <c r="X184" s="11"/>
      <c r="Y184" s="11"/>
      <c r="Z184" s="18"/>
      <c r="AA184" s="11"/>
      <c r="AB184" s="11"/>
      <c r="AC184" s="11"/>
    </row>
    <row r="185" spans="2:29">
      <c r="B185" s="4" t="s">
        <v>319</v>
      </c>
      <c r="C185" s="9"/>
      <c r="D185" s="188"/>
      <c r="E185" s="5"/>
      <c r="F185" s="5">
        <v>1</v>
      </c>
      <c r="G185" s="5"/>
      <c r="H185" s="5"/>
      <c r="I185" s="5"/>
      <c r="J185" s="7"/>
      <c r="K185" s="7"/>
      <c r="L185" s="7"/>
      <c r="M185" s="7"/>
      <c r="N185" s="7"/>
      <c r="O185" s="7">
        <f t="shared" si="21"/>
        <v>1</v>
      </c>
      <c r="P185" s="14">
        <v>360000</v>
      </c>
      <c r="Q185" s="119">
        <f t="shared" si="24"/>
        <v>360000</v>
      </c>
      <c r="R185" s="11"/>
      <c r="S185" s="11"/>
      <c r="T185" s="11"/>
      <c r="U185" s="11">
        <f t="shared" si="17"/>
        <v>360000</v>
      </c>
      <c r="V185" s="11">
        <f t="shared" si="18"/>
        <v>0</v>
      </c>
      <c r="W185" s="11"/>
      <c r="X185" s="11"/>
      <c r="Y185" s="11"/>
      <c r="Z185" s="18"/>
      <c r="AA185" s="11"/>
      <c r="AB185" s="11"/>
      <c r="AC185" s="11"/>
    </row>
    <row r="186" spans="2:29">
      <c r="B186" s="4" t="s">
        <v>320</v>
      </c>
      <c r="C186" s="9"/>
      <c r="D186" s="188"/>
      <c r="E186" s="5"/>
      <c r="F186" s="5">
        <v>62</v>
      </c>
      <c r="G186" s="5"/>
      <c r="H186" s="5"/>
      <c r="I186" s="5"/>
      <c r="J186" s="7"/>
      <c r="K186" s="7"/>
      <c r="L186" s="7"/>
      <c r="M186" s="7"/>
      <c r="N186" s="7"/>
      <c r="O186" s="7">
        <f t="shared" si="21"/>
        <v>62</v>
      </c>
      <c r="P186" s="14">
        <v>1761</v>
      </c>
      <c r="Q186" s="119">
        <f t="shared" si="24"/>
        <v>109182</v>
      </c>
      <c r="R186" s="11"/>
      <c r="S186" s="11"/>
      <c r="T186" s="11"/>
      <c r="U186" s="11">
        <f t="shared" si="17"/>
        <v>109182</v>
      </c>
      <c r="V186" s="11">
        <f t="shared" si="18"/>
        <v>0</v>
      </c>
      <c r="W186" s="11"/>
      <c r="X186" s="11"/>
      <c r="Y186" s="11"/>
      <c r="Z186" s="18"/>
      <c r="AA186" s="11"/>
      <c r="AB186" s="11"/>
      <c r="AC186" s="11"/>
    </row>
    <row r="187" spans="2:29">
      <c r="B187" s="4" t="s">
        <v>321</v>
      </c>
      <c r="C187" s="9"/>
      <c r="D187" s="188"/>
      <c r="E187" s="5"/>
      <c r="F187" s="5">
        <v>2</v>
      </c>
      <c r="G187" s="5"/>
      <c r="H187" s="5"/>
      <c r="I187" s="5"/>
      <c r="J187" s="7"/>
      <c r="K187" s="7"/>
      <c r="L187" s="7"/>
      <c r="M187" s="7"/>
      <c r="N187" s="7"/>
      <c r="O187" s="7">
        <f t="shared" si="21"/>
        <v>2</v>
      </c>
      <c r="P187" s="14">
        <v>9600</v>
      </c>
      <c r="Q187" s="119">
        <f t="shared" si="24"/>
        <v>19200</v>
      </c>
      <c r="R187" s="11"/>
      <c r="S187" s="11"/>
      <c r="T187" s="11"/>
      <c r="U187" s="11">
        <f t="shared" si="17"/>
        <v>19200</v>
      </c>
      <c r="V187" s="11">
        <f t="shared" si="18"/>
        <v>0</v>
      </c>
      <c r="W187" s="11"/>
      <c r="X187" s="11"/>
      <c r="Y187" s="11"/>
      <c r="Z187" s="18"/>
      <c r="AA187" s="11"/>
      <c r="AB187" s="11"/>
      <c r="AC187" s="11"/>
    </row>
    <row r="188" spans="2:29">
      <c r="B188" s="4" t="s">
        <v>322</v>
      </c>
      <c r="C188" s="9"/>
      <c r="D188" s="188"/>
      <c r="E188" s="5"/>
      <c r="F188" s="5">
        <v>2</v>
      </c>
      <c r="G188" s="5"/>
      <c r="H188" s="5"/>
      <c r="I188" s="5"/>
      <c r="J188" s="7"/>
      <c r="K188" s="7"/>
      <c r="L188" s="7"/>
      <c r="M188" s="7"/>
      <c r="N188" s="7"/>
      <c r="O188" s="7">
        <f t="shared" si="21"/>
        <v>2</v>
      </c>
      <c r="P188" s="14">
        <v>14000</v>
      </c>
      <c r="Q188" s="119">
        <f t="shared" si="24"/>
        <v>28000</v>
      </c>
      <c r="R188" s="11"/>
      <c r="S188" s="11"/>
      <c r="T188" s="11"/>
      <c r="U188" s="11">
        <f t="shared" si="17"/>
        <v>28000</v>
      </c>
      <c r="V188" s="11">
        <f t="shared" si="18"/>
        <v>0</v>
      </c>
      <c r="W188" s="11"/>
      <c r="X188" s="11"/>
      <c r="Y188" s="11"/>
      <c r="Z188" s="18"/>
      <c r="AA188" s="11"/>
      <c r="AB188" s="11"/>
      <c r="AC188" s="11"/>
    </row>
    <row r="189" spans="2:29">
      <c r="B189" s="4" t="s">
        <v>323</v>
      </c>
      <c r="C189" s="9"/>
      <c r="D189" s="188"/>
      <c r="E189" s="5"/>
      <c r="F189" s="5">
        <v>1</v>
      </c>
      <c r="G189" s="5"/>
      <c r="H189" s="5"/>
      <c r="I189" s="5"/>
      <c r="J189" s="7"/>
      <c r="K189" s="7"/>
      <c r="L189" s="7"/>
      <c r="M189" s="7"/>
      <c r="N189" s="7"/>
      <c r="O189" s="7">
        <f t="shared" si="21"/>
        <v>1</v>
      </c>
      <c r="P189" s="14">
        <v>36000</v>
      </c>
      <c r="Q189" s="119">
        <f t="shared" si="24"/>
        <v>36000</v>
      </c>
      <c r="R189" s="11"/>
      <c r="S189" s="11"/>
      <c r="T189" s="11"/>
      <c r="U189" s="11">
        <f t="shared" si="17"/>
        <v>36000</v>
      </c>
      <c r="V189" s="11">
        <f t="shared" si="18"/>
        <v>0</v>
      </c>
      <c r="W189" s="11"/>
      <c r="X189" s="11"/>
      <c r="Y189" s="11"/>
      <c r="Z189" s="18"/>
      <c r="AA189" s="11"/>
      <c r="AB189" s="11"/>
      <c r="AC189" s="11"/>
    </row>
    <row r="190" spans="2:29">
      <c r="B190" s="4" t="s">
        <v>324</v>
      </c>
      <c r="C190" s="9"/>
      <c r="D190" s="188"/>
      <c r="E190" s="5"/>
      <c r="F190" s="5">
        <v>1</v>
      </c>
      <c r="G190" s="5"/>
      <c r="H190" s="5"/>
      <c r="I190" s="5"/>
      <c r="J190" s="7"/>
      <c r="K190" s="7"/>
      <c r="L190" s="7"/>
      <c r="M190" s="7"/>
      <c r="N190" s="7"/>
      <c r="O190" s="7">
        <f t="shared" si="21"/>
        <v>1</v>
      </c>
      <c r="P190" s="14">
        <v>152000</v>
      </c>
      <c r="Q190" s="119">
        <f t="shared" si="24"/>
        <v>152000</v>
      </c>
      <c r="R190" s="11"/>
      <c r="S190" s="11"/>
      <c r="T190" s="11"/>
      <c r="U190" s="11">
        <f t="shared" si="17"/>
        <v>152000</v>
      </c>
      <c r="V190" s="11">
        <f t="shared" si="18"/>
        <v>0</v>
      </c>
      <c r="W190" s="11"/>
      <c r="X190" s="11"/>
      <c r="Y190" s="11"/>
      <c r="Z190" s="18"/>
      <c r="AA190" s="11"/>
      <c r="AB190" s="11"/>
      <c r="AC190" s="11"/>
    </row>
    <row r="191" spans="2:29">
      <c r="B191" s="4" t="s">
        <v>325</v>
      </c>
      <c r="C191" s="9"/>
      <c r="D191" s="188"/>
      <c r="E191" s="5"/>
      <c r="F191" s="5">
        <v>1</v>
      </c>
      <c r="G191" s="5"/>
      <c r="H191" s="5"/>
      <c r="I191" s="5"/>
      <c r="J191" s="7"/>
      <c r="K191" s="7"/>
      <c r="L191" s="7"/>
      <c r="M191" s="7"/>
      <c r="N191" s="7"/>
      <c r="O191" s="7">
        <f t="shared" si="21"/>
        <v>1</v>
      </c>
      <c r="P191" s="14">
        <v>286000</v>
      </c>
      <c r="Q191" s="119">
        <f t="shared" si="24"/>
        <v>286000</v>
      </c>
      <c r="R191" s="11"/>
      <c r="S191" s="11"/>
      <c r="T191" s="11"/>
      <c r="U191" s="11">
        <f t="shared" si="17"/>
        <v>286000</v>
      </c>
      <c r="V191" s="11">
        <f t="shared" si="18"/>
        <v>0</v>
      </c>
      <c r="W191" s="11"/>
      <c r="X191" s="11"/>
      <c r="Y191" s="11"/>
      <c r="Z191" s="18"/>
      <c r="AA191" s="11"/>
      <c r="AB191" s="11"/>
      <c r="AC191" s="11"/>
    </row>
    <row r="192" spans="2:29">
      <c r="B192" s="4" t="s">
        <v>326</v>
      </c>
      <c r="C192" s="9"/>
      <c r="D192" s="188"/>
      <c r="E192" s="5"/>
      <c r="F192" s="5">
        <v>1</v>
      </c>
      <c r="G192" s="5"/>
      <c r="H192" s="5"/>
      <c r="I192" s="5"/>
      <c r="J192" s="7"/>
      <c r="K192" s="7"/>
      <c r="L192" s="7"/>
      <c r="M192" s="7"/>
      <c r="N192" s="7"/>
      <c r="O192" s="7">
        <f t="shared" si="21"/>
        <v>1</v>
      </c>
      <c r="P192" s="14">
        <v>26800</v>
      </c>
      <c r="Q192" s="119">
        <f t="shared" si="24"/>
        <v>26800</v>
      </c>
      <c r="R192" s="11"/>
      <c r="S192" s="11"/>
      <c r="T192" s="11"/>
      <c r="U192" s="11">
        <f t="shared" si="17"/>
        <v>26800</v>
      </c>
      <c r="V192" s="11">
        <f t="shared" si="18"/>
        <v>0</v>
      </c>
      <c r="W192" s="11"/>
      <c r="X192" s="11"/>
      <c r="Y192" s="11"/>
      <c r="Z192" s="18"/>
      <c r="AA192" s="11"/>
      <c r="AB192" s="11"/>
      <c r="AC192" s="11"/>
    </row>
    <row r="193" spans="2:29">
      <c r="B193" s="4" t="s">
        <v>327</v>
      </c>
      <c r="C193" s="9"/>
      <c r="D193" s="188"/>
      <c r="E193" s="5"/>
      <c r="F193" s="5">
        <v>1</v>
      </c>
      <c r="G193" s="5"/>
      <c r="H193" s="5"/>
      <c r="I193" s="5"/>
      <c r="J193" s="7"/>
      <c r="K193" s="7"/>
      <c r="L193" s="7"/>
      <c r="M193" s="7"/>
      <c r="N193" s="7"/>
      <c r="O193" s="7">
        <f t="shared" si="21"/>
        <v>1</v>
      </c>
      <c r="P193" s="14">
        <v>174000</v>
      </c>
      <c r="Q193" s="119">
        <f t="shared" si="24"/>
        <v>174000</v>
      </c>
      <c r="R193" s="11"/>
      <c r="S193" s="11"/>
      <c r="T193" s="11"/>
      <c r="U193" s="11">
        <f t="shared" si="17"/>
        <v>174000</v>
      </c>
      <c r="V193" s="11">
        <f t="shared" si="18"/>
        <v>0</v>
      </c>
      <c r="W193" s="11"/>
      <c r="X193" s="11"/>
      <c r="Y193" s="11"/>
      <c r="Z193" s="18"/>
      <c r="AA193" s="11"/>
      <c r="AB193" s="11"/>
      <c r="AC193" s="11"/>
    </row>
    <row r="194" spans="2:29">
      <c r="B194" s="4" t="s">
        <v>328</v>
      </c>
      <c r="C194" s="9"/>
      <c r="D194" s="188"/>
      <c r="E194" s="5"/>
      <c r="F194" s="5">
        <v>1</v>
      </c>
      <c r="G194" s="5"/>
      <c r="H194" s="5"/>
      <c r="I194" s="5"/>
      <c r="J194" s="7"/>
      <c r="K194" s="7"/>
      <c r="L194" s="7"/>
      <c r="M194" s="7"/>
      <c r="N194" s="7"/>
      <c r="O194" s="7">
        <f t="shared" si="21"/>
        <v>1</v>
      </c>
      <c r="P194" s="14">
        <v>39000</v>
      </c>
      <c r="Q194" s="119">
        <f t="shared" si="24"/>
        <v>39000</v>
      </c>
      <c r="R194" s="11"/>
      <c r="S194" s="11"/>
      <c r="T194" s="11"/>
      <c r="U194" s="11">
        <f t="shared" si="17"/>
        <v>39000</v>
      </c>
      <c r="V194" s="11">
        <f t="shared" si="18"/>
        <v>0</v>
      </c>
      <c r="W194" s="11"/>
      <c r="X194" s="11"/>
      <c r="Y194" s="11"/>
      <c r="Z194" s="18"/>
      <c r="AA194" s="11"/>
      <c r="AB194" s="11"/>
      <c r="AC194" s="11"/>
    </row>
    <row r="195" spans="2:29">
      <c r="B195" s="4" t="s">
        <v>331</v>
      </c>
      <c r="C195" s="9"/>
      <c r="D195" s="188"/>
      <c r="E195" s="5"/>
      <c r="F195" s="5"/>
      <c r="G195" s="5">
        <v>100</v>
      </c>
      <c r="H195" s="5">
        <v>100</v>
      </c>
      <c r="I195" s="5"/>
      <c r="J195" s="7"/>
      <c r="K195" s="7"/>
      <c r="L195" s="7"/>
      <c r="M195" s="7"/>
      <c r="N195" s="7"/>
      <c r="O195" s="7">
        <f t="shared" si="21"/>
        <v>200</v>
      </c>
      <c r="P195" s="14">
        <v>8700</v>
      </c>
      <c r="Q195" s="119">
        <f t="shared" si="24"/>
        <v>1740000</v>
      </c>
      <c r="R195" s="11"/>
      <c r="S195" s="11"/>
      <c r="T195" s="11"/>
      <c r="U195" s="11"/>
      <c r="V195" s="11">
        <f t="shared" si="18"/>
        <v>870000</v>
      </c>
      <c r="W195" s="11"/>
      <c r="X195" s="11"/>
      <c r="Y195" s="11"/>
      <c r="Z195" s="18"/>
      <c r="AA195" s="11"/>
      <c r="AB195" s="11"/>
      <c r="AC195" s="11"/>
    </row>
    <row r="196" spans="2:29">
      <c r="B196" s="4" t="s">
        <v>332</v>
      </c>
      <c r="C196" s="9"/>
      <c r="D196" s="188"/>
      <c r="E196" s="5"/>
      <c r="F196" s="5"/>
      <c r="G196" s="5">
        <v>1</v>
      </c>
      <c r="H196" s="5"/>
      <c r="I196" s="5"/>
      <c r="J196" s="7"/>
      <c r="K196" s="7"/>
      <c r="L196" s="7"/>
      <c r="M196" s="7"/>
      <c r="N196" s="7"/>
      <c r="O196" s="7">
        <f t="shared" si="21"/>
        <v>1</v>
      </c>
      <c r="P196" s="14">
        <v>68000</v>
      </c>
      <c r="Q196" s="119">
        <f t="shared" si="24"/>
        <v>68000</v>
      </c>
      <c r="R196" s="11"/>
      <c r="S196" s="11"/>
      <c r="T196" s="11"/>
      <c r="U196" s="11"/>
      <c r="V196" s="11">
        <f t="shared" ref="V196:V210" si="25">+G196*P196</f>
        <v>68000</v>
      </c>
      <c r="W196" s="11"/>
      <c r="X196" s="11"/>
      <c r="Y196" s="11"/>
      <c r="Z196" s="18"/>
      <c r="AA196" s="11"/>
      <c r="AB196" s="11"/>
      <c r="AC196" s="11"/>
    </row>
    <row r="197" spans="2:29" s="24" customFormat="1">
      <c r="B197" s="4" t="s">
        <v>333</v>
      </c>
      <c r="C197" s="9"/>
      <c r="D197" s="188"/>
      <c r="E197" s="5"/>
      <c r="F197" s="5"/>
      <c r="G197" s="5">
        <v>2</v>
      </c>
      <c r="H197" s="5"/>
      <c r="I197" s="5"/>
      <c r="J197" s="7"/>
      <c r="K197" s="7"/>
      <c r="L197" s="7"/>
      <c r="M197" s="7"/>
      <c r="N197" s="7"/>
      <c r="O197" s="7">
        <f t="shared" si="21"/>
        <v>2</v>
      </c>
      <c r="P197" s="14">
        <v>75000</v>
      </c>
      <c r="Q197" s="119">
        <f t="shared" si="24"/>
        <v>150000</v>
      </c>
      <c r="R197" s="11"/>
      <c r="S197" s="11"/>
      <c r="T197" s="11"/>
      <c r="U197" s="11"/>
      <c r="V197" s="11">
        <f t="shared" si="25"/>
        <v>150000</v>
      </c>
      <c r="W197" s="11"/>
      <c r="X197" s="11"/>
      <c r="Y197" s="11"/>
      <c r="Z197" s="18"/>
      <c r="AA197" s="11"/>
      <c r="AB197" s="11"/>
      <c r="AC197" s="11"/>
    </row>
    <row r="198" spans="2:29" s="24" customFormat="1">
      <c r="B198" s="4" t="s">
        <v>334</v>
      </c>
      <c r="C198" s="9"/>
      <c r="D198" s="188"/>
      <c r="E198" s="5"/>
      <c r="F198" s="5"/>
      <c r="G198" s="5">
        <v>24</v>
      </c>
      <c r="H198" s="5"/>
      <c r="I198" s="5"/>
      <c r="J198" s="7"/>
      <c r="K198" s="7"/>
      <c r="L198" s="7"/>
      <c r="M198" s="7"/>
      <c r="N198" s="7"/>
      <c r="O198" s="7">
        <f t="shared" si="21"/>
        <v>24</v>
      </c>
      <c r="P198" s="14">
        <v>2500</v>
      </c>
      <c r="Q198" s="119">
        <f t="shared" si="24"/>
        <v>60000</v>
      </c>
      <c r="R198" s="11"/>
      <c r="S198" s="11"/>
      <c r="T198" s="11"/>
      <c r="U198" s="11"/>
      <c r="V198" s="11">
        <f t="shared" si="25"/>
        <v>60000</v>
      </c>
      <c r="W198" s="11"/>
      <c r="X198" s="11"/>
      <c r="Y198" s="11"/>
      <c r="Z198" s="18"/>
      <c r="AA198" s="11"/>
      <c r="AB198" s="11"/>
      <c r="AC198" s="11"/>
    </row>
    <row r="199" spans="2:29" s="24" customFormat="1">
      <c r="B199" s="4" t="s">
        <v>335</v>
      </c>
      <c r="C199" s="9"/>
      <c r="D199" s="188"/>
      <c r="E199" s="5"/>
      <c r="F199" s="5"/>
      <c r="G199" s="5">
        <v>2</v>
      </c>
      <c r="H199" s="5">
        <v>2</v>
      </c>
      <c r="I199" s="5"/>
      <c r="J199" s="7"/>
      <c r="K199" s="7"/>
      <c r="L199" s="7"/>
      <c r="M199" s="7"/>
      <c r="N199" s="7"/>
      <c r="O199" s="7">
        <f t="shared" si="21"/>
        <v>4</v>
      </c>
      <c r="P199" s="14">
        <v>125000</v>
      </c>
      <c r="Q199" s="119">
        <f t="shared" si="24"/>
        <v>500000</v>
      </c>
      <c r="R199" s="11"/>
      <c r="S199" s="11"/>
      <c r="T199" s="11"/>
      <c r="U199" s="11"/>
      <c r="V199" s="11">
        <f t="shared" si="25"/>
        <v>250000</v>
      </c>
      <c r="W199" s="11"/>
      <c r="X199" s="11"/>
      <c r="Y199" s="11"/>
      <c r="Z199" s="18"/>
      <c r="AA199" s="11"/>
      <c r="AB199" s="11"/>
      <c r="AC199" s="11"/>
    </row>
    <row r="200" spans="2:29" s="24" customFormat="1">
      <c r="B200" s="4" t="s">
        <v>336</v>
      </c>
      <c r="C200" s="9"/>
      <c r="D200" s="188"/>
      <c r="E200" s="5"/>
      <c r="F200" s="5"/>
      <c r="G200" s="5">
        <v>5</v>
      </c>
      <c r="H200" s="5"/>
      <c r="I200" s="5"/>
      <c r="J200" s="7"/>
      <c r="K200" s="7"/>
      <c r="L200" s="7"/>
      <c r="M200" s="7"/>
      <c r="N200" s="7"/>
      <c r="O200" s="7">
        <f t="shared" si="21"/>
        <v>5</v>
      </c>
      <c r="P200" s="14">
        <v>71400</v>
      </c>
      <c r="Q200" s="119">
        <f t="shared" si="24"/>
        <v>357000</v>
      </c>
      <c r="R200" s="11"/>
      <c r="S200" s="11"/>
      <c r="T200" s="11"/>
      <c r="U200" s="11"/>
      <c r="V200" s="11">
        <f t="shared" si="25"/>
        <v>357000</v>
      </c>
      <c r="W200" s="11"/>
      <c r="X200" s="11"/>
      <c r="Y200" s="11"/>
      <c r="Z200" s="18"/>
      <c r="AA200" s="11"/>
      <c r="AB200" s="11"/>
      <c r="AC200" s="11"/>
    </row>
    <row r="201" spans="2:29" s="24" customFormat="1">
      <c r="B201" s="4" t="s">
        <v>337</v>
      </c>
      <c r="C201" s="9"/>
      <c r="D201" s="188"/>
      <c r="E201" s="5"/>
      <c r="F201" s="5"/>
      <c r="G201" s="5">
        <v>5</v>
      </c>
      <c r="H201" s="5"/>
      <c r="I201" s="5"/>
      <c r="J201" s="7"/>
      <c r="K201" s="7"/>
      <c r="L201" s="7"/>
      <c r="M201" s="7"/>
      <c r="N201" s="7"/>
      <c r="O201" s="7">
        <f t="shared" si="21"/>
        <v>5</v>
      </c>
      <c r="P201" s="14">
        <v>119000</v>
      </c>
      <c r="Q201" s="119">
        <f t="shared" si="24"/>
        <v>595000</v>
      </c>
      <c r="R201" s="11"/>
      <c r="S201" s="11"/>
      <c r="T201" s="11"/>
      <c r="U201" s="11"/>
      <c r="V201" s="11">
        <f t="shared" si="25"/>
        <v>595000</v>
      </c>
      <c r="W201" s="11"/>
      <c r="X201" s="11"/>
      <c r="Y201" s="11"/>
      <c r="Z201" s="18"/>
      <c r="AA201" s="11"/>
      <c r="AB201" s="11"/>
      <c r="AC201" s="11"/>
    </row>
    <row r="202" spans="2:29" s="24" customFormat="1">
      <c r="B202" s="4" t="s">
        <v>338</v>
      </c>
      <c r="C202" s="9"/>
      <c r="D202" s="188"/>
      <c r="E202" s="5"/>
      <c r="F202" s="5"/>
      <c r="G202" s="5">
        <v>2</v>
      </c>
      <c r="H202" s="5"/>
      <c r="I202" s="5"/>
      <c r="J202" s="7"/>
      <c r="K202" s="7"/>
      <c r="L202" s="7"/>
      <c r="M202" s="7"/>
      <c r="N202" s="7"/>
      <c r="O202" s="7">
        <f t="shared" si="21"/>
        <v>2</v>
      </c>
      <c r="P202" s="14">
        <v>86200</v>
      </c>
      <c r="Q202" s="119">
        <f t="shared" si="24"/>
        <v>172400</v>
      </c>
      <c r="R202" s="11"/>
      <c r="S202" s="11"/>
      <c r="T202" s="11"/>
      <c r="U202" s="11"/>
      <c r="V202" s="11">
        <f t="shared" si="25"/>
        <v>172400</v>
      </c>
      <c r="W202" s="11"/>
      <c r="X202" s="11"/>
      <c r="Y202" s="11"/>
      <c r="Z202" s="18"/>
      <c r="AA202" s="11"/>
      <c r="AB202" s="11"/>
      <c r="AC202" s="11"/>
    </row>
    <row r="203" spans="2:29" s="24" customFormat="1">
      <c r="B203" s="4" t="s">
        <v>339</v>
      </c>
      <c r="C203" s="9"/>
      <c r="D203" s="188"/>
      <c r="E203" s="5"/>
      <c r="F203" s="5"/>
      <c r="G203" s="5">
        <v>1</v>
      </c>
      <c r="H203" s="5"/>
      <c r="I203" s="5"/>
      <c r="J203" s="7"/>
      <c r="K203" s="7"/>
      <c r="L203" s="7"/>
      <c r="M203" s="7"/>
      <c r="N203" s="7"/>
      <c r="O203" s="7">
        <f t="shared" si="21"/>
        <v>1</v>
      </c>
      <c r="P203" s="14">
        <v>47000</v>
      </c>
      <c r="Q203" s="119">
        <f t="shared" si="24"/>
        <v>47000</v>
      </c>
      <c r="R203" s="11"/>
      <c r="S203" s="11"/>
      <c r="T203" s="11"/>
      <c r="U203" s="11"/>
      <c r="V203" s="11">
        <f t="shared" si="25"/>
        <v>47000</v>
      </c>
      <c r="W203" s="11"/>
      <c r="X203" s="11"/>
      <c r="Y203" s="11"/>
      <c r="Z203" s="18"/>
      <c r="AA203" s="11"/>
      <c r="AB203" s="11"/>
      <c r="AC203" s="11"/>
    </row>
    <row r="204" spans="2:29" s="24" customFormat="1">
      <c r="B204" s="4" t="s">
        <v>340</v>
      </c>
      <c r="C204" s="9"/>
      <c r="D204" s="188"/>
      <c r="E204" s="5"/>
      <c r="F204" s="5"/>
      <c r="G204" s="5">
        <v>4</v>
      </c>
      <c r="H204" s="5"/>
      <c r="I204" s="5"/>
      <c r="J204" s="7"/>
      <c r="K204" s="7"/>
      <c r="L204" s="7"/>
      <c r="M204" s="7"/>
      <c r="N204" s="7"/>
      <c r="O204" s="7">
        <f t="shared" si="21"/>
        <v>4</v>
      </c>
      <c r="P204" s="14">
        <v>69615</v>
      </c>
      <c r="Q204" s="119">
        <f t="shared" si="24"/>
        <v>278460</v>
      </c>
      <c r="R204" s="11"/>
      <c r="S204" s="11"/>
      <c r="T204" s="11"/>
      <c r="U204" s="11"/>
      <c r="V204" s="11">
        <f t="shared" si="25"/>
        <v>278460</v>
      </c>
      <c r="W204" s="11"/>
      <c r="X204" s="11"/>
      <c r="Y204" s="11"/>
      <c r="Z204" s="18"/>
      <c r="AA204" s="11"/>
      <c r="AB204" s="11"/>
      <c r="AC204" s="11"/>
    </row>
    <row r="205" spans="2:29" s="24" customFormat="1">
      <c r="B205" s="4" t="s">
        <v>341</v>
      </c>
      <c r="C205" s="9"/>
      <c r="D205" s="188"/>
      <c r="E205" s="5"/>
      <c r="F205" s="5"/>
      <c r="G205" s="5">
        <v>3</v>
      </c>
      <c r="H205" s="5"/>
      <c r="I205" s="5"/>
      <c r="J205" s="7"/>
      <c r="K205" s="7"/>
      <c r="L205" s="7"/>
      <c r="M205" s="7"/>
      <c r="N205" s="7"/>
      <c r="O205" s="7">
        <f t="shared" si="21"/>
        <v>3</v>
      </c>
      <c r="P205" s="14">
        <v>68600</v>
      </c>
      <c r="Q205" s="119">
        <f t="shared" si="24"/>
        <v>205800</v>
      </c>
      <c r="R205" s="11"/>
      <c r="S205" s="11"/>
      <c r="T205" s="11"/>
      <c r="U205" s="11"/>
      <c r="V205" s="11">
        <f t="shared" si="25"/>
        <v>205800</v>
      </c>
      <c r="W205" s="11"/>
      <c r="X205" s="11"/>
      <c r="Y205" s="11"/>
      <c r="Z205" s="18"/>
      <c r="AA205" s="11"/>
      <c r="AB205" s="11"/>
      <c r="AC205" s="11"/>
    </row>
    <row r="206" spans="2:29" s="24" customFormat="1">
      <c r="B206" s="4" t="s">
        <v>342</v>
      </c>
      <c r="C206" s="9"/>
      <c r="D206" s="188"/>
      <c r="E206" s="5"/>
      <c r="F206" s="5"/>
      <c r="G206" s="5">
        <v>1</v>
      </c>
      <c r="H206" s="5"/>
      <c r="I206" s="5"/>
      <c r="J206" s="7"/>
      <c r="K206" s="7"/>
      <c r="L206" s="7"/>
      <c r="M206" s="7"/>
      <c r="N206" s="7"/>
      <c r="O206" s="7">
        <f t="shared" si="21"/>
        <v>1</v>
      </c>
      <c r="P206" s="14">
        <v>198000</v>
      </c>
      <c r="Q206" s="119">
        <f t="shared" si="24"/>
        <v>198000</v>
      </c>
      <c r="R206" s="11"/>
      <c r="S206" s="11"/>
      <c r="T206" s="11"/>
      <c r="U206" s="11"/>
      <c r="V206" s="11">
        <f t="shared" si="25"/>
        <v>198000</v>
      </c>
      <c r="W206" s="11"/>
      <c r="X206" s="11"/>
      <c r="Y206" s="11"/>
      <c r="Z206" s="18"/>
      <c r="AA206" s="11"/>
      <c r="AB206" s="11"/>
      <c r="AC206" s="11"/>
    </row>
    <row r="207" spans="2:29" s="24" customFormat="1">
      <c r="B207" s="4" t="s">
        <v>343</v>
      </c>
      <c r="C207" s="9"/>
      <c r="D207" s="188"/>
      <c r="E207" s="5"/>
      <c r="F207" s="5"/>
      <c r="G207" s="5">
        <v>10</v>
      </c>
      <c r="H207" s="5"/>
      <c r="I207" s="5"/>
      <c r="J207" s="7"/>
      <c r="K207" s="7"/>
      <c r="L207" s="7"/>
      <c r="M207" s="7"/>
      <c r="N207" s="7"/>
      <c r="O207" s="7">
        <f t="shared" si="21"/>
        <v>10</v>
      </c>
      <c r="P207" s="14">
        <v>3900</v>
      </c>
      <c r="Q207" s="119">
        <f t="shared" si="24"/>
        <v>39000</v>
      </c>
      <c r="R207" s="11"/>
      <c r="S207" s="11"/>
      <c r="T207" s="11"/>
      <c r="U207" s="11"/>
      <c r="V207" s="11">
        <f t="shared" si="25"/>
        <v>39000</v>
      </c>
      <c r="W207" s="11"/>
      <c r="X207" s="11"/>
      <c r="Y207" s="11"/>
      <c r="Z207" s="18"/>
      <c r="AA207" s="11"/>
      <c r="AB207" s="11"/>
      <c r="AC207" s="11"/>
    </row>
    <row r="208" spans="2:29" s="24" customFormat="1">
      <c r="B208" s="4" t="s">
        <v>347</v>
      </c>
      <c r="C208" s="9"/>
      <c r="D208" s="188"/>
      <c r="E208" s="5"/>
      <c r="F208" s="5"/>
      <c r="G208" s="5">
        <v>20</v>
      </c>
      <c r="H208" s="5"/>
      <c r="I208" s="5"/>
      <c r="J208" s="7"/>
      <c r="K208" s="7"/>
      <c r="L208" s="7"/>
      <c r="M208" s="7"/>
      <c r="N208" s="7"/>
      <c r="O208" s="7">
        <f t="shared" si="21"/>
        <v>20</v>
      </c>
      <c r="P208" s="14"/>
      <c r="Q208" s="119">
        <f t="shared" si="24"/>
        <v>0</v>
      </c>
      <c r="R208" s="11"/>
      <c r="S208" s="11"/>
      <c r="T208" s="11"/>
      <c r="U208" s="11"/>
      <c r="V208" s="11">
        <f t="shared" si="25"/>
        <v>0</v>
      </c>
      <c r="W208" s="11"/>
      <c r="X208" s="11"/>
      <c r="Y208" s="11"/>
      <c r="Z208" s="18"/>
      <c r="AA208" s="11"/>
      <c r="AB208" s="11"/>
      <c r="AC208" s="11"/>
    </row>
    <row r="209" spans="2:29" s="24" customFormat="1">
      <c r="B209" s="4" t="s">
        <v>344</v>
      </c>
      <c r="C209" s="9"/>
      <c r="D209" s="188"/>
      <c r="E209" s="5"/>
      <c r="F209" s="5"/>
      <c r="G209" s="5">
        <v>1</v>
      </c>
      <c r="H209" s="5"/>
      <c r="I209" s="5"/>
      <c r="J209" s="7"/>
      <c r="K209" s="7"/>
      <c r="L209" s="7"/>
      <c r="M209" s="7"/>
      <c r="N209" s="7"/>
      <c r="O209" s="7">
        <f t="shared" si="21"/>
        <v>1</v>
      </c>
      <c r="P209" s="14">
        <v>180000</v>
      </c>
      <c r="Q209" s="119">
        <f t="shared" si="24"/>
        <v>180000</v>
      </c>
      <c r="R209" s="11"/>
      <c r="S209" s="11"/>
      <c r="T209" s="11"/>
      <c r="U209" s="11"/>
      <c r="V209" s="11">
        <f t="shared" si="25"/>
        <v>180000</v>
      </c>
      <c r="W209" s="11"/>
      <c r="X209" s="11"/>
      <c r="Y209" s="11"/>
      <c r="Z209" s="18"/>
      <c r="AA209" s="11"/>
      <c r="AB209" s="11"/>
      <c r="AC209" s="11"/>
    </row>
    <row r="210" spans="2:29" s="24" customFormat="1">
      <c r="B210" s="4" t="s">
        <v>345</v>
      </c>
      <c r="C210" s="9"/>
      <c r="D210" s="188"/>
      <c r="E210" s="5"/>
      <c r="F210" s="5"/>
      <c r="G210" s="5">
        <v>1</v>
      </c>
      <c r="H210" s="5"/>
      <c r="I210" s="5"/>
      <c r="J210" s="7"/>
      <c r="K210" s="7"/>
      <c r="L210" s="7"/>
      <c r="M210" s="7"/>
      <c r="N210" s="7"/>
      <c r="O210" s="7">
        <f t="shared" si="21"/>
        <v>1</v>
      </c>
      <c r="P210" s="14">
        <v>65000</v>
      </c>
      <c r="Q210" s="119">
        <f t="shared" si="24"/>
        <v>65000</v>
      </c>
      <c r="R210" s="11"/>
      <c r="S210" s="11"/>
      <c r="T210" s="11"/>
      <c r="U210" s="11"/>
      <c r="V210" s="11">
        <f t="shared" si="25"/>
        <v>65000</v>
      </c>
      <c r="W210" s="11"/>
      <c r="X210" s="11"/>
      <c r="Y210" s="11"/>
      <c r="Z210" s="18"/>
      <c r="AA210" s="11"/>
      <c r="AB210" s="11"/>
      <c r="AC210" s="11"/>
    </row>
    <row r="211" spans="2:29" s="24" customFormat="1">
      <c r="B211" s="4" t="s">
        <v>346</v>
      </c>
      <c r="C211" s="9"/>
      <c r="D211" s="188"/>
      <c r="E211" s="5"/>
      <c r="F211" s="5"/>
      <c r="G211" s="5">
        <v>0.5</v>
      </c>
      <c r="H211" s="5">
        <v>0.5</v>
      </c>
      <c r="I211" s="5"/>
      <c r="J211" s="7"/>
      <c r="K211" s="7"/>
      <c r="L211" s="7"/>
      <c r="M211" s="7"/>
      <c r="N211" s="7"/>
      <c r="O211" s="7">
        <f t="shared" si="21"/>
        <v>1</v>
      </c>
      <c r="P211" s="14">
        <v>2100000</v>
      </c>
      <c r="Q211" s="119">
        <f t="shared" si="24"/>
        <v>2100000</v>
      </c>
      <c r="R211" s="11"/>
      <c r="S211" s="11"/>
      <c r="T211" s="11"/>
      <c r="U211" s="11"/>
      <c r="V211" s="11">
        <f>+G211*P211</f>
        <v>1050000</v>
      </c>
      <c r="W211" s="11"/>
      <c r="X211" s="11"/>
      <c r="Y211" s="11"/>
      <c r="Z211" s="18"/>
      <c r="AA211" s="11"/>
      <c r="AB211" s="11"/>
      <c r="AC211" s="11"/>
    </row>
    <row r="212" spans="2:29" s="24" customFormat="1"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20"/>
      <c r="Q212" s="119">
        <f t="shared" si="24"/>
        <v>0</v>
      </c>
      <c r="R212" s="20">
        <f>SUM(R3:R136)</f>
        <v>23584638</v>
      </c>
      <c r="S212" s="20">
        <f>SUM(S3:S136)</f>
        <v>20158111</v>
      </c>
      <c r="T212" s="20">
        <f>SUM(T3:T167)</f>
        <v>20877231</v>
      </c>
      <c r="U212" s="20">
        <f>SUM(U3:U119)</f>
        <v>14315477</v>
      </c>
      <c r="V212" s="20">
        <f>SUM(V3:V211)</f>
        <v>19639123.899999999</v>
      </c>
      <c r="W212" s="20">
        <f t="shared" ref="W212:AC212" si="26">SUM(W3:W119)</f>
        <v>0</v>
      </c>
      <c r="X212" s="20">
        <f t="shared" si="26"/>
        <v>0</v>
      </c>
      <c r="Y212" s="20">
        <f t="shared" si="26"/>
        <v>0</v>
      </c>
      <c r="Z212" s="20">
        <f t="shared" si="26"/>
        <v>0</v>
      </c>
      <c r="AA212" s="20">
        <f t="shared" si="26"/>
        <v>0</v>
      </c>
      <c r="AB212" s="20">
        <f t="shared" si="26"/>
        <v>0</v>
      </c>
      <c r="AC212" s="20">
        <f t="shared" si="26"/>
        <v>0</v>
      </c>
    </row>
    <row r="213" spans="2:29" s="24" customFormat="1"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3"/>
      <c r="Q213" s="84"/>
    </row>
    <row r="214" spans="2:29" s="24" customFormat="1" ht="15.75" thickBot="1"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3"/>
      <c r="Q214" s="84"/>
    </row>
    <row r="215" spans="2:29" s="24" customFormat="1" ht="34.5" customHeight="1" thickBot="1">
      <c r="C215" s="82"/>
      <c r="D215" s="82"/>
      <c r="E215" s="82"/>
      <c r="F215" s="82"/>
      <c r="G215" s="82"/>
      <c r="H215" s="82"/>
      <c r="I215" s="82"/>
      <c r="J215" s="209" t="s">
        <v>44</v>
      </c>
      <c r="K215" s="210" t="s">
        <v>0</v>
      </c>
      <c r="L215" s="87" t="s">
        <v>97</v>
      </c>
      <c r="M215" s="88" t="s">
        <v>95</v>
      </c>
      <c r="N215" s="82"/>
      <c r="O215" s="82"/>
      <c r="P215" s="83"/>
      <c r="Q215" s="84"/>
    </row>
    <row r="216" spans="2:29" s="24" customFormat="1">
      <c r="C216" s="82"/>
      <c r="D216" s="82"/>
      <c r="E216" s="82"/>
      <c r="F216" s="82"/>
      <c r="G216" s="82"/>
      <c r="H216" s="82"/>
      <c r="I216" s="82">
        <v>1</v>
      </c>
      <c r="J216" s="89" t="s">
        <v>6</v>
      </c>
      <c r="K216" s="43">
        <f>+R212</f>
        <v>23584638</v>
      </c>
      <c r="L216" s="103">
        <f>+'[4]PRODUC ACUMULADA'!B5</f>
        <v>1698.66</v>
      </c>
      <c r="M216" s="44">
        <f>+K216/L216</f>
        <v>13884.260534774468</v>
      </c>
      <c r="N216" s="82"/>
      <c r="O216" s="82"/>
      <c r="P216" s="83"/>
      <c r="Q216" s="84"/>
    </row>
    <row r="217" spans="2:29" s="24" customFormat="1">
      <c r="C217" s="82"/>
      <c r="D217" s="82"/>
      <c r="E217" s="82"/>
      <c r="F217" s="82"/>
      <c r="G217" s="82"/>
      <c r="H217" s="82"/>
      <c r="I217" s="82">
        <v>2</v>
      </c>
      <c r="J217" s="92" t="s">
        <v>7</v>
      </c>
      <c r="K217" s="37">
        <f>+S212</f>
        <v>20158111</v>
      </c>
      <c r="L217" s="100">
        <f>+'[4]PRODUC ACUMULADA'!B6</f>
        <v>1830.15</v>
      </c>
      <c r="M217" s="38">
        <f t="shared" ref="M217:M227" si="27">+K217/L217</f>
        <v>11014.458377728601</v>
      </c>
      <c r="N217" s="82"/>
      <c r="O217" s="82"/>
      <c r="P217" s="83"/>
      <c r="Q217" s="84"/>
    </row>
    <row r="218" spans="2:29" s="24" customFormat="1">
      <c r="C218" s="82"/>
      <c r="D218" s="82"/>
      <c r="E218" s="82"/>
      <c r="F218" s="82"/>
      <c r="G218" s="82"/>
      <c r="H218" s="82"/>
      <c r="I218" s="82">
        <v>3</v>
      </c>
      <c r="J218" s="92" t="s">
        <v>8</v>
      </c>
      <c r="K218" s="37">
        <f>+T212</f>
        <v>20877231</v>
      </c>
      <c r="L218" s="100">
        <f>+'PRODUC ACUMULADA'!B7</f>
        <v>1898.77</v>
      </c>
      <c r="M218" s="38">
        <f t="shared" si="27"/>
        <v>10995.134218467745</v>
      </c>
      <c r="N218" s="82"/>
      <c r="O218" s="82"/>
      <c r="P218" s="83"/>
      <c r="Q218" s="84"/>
    </row>
    <row r="219" spans="2:29" s="24" customFormat="1">
      <c r="C219" s="82"/>
      <c r="D219" s="82"/>
      <c r="E219" s="82"/>
      <c r="F219" s="82"/>
      <c r="G219" s="82"/>
      <c r="H219" s="82"/>
      <c r="I219" s="82">
        <v>4</v>
      </c>
      <c r="J219" s="92" t="s">
        <v>9</v>
      </c>
      <c r="K219" s="37">
        <f>+U212</f>
        <v>14315477</v>
      </c>
      <c r="L219" s="100">
        <f>+'PRODUC ACUMULADA'!B8</f>
        <v>1800.91</v>
      </c>
      <c r="M219" s="38">
        <f t="shared" si="27"/>
        <v>7949.0241044805125</v>
      </c>
      <c r="N219" s="82"/>
      <c r="O219" s="82"/>
      <c r="P219" s="83"/>
      <c r="Q219" s="84"/>
    </row>
    <row r="220" spans="2:29" s="24" customFormat="1">
      <c r="C220" s="82"/>
      <c r="D220" s="82"/>
      <c r="E220" s="82"/>
      <c r="F220" s="82"/>
      <c r="G220" s="82"/>
      <c r="H220" s="82"/>
      <c r="I220" s="82">
        <v>5</v>
      </c>
      <c r="J220" s="92" t="s">
        <v>10</v>
      </c>
      <c r="K220" s="37">
        <f>+V212</f>
        <v>19639123.899999999</v>
      </c>
      <c r="L220" s="100">
        <f>+'PRODUC ACUMULADA'!B9</f>
        <v>1964.1099999999997</v>
      </c>
      <c r="M220" s="38">
        <f t="shared" si="27"/>
        <v>9998.9938954539211</v>
      </c>
      <c r="N220" s="82"/>
      <c r="O220" s="82"/>
      <c r="P220" s="83"/>
      <c r="Q220" s="84"/>
    </row>
    <row r="221" spans="2:29" s="24" customFormat="1">
      <c r="C221" s="82"/>
      <c r="D221" s="82"/>
      <c r="E221" s="82"/>
      <c r="F221" s="82"/>
      <c r="G221" s="82"/>
      <c r="H221" s="82"/>
      <c r="I221" s="82">
        <v>6</v>
      </c>
      <c r="J221" s="92" t="s">
        <v>11</v>
      </c>
      <c r="K221" s="37">
        <f>+W196</f>
        <v>0</v>
      </c>
      <c r="L221" s="100">
        <f>+'PRODUC ACUMULADA'!B10</f>
        <v>926.96999999999991</v>
      </c>
      <c r="M221" s="38">
        <f t="shared" si="27"/>
        <v>0</v>
      </c>
      <c r="N221" s="82"/>
      <c r="O221" s="82"/>
      <c r="P221" s="83"/>
      <c r="Q221" s="84"/>
    </row>
    <row r="222" spans="2:29" s="24" customFormat="1">
      <c r="C222" s="82"/>
      <c r="D222" s="82"/>
      <c r="E222" s="82"/>
      <c r="F222" s="82"/>
      <c r="G222" s="82"/>
      <c r="H222" s="82"/>
      <c r="I222" s="82">
        <v>7</v>
      </c>
      <c r="J222" s="92" t="s">
        <v>1</v>
      </c>
      <c r="K222" s="37">
        <f>+X196</f>
        <v>0</v>
      </c>
      <c r="L222" s="100">
        <f>+'PRODUC ACUMULADA'!B11</f>
        <v>0</v>
      </c>
      <c r="M222" s="38" t="e">
        <f t="shared" si="27"/>
        <v>#DIV/0!</v>
      </c>
      <c r="N222" s="82"/>
      <c r="O222" s="82"/>
      <c r="P222" s="83"/>
      <c r="Q222" s="84"/>
    </row>
    <row r="223" spans="2:29" s="24" customFormat="1">
      <c r="C223" s="82"/>
      <c r="D223" s="82"/>
      <c r="E223" s="82"/>
      <c r="F223" s="82"/>
      <c r="G223" s="82"/>
      <c r="H223" s="82"/>
      <c r="I223" s="82">
        <v>8</v>
      </c>
      <c r="J223" s="92" t="s">
        <v>2</v>
      </c>
      <c r="K223" s="37">
        <f>+Y196</f>
        <v>0</v>
      </c>
      <c r="L223" s="100">
        <f>+'PRODUC ACUMULADA'!B12</f>
        <v>0</v>
      </c>
      <c r="M223" s="38" t="e">
        <f t="shared" si="27"/>
        <v>#DIV/0!</v>
      </c>
      <c r="N223" s="82"/>
      <c r="O223" s="82"/>
      <c r="P223" s="83"/>
      <c r="Q223" s="84"/>
    </row>
    <row r="224" spans="2:29" s="24" customFormat="1">
      <c r="C224" s="82"/>
      <c r="D224" s="82"/>
      <c r="E224" s="82"/>
      <c r="F224" s="82"/>
      <c r="G224" s="82"/>
      <c r="H224" s="82"/>
      <c r="I224" s="82">
        <v>9</v>
      </c>
      <c r="J224" s="92" t="s">
        <v>3</v>
      </c>
      <c r="K224" s="37">
        <f>+Z196</f>
        <v>0</v>
      </c>
      <c r="L224" s="100">
        <f>+'PRODUC ACUMULADA'!B13</f>
        <v>0</v>
      </c>
      <c r="M224" s="38" t="e">
        <f t="shared" si="27"/>
        <v>#DIV/0!</v>
      </c>
      <c r="N224" s="82"/>
      <c r="O224" s="82"/>
      <c r="P224" s="83"/>
      <c r="Q224" s="84"/>
    </row>
    <row r="225" spans="3:17" s="24" customFormat="1">
      <c r="C225" s="82"/>
      <c r="D225" s="82"/>
      <c r="E225" s="82"/>
      <c r="F225" s="82"/>
      <c r="G225" s="82"/>
      <c r="H225" s="82"/>
      <c r="I225" s="82">
        <v>10</v>
      </c>
      <c r="J225" s="92" t="s">
        <v>12</v>
      </c>
      <c r="K225" s="37">
        <f>+AA196</f>
        <v>0</v>
      </c>
      <c r="L225" s="100">
        <f>+'PRODUC ACUMULADA'!B14</f>
        <v>0</v>
      </c>
      <c r="M225" s="38" t="e">
        <f t="shared" si="27"/>
        <v>#DIV/0!</v>
      </c>
      <c r="N225" s="82"/>
      <c r="O225" s="82"/>
      <c r="P225" s="83"/>
      <c r="Q225" s="84"/>
    </row>
    <row r="226" spans="3:17" s="24" customFormat="1">
      <c r="C226" s="82"/>
      <c r="D226" s="82"/>
      <c r="E226" s="82"/>
      <c r="F226" s="82"/>
      <c r="G226" s="82"/>
      <c r="H226" s="82"/>
      <c r="I226" s="82">
        <v>11</v>
      </c>
      <c r="J226" s="92" t="s">
        <v>4</v>
      </c>
      <c r="K226" s="37">
        <f>+AB196</f>
        <v>0</v>
      </c>
      <c r="L226" s="100">
        <f>+'PRODUC ACUMULADA'!B15</f>
        <v>0</v>
      </c>
      <c r="M226" s="38" t="e">
        <f t="shared" si="27"/>
        <v>#DIV/0!</v>
      </c>
      <c r="N226" s="82"/>
      <c r="O226" s="82"/>
      <c r="P226" s="83"/>
      <c r="Q226" s="84"/>
    </row>
    <row r="227" spans="3:17" s="24" customFormat="1" ht="15.75" thickBot="1">
      <c r="C227" s="82"/>
      <c r="D227" s="82"/>
      <c r="E227" s="82"/>
      <c r="F227" s="82"/>
      <c r="G227" s="82"/>
      <c r="H227" s="82"/>
      <c r="I227" s="82">
        <v>12</v>
      </c>
      <c r="J227" s="95" t="s">
        <v>5</v>
      </c>
      <c r="K227" s="41">
        <f>+AC196</f>
        <v>0</v>
      </c>
      <c r="L227" s="100">
        <f>+'PRODUC ACUMULADA'!B16</f>
        <v>0</v>
      </c>
      <c r="M227" s="42" t="e">
        <f t="shared" si="27"/>
        <v>#DIV/0!</v>
      </c>
      <c r="N227" s="82"/>
      <c r="O227" s="82"/>
      <c r="P227" s="83"/>
      <c r="Q227" s="84"/>
    </row>
    <row r="228" spans="3:17" s="24" customFormat="1" ht="15.75" thickBot="1">
      <c r="C228" s="82"/>
      <c r="D228" s="82"/>
      <c r="E228" s="82"/>
      <c r="F228" s="82"/>
      <c r="G228" s="82"/>
      <c r="H228" s="82"/>
      <c r="I228" s="82"/>
      <c r="J228" s="209" t="s">
        <v>0</v>
      </c>
      <c r="K228" s="98">
        <f>SUM(K216:K227)</f>
        <v>98574580.900000006</v>
      </c>
      <c r="L228" s="98">
        <f>SUM(L216:L227)</f>
        <v>10119.569999999998</v>
      </c>
      <c r="M228" s="99" t="e">
        <f>SUM(M216:M227)</f>
        <v>#DIV/0!</v>
      </c>
      <c r="N228" s="82"/>
      <c r="O228" s="82"/>
      <c r="P228" s="83"/>
      <c r="Q228" s="84"/>
    </row>
    <row r="229" spans="3:17" s="24" customFormat="1"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3"/>
      <c r="Q229" s="84"/>
    </row>
    <row r="230" spans="3:17" s="24" customFormat="1"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3"/>
      <c r="Q230" s="84"/>
    </row>
    <row r="231" spans="3:17" s="24" customFormat="1"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3"/>
      <c r="Q231" s="84"/>
    </row>
    <row r="232" spans="3:17" s="24" customFormat="1"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3"/>
      <c r="Q232" s="84"/>
    </row>
    <row r="233" spans="3:17" s="24" customFormat="1"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3"/>
      <c r="Q233" s="84"/>
    </row>
    <row r="234" spans="3:17" s="24" customFormat="1"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3"/>
      <c r="Q234" s="84"/>
    </row>
    <row r="235" spans="3:17" s="24" customFormat="1"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3"/>
      <c r="Q235" s="84"/>
    </row>
    <row r="236" spans="3:17" s="24" customFormat="1"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3"/>
      <c r="Q236" s="84"/>
    </row>
    <row r="237" spans="3:17" s="24" customFormat="1"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3"/>
      <c r="Q237" s="84"/>
    </row>
    <row r="238" spans="3:17" s="24" customFormat="1"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3"/>
      <c r="Q238" s="84"/>
    </row>
    <row r="239" spans="3:17" s="24" customFormat="1"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3"/>
      <c r="Q239" s="84"/>
    </row>
    <row r="240" spans="3:17" s="24" customFormat="1"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3"/>
      <c r="Q240" s="84"/>
    </row>
    <row r="241" spans="3:17" s="24" customFormat="1"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3"/>
      <c r="Q241" s="84"/>
    </row>
    <row r="242" spans="3:17" s="24" customFormat="1"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3"/>
      <c r="Q242" s="84"/>
    </row>
    <row r="243" spans="3:17" s="24" customFormat="1"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3"/>
      <c r="Q243" s="84"/>
    </row>
    <row r="244" spans="3:17" s="24" customFormat="1"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3"/>
      <c r="Q244" s="84"/>
    </row>
    <row r="245" spans="3:17" s="24" customFormat="1"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3"/>
      <c r="Q245" s="84"/>
    </row>
    <row r="246" spans="3:17" s="24" customFormat="1"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3"/>
      <c r="Q246" s="84"/>
    </row>
    <row r="247" spans="3:17" s="24" customFormat="1"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3"/>
      <c r="Q247" s="84"/>
    </row>
    <row r="248" spans="3:17" s="24" customFormat="1"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3"/>
      <c r="Q248" s="84"/>
    </row>
    <row r="249" spans="3:17" s="24" customFormat="1"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3"/>
      <c r="Q249" s="84"/>
    </row>
    <row r="250" spans="3:17" s="24" customFormat="1"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3"/>
      <c r="Q250" s="84"/>
    </row>
    <row r="251" spans="3:17" s="24" customFormat="1"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3"/>
      <c r="Q251" s="84"/>
    </row>
    <row r="252" spans="3:17" s="24" customFormat="1"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3"/>
      <c r="Q252" s="84"/>
    </row>
    <row r="253" spans="3:17" s="24" customFormat="1"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3"/>
      <c r="Q253" s="84"/>
    </row>
    <row r="254" spans="3:17" s="24" customFormat="1"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3"/>
      <c r="Q254" s="84"/>
    </row>
    <row r="255" spans="3:17" s="24" customFormat="1"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3"/>
      <c r="Q255" s="84"/>
    </row>
    <row r="256" spans="3:17" s="24" customFormat="1"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3"/>
      <c r="Q256" s="84"/>
    </row>
    <row r="257" spans="3:17" s="24" customFormat="1"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3"/>
      <c r="Q257" s="84"/>
    </row>
    <row r="258" spans="3:17" s="24" customFormat="1"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3"/>
      <c r="Q258" s="84"/>
    </row>
    <row r="259" spans="3:17" s="24" customFormat="1"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3"/>
      <c r="Q259" s="84"/>
    </row>
    <row r="260" spans="3:17" s="24" customFormat="1"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3"/>
      <c r="Q260" s="84"/>
    </row>
    <row r="261" spans="3:17" s="24" customFormat="1"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3"/>
      <c r="Q261" s="84"/>
    </row>
    <row r="262" spans="3:17" s="24" customFormat="1"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3"/>
      <c r="Q262" s="84"/>
    </row>
    <row r="263" spans="3:17" s="24" customFormat="1"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3"/>
      <c r="Q263" s="84"/>
    </row>
    <row r="264" spans="3:17" s="24" customFormat="1"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3"/>
      <c r="Q264" s="84"/>
    </row>
    <row r="265" spans="3:17" s="24" customFormat="1"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3"/>
      <c r="Q265" s="84"/>
    </row>
    <row r="266" spans="3:17" s="24" customFormat="1"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3"/>
      <c r="Q266" s="84"/>
    </row>
    <row r="267" spans="3:17" s="24" customFormat="1"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3"/>
      <c r="Q267" s="84"/>
    </row>
    <row r="268" spans="3:17" s="24" customFormat="1"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3"/>
      <c r="Q268" s="84"/>
    </row>
    <row r="269" spans="3:17" s="24" customFormat="1"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3"/>
      <c r="Q269" s="84"/>
    </row>
    <row r="270" spans="3:17" s="24" customFormat="1"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3"/>
      <c r="Q270" s="84"/>
    </row>
    <row r="271" spans="3:17" s="24" customFormat="1"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3"/>
      <c r="Q271" s="84"/>
    </row>
    <row r="272" spans="3:17" s="24" customFormat="1"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3"/>
      <c r="Q272" s="84"/>
    </row>
    <row r="273" spans="3:17" s="24" customFormat="1"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3"/>
      <c r="Q273" s="84"/>
    </row>
    <row r="274" spans="3:17" s="24" customFormat="1"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3"/>
      <c r="Q274" s="84"/>
    </row>
    <row r="275" spans="3:17" s="24" customFormat="1"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3"/>
      <c r="Q275" s="84"/>
    </row>
    <row r="276" spans="3:17" s="24" customFormat="1"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3"/>
      <c r="Q276" s="84"/>
    </row>
    <row r="277" spans="3:17" s="24" customFormat="1"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3"/>
      <c r="Q277" s="84"/>
    </row>
    <row r="278" spans="3:17" s="24" customFormat="1"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3"/>
      <c r="Q278" s="84"/>
    </row>
    <row r="279" spans="3:17" s="24" customFormat="1"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3"/>
      <c r="Q279" s="84"/>
    </row>
    <row r="280" spans="3:17" s="24" customFormat="1"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3"/>
      <c r="Q280" s="84"/>
    </row>
    <row r="281" spans="3:17" s="24" customFormat="1"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3"/>
      <c r="Q281" s="84"/>
    </row>
    <row r="282" spans="3:17" s="24" customFormat="1"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3"/>
      <c r="Q282" s="84"/>
    </row>
    <row r="283" spans="3:17" s="24" customFormat="1"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3"/>
      <c r="Q283" s="84"/>
    </row>
    <row r="284" spans="3:17" s="24" customFormat="1"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3"/>
      <c r="Q284" s="84"/>
    </row>
    <row r="285" spans="3:17" s="24" customFormat="1"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3"/>
      <c r="Q285" s="84"/>
    </row>
    <row r="286" spans="3:17" s="24" customFormat="1"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3"/>
      <c r="Q286" s="84"/>
    </row>
    <row r="287" spans="3:17" s="24" customFormat="1"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3"/>
      <c r="Q287" s="84"/>
    </row>
    <row r="288" spans="3:17" s="24" customFormat="1"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3"/>
      <c r="Q288" s="84"/>
    </row>
    <row r="289" spans="3:17" s="24" customFormat="1"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3"/>
      <c r="Q289" s="84"/>
    </row>
    <row r="290" spans="3:17" s="24" customFormat="1"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3"/>
      <c r="Q290" s="84"/>
    </row>
    <row r="291" spans="3:17" s="24" customFormat="1"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3"/>
      <c r="Q291" s="84"/>
    </row>
    <row r="292" spans="3:17" s="24" customFormat="1"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3"/>
      <c r="Q292" s="84"/>
    </row>
    <row r="293" spans="3:17" s="24" customFormat="1"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3"/>
      <c r="Q293" s="84"/>
    </row>
    <row r="294" spans="3:17" s="24" customFormat="1"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3"/>
      <c r="Q294" s="84"/>
    </row>
    <row r="295" spans="3:17" s="24" customFormat="1"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3"/>
      <c r="Q295" s="84"/>
    </row>
    <row r="296" spans="3:17" s="24" customFormat="1"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3"/>
      <c r="Q296" s="84"/>
    </row>
    <row r="297" spans="3:17" s="24" customFormat="1"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3"/>
      <c r="Q297" s="84"/>
    </row>
    <row r="298" spans="3:17" s="24" customFormat="1"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3"/>
      <c r="Q298" s="84"/>
    </row>
    <row r="299" spans="3:17" s="24" customFormat="1"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3"/>
      <c r="Q299" s="84"/>
    </row>
    <row r="300" spans="3:17" s="24" customFormat="1"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3"/>
      <c r="Q300" s="84"/>
    </row>
    <row r="301" spans="3:17" s="24" customFormat="1"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3"/>
      <c r="Q301" s="84"/>
    </row>
    <row r="302" spans="3:17" s="24" customFormat="1"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3"/>
      <c r="Q302" s="84"/>
    </row>
    <row r="303" spans="3:17" s="24" customFormat="1"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3"/>
      <c r="Q303" s="84"/>
    </row>
    <row r="304" spans="3:17" s="24" customFormat="1"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3"/>
      <c r="Q304" s="84"/>
    </row>
    <row r="305" spans="3:17" s="24" customFormat="1"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3"/>
      <c r="Q305" s="84"/>
    </row>
    <row r="306" spans="3:17" s="24" customFormat="1"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3"/>
      <c r="Q306" s="84"/>
    </row>
    <row r="307" spans="3:17" s="24" customFormat="1"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3"/>
      <c r="Q307" s="84"/>
    </row>
    <row r="308" spans="3:17" s="24" customFormat="1"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3"/>
      <c r="Q308" s="84"/>
    </row>
    <row r="309" spans="3:17" s="24" customFormat="1"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3"/>
      <c r="Q309" s="84"/>
    </row>
    <row r="310" spans="3:17" s="24" customFormat="1"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3"/>
      <c r="Q310" s="84"/>
    </row>
    <row r="311" spans="3:17" s="24" customFormat="1"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3"/>
      <c r="Q311" s="84"/>
    </row>
    <row r="312" spans="3:17" s="24" customFormat="1"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3"/>
      <c r="Q312" s="84"/>
    </row>
    <row r="313" spans="3:17" s="24" customFormat="1"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3"/>
      <c r="Q313" s="84"/>
    </row>
    <row r="314" spans="3:17" s="24" customFormat="1"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3"/>
      <c r="Q314" s="84"/>
    </row>
    <row r="315" spans="3:17" s="24" customFormat="1"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3"/>
      <c r="Q315" s="84"/>
    </row>
    <row r="316" spans="3:17" s="24" customFormat="1"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3"/>
      <c r="Q316" s="84"/>
    </row>
    <row r="317" spans="3:17" s="24" customFormat="1"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3"/>
      <c r="Q317" s="84"/>
    </row>
    <row r="318" spans="3:17" s="24" customFormat="1"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3"/>
      <c r="Q318" s="84"/>
    </row>
    <row r="319" spans="3:17" s="24" customFormat="1"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3"/>
      <c r="Q319" s="84"/>
    </row>
    <row r="320" spans="3:17" s="24" customFormat="1"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3"/>
      <c r="Q320" s="84"/>
    </row>
    <row r="321" spans="3:17" s="24" customFormat="1"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3"/>
      <c r="Q321" s="84"/>
    </row>
    <row r="322" spans="3:17" s="24" customFormat="1"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3"/>
      <c r="Q322" s="84"/>
    </row>
    <row r="323" spans="3:17" s="24" customFormat="1"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3"/>
      <c r="Q323" s="84"/>
    </row>
    <row r="324" spans="3:17" s="24" customFormat="1"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3"/>
      <c r="Q324" s="84"/>
    </row>
    <row r="325" spans="3:17" s="24" customFormat="1"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3"/>
      <c r="Q325" s="84"/>
    </row>
    <row r="326" spans="3:17" s="24" customFormat="1"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3"/>
      <c r="Q326" s="84"/>
    </row>
    <row r="327" spans="3:17" s="24" customFormat="1"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3"/>
      <c r="Q327" s="84"/>
    </row>
    <row r="328" spans="3:17" s="24" customFormat="1"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3"/>
      <c r="Q328" s="84"/>
    </row>
    <row r="329" spans="3:17" s="24" customFormat="1"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3"/>
      <c r="Q329" s="84"/>
    </row>
    <row r="330" spans="3:17" s="24" customFormat="1"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3"/>
      <c r="Q330" s="84"/>
    </row>
    <row r="331" spans="3:17" s="24" customFormat="1"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3"/>
      <c r="Q331" s="84"/>
    </row>
    <row r="332" spans="3:17" s="24" customFormat="1"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3"/>
      <c r="Q332" s="84"/>
    </row>
    <row r="333" spans="3:17" s="24" customFormat="1"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3"/>
      <c r="Q333" s="84"/>
    </row>
    <row r="334" spans="3:17" s="24" customFormat="1"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3"/>
      <c r="Q334" s="84"/>
    </row>
    <row r="335" spans="3:17" s="24" customFormat="1"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3"/>
      <c r="Q335" s="84"/>
    </row>
    <row r="336" spans="3:17" s="24" customFormat="1"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3"/>
      <c r="Q336" s="84"/>
    </row>
    <row r="337" spans="3:17" s="24" customFormat="1"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3"/>
      <c r="Q337" s="84"/>
    </row>
    <row r="338" spans="3:17" s="24" customFormat="1"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3"/>
      <c r="Q338" s="84"/>
    </row>
    <row r="339" spans="3:17" s="24" customFormat="1"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3"/>
      <c r="Q339" s="84"/>
    </row>
    <row r="340" spans="3:17" s="24" customFormat="1"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3"/>
      <c r="Q340" s="84"/>
    </row>
    <row r="341" spans="3:17" s="24" customFormat="1"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3"/>
      <c r="Q341" s="84"/>
    </row>
    <row r="342" spans="3:17" s="24" customFormat="1"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3"/>
      <c r="Q342" s="84"/>
    </row>
    <row r="343" spans="3:17" s="24" customFormat="1"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3"/>
      <c r="Q343" s="84"/>
    </row>
    <row r="344" spans="3:17" s="24" customFormat="1"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3"/>
      <c r="Q344" s="84"/>
    </row>
    <row r="345" spans="3:17" s="24" customFormat="1"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3"/>
      <c r="Q345" s="84"/>
    </row>
    <row r="346" spans="3:17" s="24" customFormat="1"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3"/>
      <c r="Q346" s="84"/>
    </row>
    <row r="347" spans="3:17" s="24" customFormat="1"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3"/>
      <c r="Q347" s="84"/>
    </row>
    <row r="348" spans="3:17" s="24" customFormat="1"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3"/>
      <c r="Q348" s="84"/>
    </row>
    <row r="349" spans="3:17" s="24" customFormat="1"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3"/>
      <c r="Q349" s="84"/>
    </row>
    <row r="350" spans="3:17" s="24" customFormat="1"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3"/>
      <c r="Q350" s="84"/>
    </row>
    <row r="351" spans="3:17" s="24" customFormat="1"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3"/>
      <c r="Q351" s="84"/>
    </row>
    <row r="352" spans="3:17" s="24" customFormat="1"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3"/>
      <c r="Q352" s="84"/>
    </row>
    <row r="353" spans="3:17" s="24" customFormat="1"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3"/>
      <c r="Q353" s="84"/>
    </row>
    <row r="354" spans="3:17" s="24" customFormat="1"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3"/>
      <c r="Q354" s="84"/>
    </row>
    <row r="355" spans="3:17" s="24" customFormat="1"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3"/>
      <c r="Q355" s="84"/>
    </row>
    <row r="356" spans="3:17" s="24" customFormat="1"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3"/>
      <c r="Q356" s="84"/>
    </row>
    <row r="357" spans="3:17" s="24" customFormat="1"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3"/>
      <c r="Q357" s="84"/>
    </row>
    <row r="358" spans="3:17" s="24" customFormat="1"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3"/>
      <c r="Q358" s="84"/>
    </row>
    <row r="359" spans="3:17" s="24" customFormat="1"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3"/>
      <c r="Q359" s="84"/>
    </row>
    <row r="360" spans="3:17" s="24" customFormat="1"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3"/>
      <c r="Q360" s="84"/>
    </row>
    <row r="361" spans="3:17" s="24" customFormat="1"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3"/>
      <c r="Q361" s="84"/>
    </row>
    <row r="362" spans="3:17" s="24" customFormat="1"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3"/>
      <c r="Q362" s="84"/>
    </row>
    <row r="363" spans="3:17" s="24" customFormat="1"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3"/>
      <c r="Q363" s="84"/>
    </row>
    <row r="364" spans="3:17" s="24" customFormat="1"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3"/>
      <c r="Q364" s="84"/>
    </row>
    <row r="365" spans="3:17" s="24" customFormat="1"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3"/>
      <c r="Q365" s="84"/>
    </row>
    <row r="366" spans="3:17" s="24" customFormat="1"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3"/>
      <c r="Q366" s="84"/>
    </row>
    <row r="367" spans="3:17" s="24" customFormat="1"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3"/>
      <c r="Q367" s="84"/>
    </row>
    <row r="368" spans="3:17" s="24" customFormat="1"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3"/>
      <c r="Q368" s="84"/>
    </row>
    <row r="369" spans="3:17" s="24" customFormat="1"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3"/>
      <c r="Q369" s="84"/>
    </row>
    <row r="370" spans="3:17" s="24" customFormat="1"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3"/>
      <c r="Q370" s="84"/>
    </row>
    <row r="371" spans="3:17" s="24" customFormat="1"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3"/>
      <c r="Q371" s="84"/>
    </row>
    <row r="372" spans="3:17" s="24" customFormat="1"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3"/>
      <c r="Q372" s="84"/>
    </row>
    <row r="373" spans="3:17" s="24" customFormat="1"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3"/>
      <c r="Q373" s="84"/>
    </row>
    <row r="374" spans="3:17" s="24" customFormat="1"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3"/>
      <c r="Q374" s="84"/>
    </row>
    <row r="375" spans="3:17" s="24" customFormat="1"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3"/>
      <c r="Q375" s="84"/>
    </row>
    <row r="376" spans="3:17" s="24" customFormat="1"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3"/>
      <c r="Q376" s="84"/>
    </row>
    <row r="377" spans="3:17" s="24" customFormat="1"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3"/>
      <c r="Q377" s="84"/>
    </row>
    <row r="378" spans="3:17" s="24" customFormat="1"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3"/>
      <c r="Q378" s="84"/>
    </row>
    <row r="379" spans="3:17" s="24" customFormat="1"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3"/>
      <c r="Q379" s="84"/>
    </row>
    <row r="380" spans="3:17" s="24" customFormat="1"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3"/>
      <c r="Q380" s="84"/>
    </row>
    <row r="381" spans="3:17" s="24" customFormat="1"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3"/>
      <c r="Q381" s="84"/>
    </row>
    <row r="382" spans="3:17" s="24" customFormat="1"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3"/>
      <c r="Q382" s="84"/>
    </row>
    <row r="383" spans="3:17" s="24" customFormat="1"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3"/>
      <c r="Q383" s="84"/>
    </row>
    <row r="384" spans="3:17" s="24" customFormat="1"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3"/>
      <c r="Q384" s="84"/>
    </row>
    <row r="385" spans="3:17" s="24" customFormat="1"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3"/>
      <c r="Q385" s="84"/>
    </row>
    <row r="386" spans="3:17" s="24" customFormat="1"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3"/>
      <c r="Q386" s="84"/>
    </row>
    <row r="387" spans="3:17" s="24" customFormat="1"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3"/>
      <c r="Q387" s="84"/>
    </row>
    <row r="388" spans="3:17" s="24" customFormat="1"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3"/>
      <c r="Q388" s="84"/>
    </row>
    <row r="389" spans="3:17" s="24" customFormat="1"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3"/>
      <c r="Q389" s="84"/>
    </row>
    <row r="390" spans="3:17" s="24" customFormat="1"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3"/>
      <c r="Q390" s="84"/>
    </row>
    <row r="391" spans="3:17" s="24" customFormat="1"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3"/>
      <c r="Q391" s="84"/>
    </row>
    <row r="392" spans="3:17" s="24" customFormat="1"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3"/>
      <c r="Q392" s="84"/>
    </row>
    <row r="393" spans="3:17" s="24" customFormat="1"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3"/>
      <c r="Q393" s="84"/>
    </row>
    <row r="394" spans="3:17" s="24" customFormat="1"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3"/>
      <c r="Q394" s="84"/>
    </row>
    <row r="395" spans="3:17" s="24" customFormat="1"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3"/>
      <c r="Q395" s="84"/>
    </row>
    <row r="396" spans="3:17" s="24" customFormat="1"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3"/>
      <c r="Q396" s="84"/>
    </row>
    <row r="397" spans="3:17" s="24" customFormat="1"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3"/>
      <c r="Q397" s="84"/>
    </row>
    <row r="398" spans="3:17" s="24" customFormat="1"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3"/>
      <c r="Q398" s="84"/>
    </row>
    <row r="399" spans="3:17" s="24" customFormat="1"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3"/>
      <c r="Q399" s="84"/>
    </row>
    <row r="400" spans="3:17" s="24" customFormat="1"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3"/>
      <c r="Q400" s="84"/>
    </row>
    <row r="401" spans="3:17" s="24" customFormat="1"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3"/>
      <c r="Q401" s="84"/>
    </row>
    <row r="402" spans="3:17" s="24" customFormat="1"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3"/>
      <c r="Q402" s="84"/>
    </row>
    <row r="403" spans="3:17" s="24" customFormat="1"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3"/>
      <c r="Q403" s="84"/>
    </row>
    <row r="404" spans="3:17" s="24" customFormat="1"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3"/>
      <c r="Q404" s="84"/>
    </row>
    <row r="405" spans="3:17" s="24" customFormat="1"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3"/>
      <c r="Q405" s="84"/>
    </row>
    <row r="406" spans="3:17" s="24" customFormat="1"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3"/>
      <c r="Q406" s="84"/>
    </row>
    <row r="407" spans="3:17" s="24" customFormat="1"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3"/>
      <c r="Q407" s="84"/>
    </row>
    <row r="408" spans="3:17" s="24" customFormat="1"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3"/>
      <c r="Q408" s="84"/>
    </row>
    <row r="409" spans="3:17" s="24" customFormat="1"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3"/>
      <c r="Q409" s="84"/>
    </row>
    <row r="410" spans="3:17" s="24" customFormat="1"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3"/>
      <c r="Q410" s="84"/>
    </row>
    <row r="411" spans="3:17" s="24" customFormat="1"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3"/>
      <c r="Q411" s="84"/>
    </row>
    <row r="412" spans="3:17" s="24" customFormat="1"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3"/>
      <c r="Q412" s="84"/>
    </row>
    <row r="413" spans="3:17" s="24" customFormat="1"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3"/>
      <c r="Q413" s="84"/>
    </row>
    <row r="414" spans="3:17" s="24" customFormat="1"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3"/>
      <c r="Q414" s="84"/>
    </row>
    <row r="415" spans="3:17" s="24" customFormat="1"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3"/>
      <c r="Q415" s="84"/>
    </row>
    <row r="416" spans="3:17" s="24" customFormat="1"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3"/>
      <c r="Q416" s="84"/>
    </row>
    <row r="417" spans="3:17" s="24" customFormat="1"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3"/>
      <c r="Q417" s="84"/>
    </row>
    <row r="418" spans="3:17" s="24" customFormat="1"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3"/>
      <c r="Q418" s="84"/>
    </row>
    <row r="419" spans="3:17" s="24" customFormat="1"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3"/>
      <c r="Q419" s="84"/>
    </row>
    <row r="420" spans="3:17" s="24" customFormat="1"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3"/>
      <c r="Q420" s="84"/>
    </row>
    <row r="421" spans="3:17" s="24" customFormat="1"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3"/>
      <c r="Q421" s="84"/>
    </row>
    <row r="422" spans="3:17" s="24" customFormat="1"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3"/>
      <c r="Q422" s="84"/>
    </row>
    <row r="423" spans="3:17" s="24" customFormat="1"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3"/>
      <c r="Q423" s="84"/>
    </row>
    <row r="424" spans="3:17" s="24" customFormat="1"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3"/>
      <c r="Q424" s="84"/>
    </row>
    <row r="425" spans="3:17" s="24" customFormat="1"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3"/>
      <c r="Q425" s="84"/>
    </row>
    <row r="426" spans="3:17" s="24" customFormat="1"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3"/>
      <c r="Q426" s="84"/>
    </row>
    <row r="427" spans="3:17" s="24" customFormat="1"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3"/>
      <c r="Q427" s="84"/>
    </row>
    <row r="428" spans="3:17" s="24" customFormat="1"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3"/>
      <c r="Q428" s="84"/>
    </row>
    <row r="429" spans="3:17" s="24" customFormat="1"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3"/>
      <c r="Q429" s="84"/>
    </row>
    <row r="430" spans="3:17" s="24" customFormat="1"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3"/>
      <c r="Q430" s="84"/>
    </row>
    <row r="431" spans="3:17" s="24" customFormat="1"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3"/>
      <c r="Q431" s="84"/>
    </row>
    <row r="432" spans="3:17" s="24" customFormat="1"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3"/>
      <c r="Q432" s="84"/>
    </row>
    <row r="433" spans="3:17" s="24" customFormat="1"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3"/>
      <c r="Q433" s="84"/>
    </row>
    <row r="434" spans="3:17" s="24" customFormat="1"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3"/>
      <c r="Q434" s="84"/>
    </row>
    <row r="435" spans="3:17" s="24" customFormat="1"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3"/>
      <c r="Q435" s="84"/>
    </row>
    <row r="436" spans="3:17" s="24" customFormat="1"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3"/>
      <c r="Q436" s="84"/>
    </row>
    <row r="437" spans="3:17" s="24" customFormat="1"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3"/>
      <c r="Q437" s="84"/>
    </row>
    <row r="438" spans="3:17" s="24" customFormat="1"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3"/>
      <c r="Q438" s="84"/>
    </row>
    <row r="439" spans="3:17" s="24" customFormat="1">
      <c r="C439" s="82"/>
      <c r="D439" s="3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3"/>
      <c r="Q439" s="84"/>
    </row>
    <row r="440" spans="3:17" s="24" customFormat="1">
      <c r="C440" s="82"/>
      <c r="D440" s="3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3"/>
      <c r="Q440" s="84"/>
    </row>
    <row r="441" spans="3:17" s="24" customFormat="1">
      <c r="C441" s="82"/>
      <c r="D441" s="3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3"/>
      <c r="Q441" s="84"/>
    </row>
    <row r="442" spans="3:17" s="24" customFormat="1">
      <c r="C442" s="82"/>
      <c r="D442" s="3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3"/>
      <c r="Q442" s="84"/>
    </row>
    <row r="443" spans="3:17" s="24" customFormat="1">
      <c r="C443" s="82"/>
      <c r="D443" s="3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3"/>
      <c r="Q443" s="84"/>
    </row>
    <row r="444" spans="3:17" s="24" customFormat="1">
      <c r="C444" s="82"/>
      <c r="D444" s="3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3"/>
      <c r="Q444" s="84"/>
    </row>
    <row r="445" spans="3:17" s="24" customFormat="1">
      <c r="C445" s="82"/>
      <c r="D445" s="3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3"/>
      <c r="Q445" s="84"/>
    </row>
    <row r="446" spans="3:17" s="24" customFormat="1">
      <c r="C446" s="82"/>
      <c r="D446" s="3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3"/>
      <c r="Q446" s="84"/>
    </row>
    <row r="447" spans="3:17" s="24" customFormat="1">
      <c r="C447" s="82"/>
      <c r="D447" s="3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3"/>
      <c r="Q447" s="84"/>
    </row>
    <row r="448" spans="3:17" s="24" customFormat="1">
      <c r="C448" s="82"/>
      <c r="D448" s="3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3"/>
      <c r="Q448" s="84"/>
    </row>
    <row r="449" spans="3:17" s="24" customFormat="1">
      <c r="C449" s="82"/>
      <c r="D449" s="3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3"/>
      <c r="Q449" s="84"/>
    </row>
    <row r="450" spans="3:17" s="24" customFormat="1">
      <c r="C450" s="82"/>
      <c r="D450" s="3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3"/>
      <c r="Q450" s="84"/>
    </row>
    <row r="451" spans="3:17" s="24" customFormat="1">
      <c r="C451" s="82"/>
      <c r="D451" s="3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3"/>
      <c r="Q451" s="84"/>
    </row>
    <row r="452" spans="3:17" s="24" customFormat="1">
      <c r="C452" s="82"/>
      <c r="D452" s="3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3"/>
      <c r="Q452" s="84"/>
    </row>
    <row r="453" spans="3:17" s="24" customFormat="1">
      <c r="C453" s="82"/>
      <c r="D453" s="3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3"/>
      <c r="Q453" s="84"/>
    </row>
    <row r="454" spans="3:17" s="24" customFormat="1">
      <c r="C454" s="82"/>
      <c r="D454" s="3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3"/>
      <c r="Q454" s="84"/>
    </row>
    <row r="455" spans="3:17" s="24" customFormat="1">
      <c r="C455" s="82"/>
      <c r="D455" s="3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3"/>
      <c r="Q455" s="84"/>
    </row>
    <row r="456" spans="3:17" s="24" customFormat="1">
      <c r="C456" s="82"/>
      <c r="D456" s="3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3"/>
      <c r="Q456" s="84"/>
    </row>
    <row r="457" spans="3:17" s="24" customFormat="1">
      <c r="C457" s="82"/>
      <c r="D457" s="3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3"/>
      <c r="Q457" s="84"/>
    </row>
    <row r="458" spans="3:17" s="24" customFormat="1">
      <c r="C458" s="82"/>
      <c r="D458" s="3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3"/>
      <c r="Q458" s="84"/>
    </row>
    <row r="459" spans="3:17" s="24" customFormat="1">
      <c r="C459" s="82"/>
      <c r="D459" s="3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3"/>
      <c r="Q459" s="84"/>
    </row>
    <row r="460" spans="3:17" s="24" customFormat="1">
      <c r="C460" s="82"/>
      <c r="D460" s="3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3"/>
      <c r="Q460" s="84"/>
    </row>
    <row r="461" spans="3:17" s="24" customFormat="1">
      <c r="C461" s="82"/>
      <c r="D461" s="3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3"/>
      <c r="Q461" s="84"/>
    </row>
    <row r="462" spans="3:17" s="24" customFormat="1">
      <c r="C462" s="82"/>
      <c r="D462" s="3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3"/>
      <c r="Q462" s="84"/>
    </row>
    <row r="463" spans="3:17" s="24" customFormat="1">
      <c r="C463" s="82"/>
      <c r="D463" s="3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3"/>
      <c r="Q463" s="84"/>
    </row>
    <row r="464" spans="3:17" s="24" customFormat="1">
      <c r="C464" s="82"/>
      <c r="D464" s="3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3"/>
      <c r="Q464" s="84"/>
    </row>
    <row r="465" spans="3:17" s="24" customFormat="1">
      <c r="C465" s="82"/>
      <c r="D465" s="3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3"/>
      <c r="Q465" s="84"/>
    </row>
    <row r="466" spans="3:17" s="24" customFormat="1">
      <c r="C466" s="82"/>
      <c r="D466" s="3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3"/>
      <c r="Q466" s="84"/>
    </row>
    <row r="467" spans="3:17">
      <c r="P467" s="17"/>
      <c r="Q467" s="20"/>
    </row>
    <row r="468" spans="3:17">
      <c r="P468" s="17"/>
      <c r="Q468" s="20"/>
    </row>
    <row r="469" spans="3:17">
      <c r="P469" s="17"/>
      <c r="Q469" s="20"/>
    </row>
    <row r="470" spans="3:17">
      <c r="P470" s="17"/>
      <c r="Q470" s="20"/>
    </row>
    <row r="471" spans="3:17">
      <c r="P471" s="17"/>
      <c r="Q471" s="20"/>
    </row>
    <row r="472" spans="3:17">
      <c r="P472" s="17"/>
      <c r="Q472" s="20"/>
    </row>
    <row r="473" spans="3:17">
      <c r="P473" s="17"/>
      <c r="Q473" s="20"/>
    </row>
    <row r="474" spans="3:17">
      <c r="P474" s="17"/>
      <c r="Q474" s="20"/>
    </row>
    <row r="475" spans="3:17">
      <c r="P475" s="17"/>
      <c r="Q475" s="20"/>
    </row>
    <row r="476" spans="3:17">
      <c r="P476" s="17"/>
      <c r="Q476" s="20"/>
    </row>
    <row r="477" spans="3:17">
      <c r="P477" s="17"/>
      <c r="Q477" s="20"/>
    </row>
    <row r="478" spans="3:17">
      <c r="P478" s="17"/>
      <c r="Q478" s="20"/>
    </row>
    <row r="479" spans="3:17">
      <c r="P479" s="17"/>
      <c r="Q479" s="20"/>
    </row>
    <row r="480" spans="3:17">
      <c r="P480" s="17"/>
      <c r="Q480" s="20"/>
    </row>
    <row r="481" spans="16:17">
      <c r="P481" s="17"/>
      <c r="Q481" s="20"/>
    </row>
    <row r="482" spans="16:17">
      <c r="P482" s="17"/>
      <c r="Q482" s="20"/>
    </row>
    <row r="483" spans="16:17">
      <c r="P483" s="17"/>
      <c r="Q483" s="20"/>
    </row>
    <row r="484" spans="16:17">
      <c r="P484" s="17"/>
      <c r="Q484" s="20"/>
    </row>
    <row r="485" spans="16:17">
      <c r="P485" s="17"/>
      <c r="Q485" s="20"/>
    </row>
    <row r="486" spans="16:17">
      <c r="P486" s="17"/>
      <c r="Q486" s="20"/>
    </row>
    <row r="487" spans="16:17">
      <c r="P487" s="17"/>
      <c r="Q487" s="20"/>
    </row>
    <row r="488" spans="16:17">
      <c r="P488" s="17"/>
      <c r="Q488" s="20"/>
    </row>
    <row r="489" spans="16:17">
      <c r="P489" s="17"/>
      <c r="Q489" s="20"/>
    </row>
    <row r="490" spans="16:17">
      <c r="P490" s="17"/>
      <c r="Q490" s="20"/>
    </row>
    <row r="491" spans="16:17">
      <c r="P491" s="17"/>
      <c r="Q491" s="20"/>
    </row>
    <row r="492" spans="16:17">
      <c r="P492" s="17"/>
      <c r="Q492" s="20"/>
    </row>
    <row r="493" spans="16:17">
      <c r="P493" s="17"/>
      <c r="Q493" s="20"/>
    </row>
    <row r="494" spans="16:17">
      <c r="P494" s="17"/>
      <c r="Q494" s="20"/>
    </row>
    <row r="495" spans="16:17">
      <c r="P495" s="17"/>
      <c r="Q495" s="20"/>
    </row>
    <row r="496" spans="16:17">
      <c r="P496" s="17"/>
      <c r="Q496" s="20"/>
    </row>
    <row r="497" spans="16:17">
      <c r="P497" s="17"/>
      <c r="Q497" s="20"/>
    </row>
    <row r="498" spans="16:17">
      <c r="P498" s="17"/>
      <c r="Q498" s="20"/>
    </row>
    <row r="499" spans="16:17">
      <c r="P499" s="17"/>
      <c r="Q499" s="20"/>
    </row>
    <row r="500" spans="16:17">
      <c r="P500" s="17"/>
      <c r="Q500" s="20"/>
    </row>
    <row r="501" spans="16:17">
      <c r="P501" s="17"/>
      <c r="Q501" s="20"/>
    </row>
    <row r="502" spans="16:17">
      <c r="P502" s="17"/>
      <c r="Q502" s="20"/>
    </row>
    <row r="503" spans="16:17">
      <c r="P503" s="17"/>
      <c r="Q503" s="20"/>
    </row>
    <row r="504" spans="16:17">
      <c r="P504" s="17"/>
      <c r="Q504" s="20"/>
    </row>
    <row r="505" spans="16:17">
      <c r="P505" s="17"/>
      <c r="Q505" s="20"/>
    </row>
    <row r="506" spans="16:17">
      <c r="P506" s="17"/>
      <c r="Q506" s="20"/>
    </row>
    <row r="507" spans="16:17">
      <c r="P507" s="17"/>
      <c r="Q507" s="20"/>
    </row>
    <row r="508" spans="16:17">
      <c r="P508" s="17"/>
      <c r="Q508" s="20"/>
    </row>
    <row r="509" spans="16:17">
      <c r="P509" s="17"/>
      <c r="Q509" s="20"/>
    </row>
    <row r="510" spans="16:17">
      <c r="P510" s="17"/>
      <c r="Q510" s="20"/>
    </row>
    <row r="511" spans="16:17">
      <c r="P511" s="17"/>
      <c r="Q511" s="20"/>
    </row>
    <row r="512" spans="16:17">
      <c r="P512" s="17"/>
      <c r="Q512" s="20"/>
    </row>
    <row r="513" spans="16:17">
      <c r="P513" s="17"/>
      <c r="Q513" s="20"/>
    </row>
    <row r="514" spans="16:17">
      <c r="P514" s="17"/>
      <c r="Q514" s="20"/>
    </row>
    <row r="515" spans="16:17">
      <c r="P515" s="17"/>
      <c r="Q515" s="20"/>
    </row>
    <row r="516" spans="16:17">
      <c r="P516" s="17"/>
      <c r="Q516" s="20"/>
    </row>
    <row r="517" spans="16:17">
      <c r="P517" s="17"/>
      <c r="Q517" s="20"/>
    </row>
    <row r="518" spans="16:17">
      <c r="P518" s="17"/>
      <c r="Q518" s="20"/>
    </row>
    <row r="519" spans="16:17">
      <c r="P519" s="17"/>
      <c r="Q519" s="20"/>
    </row>
    <row r="520" spans="16:17">
      <c r="P520" s="17"/>
      <c r="Q520" s="20"/>
    </row>
    <row r="521" spans="16:17">
      <c r="P521" s="17"/>
      <c r="Q521" s="20"/>
    </row>
    <row r="522" spans="16:17">
      <c r="P522" s="17"/>
      <c r="Q522" s="20"/>
    </row>
    <row r="523" spans="16:17">
      <c r="P523" s="17"/>
      <c r="Q523" s="20"/>
    </row>
    <row r="524" spans="16:17">
      <c r="P524" s="17"/>
      <c r="Q524" s="20"/>
    </row>
    <row r="525" spans="16:17">
      <c r="P525" s="17"/>
      <c r="Q525" s="20"/>
    </row>
    <row r="526" spans="16:17">
      <c r="P526" s="17"/>
      <c r="Q526" s="20"/>
    </row>
    <row r="527" spans="16:17">
      <c r="P527" s="17"/>
      <c r="Q527" s="20"/>
    </row>
    <row r="528" spans="16:17">
      <c r="P528" s="17"/>
      <c r="Q528" s="20"/>
    </row>
    <row r="529" spans="16:17">
      <c r="P529" s="17"/>
      <c r="Q529" s="20"/>
    </row>
    <row r="530" spans="16:17">
      <c r="P530" s="17"/>
      <c r="Q530" s="20"/>
    </row>
    <row r="531" spans="16:17">
      <c r="P531" s="17"/>
      <c r="Q531" s="20"/>
    </row>
    <row r="532" spans="16:17">
      <c r="P532" s="17"/>
      <c r="Q532" s="20"/>
    </row>
    <row r="533" spans="16:17">
      <c r="P533" s="17"/>
      <c r="Q533" s="20"/>
    </row>
    <row r="534" spans="16:17">
      <c r="P534" s="17"/>
      <c r="Q534" s="20"/>
    </row>
    <row r="535" spans="16:17">
      <c r="P535" s="17"/>
      <c r="Q535" s="20"/>
    </row>
    <row r="536" spans="16:17">
      <c r="P536" s="17"/>
      <c r="Q536" s="20"/>
    </row>
    <row r="537" spans="16:17">
      <c r="P537" s="17"/>
      <c r="Q537" s="20"/>
    </row>
    <row r="538" spans="16:17">
      <c r="P538" s="17"/>
      <c r="Q538" s="20"/>
    </row>
    <row r="539" spans="16:17">
      <c r="P539" s="17"/>
      <c r="Q539" s="20"/>
    </row>
    <row r="540" spans="16:17">
      <c r="P540" s="17"/>
      <c r="Q540" s="20"/>
    </row>
    <row r="541" spans="16:17">
      <c r="P541" s="17"/>
      <c r="Q541" s="20"/>
    </row>
    <row r="542" spans="16:17">
      <c r="P542" s="17"/>
      <c r="Q542" s="20"/>
    </row>
    <row r="543" spans="16:17">
      <c r="P543" s="17"/>
      <c r="Q543" s="20"/>
    </row>
    <row r="544" spans="16:17">
      <c r="P544" s="17"/>
      <c r="Q544" s="20"/>
    </row>
    <row r="545" spans="16:17">
      <c r="P545" s="17"/>
      <c r="Q545" s="20"/>
    </row>
    <row r="546" spans="16:17">
      <c r="P546" s="17"/>
      <c r="Q546" s="20"/>
    </row>
    <row r="547" spans="16:17">
      <c r="P547" s="17"/>
      <c r="Q547" s="20"/>
    </row>
    <row r="548" spans="16:17">
      <c r="P548" s="17"/>
      <c r="Q548" s="20"/>
    </row>
    <row r="549" spans="16:17">
      <c r="P549" s="17"/>
      <c r="Q549" s="20"/>
    </row>
    <row r="550" spans="16:17">
      <c r="P550" s="17"/>
      <c r="Q550" s="20"/>
    </row>
    <row r="551" spans="16:17">
      <c r="P551" s="17"/>
      <c r="Q551" s="20"/>
    </row>
    <row r="552" spans="16:17">
      <c r="P552" s="17"/>
      <c r="Q552" s="20"/>
    </row>
    <row r="553" spans="16:17">
      <c r="P553" s="17"/>
      <c r="Q553" s="20"/>
    </row>
    <row r="554" spans="16:17">
      <c r="P554" s="17"/>
      <c r="Q554" s="20"/>
    </row>
    <row r="555" spans="16:17">
      <c r="P555" s="17"/>
      <c r="Q555" s="20"/>
    </row>
    <row r="556" spans="16:17">
      <c r="P556" s="17"/>
      <c r="Q556" s="20"/>
    </row>
    <row r="557" spans="16:17">
      <c r="P557" s="17"/>
      <c r="Q557" s="20"/>
    </row>
    <row r="558" spans="16:17">
      <c r="P558" s="17"/>
      <c r="Q558" s="20"/>
    </row>
    <row r="559" spans="16:17">
      <c r="P559" s="17"/>
      <c r="Q559" s="20"/>
    </row>
    <row r="560" spans="16:17">
      <c r="P560" s="17"/>
      <c r="Q560" s="20"/>
    </row>
    <row r="561" spans="16:17">
      <c r="P561" s="17"/>
      <c r="Q561" s="20"/>
    </row>
    <row r="562" spans="16:17">
      <c r="P562" s="17"/>
      <c r="Q562" s="20"/>
    </row>
    <row r="563" spans="16:17">
      <c r="P563" s="17"/>
      <c r="Q563" s="20"/>
    </row>
    <row r="564" spans="16:17">
      <c r="P564" s="17"/>
      <c r="Q564" s="20"/>
    </row>
    <row r="565" spans="16:17">
      <c r="P565" s="17"/>
      <c r="Q565" s="20"/>
    </row>
    <row r="566" spans="16:17">
      <c r="P566" s="17"/>
      <c r="Q566" s="20"/>
    </row>
    <row r="567" spans="16:17">
      <c r="P567" s="17"/>
      <c r="Q567" s="20"/>
    </row>
    <row r="568" spans="16:17">
      <c r="P568" s="17"/>
      <c r="Q568" s="20"/>
    </row>
    <row r="569" spans="16:17">
      <c r="P569" s="17"/>
      <c r="Q569" s="20"/>
    </row>
    <row r="570" spans="16:17">
      <c r="P570" s="17"/>
      <c r="Q570" s="20"/>
    </row>
    <row r="571" spans="16:17">
      <c r="P571" s="17"/>
      <c r="Q571" s="20"/>
    </row>
    <row r="572" spans="16:17">
      <c r="P572" s="17"/>
      <c r="Q572" s="20"/>
    </row>
    <row r="573" spans="16:17">
      <c r="P573" s="17"/>
      <c r="Q573" s="20"/>
    </row>
    <row r="574" spans="16:17">
      <c r="P574" s="17"/>
      <c r="Q574" s="20"/>
    </row>
    <row r="575" spans="16:17">
      <c r="P575" s="17"/>
      <c r="Q575" s="20"/>
    </row>
    <row r="576" spans="16:17">
      <c r="P576" s="17"/>
      <c r="Q576" s="20"/>
    </row>
    <row r="577" spans="16:17">
      <c r="P577" s="17"/>
      <c r="Q577" s="20"/>
    </row>
    <row r="578" spans="16:17">
      <c r="P578" s="17"/>
      <c r="Q578" s="20"/>
    </row>
    <row r="579" spans="16:17">
      <c r="P579" s="17"/>
      <c r="Q579" s="20"/>
    </row>
    <row r="580" spans="16:17">
      <c r="P580" s="17"/>
      <c r="Q580" s="20"/>
    </row>
    <row r="581" spans="16:17">
      <c r="P581" s="17"/>
      <c r="Q581" s="20"/>
    </row>
    <row r="582" spans="16:17">
      <c r="P582" s="17"/>
      <c r="Q582" s="20"/>
    </row>
    <row r="583" spans="16:17">
      <c r="P583" s="17"/>
      <c r="Q583" s="20"/>
    </row>
    <row r="584" spans="16:17">
      <c r="P584" s="17"/>
      <c r="Q584" s="20"/>
    </row>
    <row r="585" spans="16:17">
      <c r="P585" s="17"/>
      <c r="Q585" s="20"/>
    </row>
    <row r="586" spans="16:17">
      <c r="P586" s="17"/>
      <c r="Q586" s="20"/>
    </row>
    <row r="587" spans="16:17">
      <c r="P587" s="17"/>
      <c r="Q587" s="20"/>
    </row>
    <row r="588" spans="16:17">
      <c r="P588" s="17"/>
      <c r="Q588" s="20"/>
    </row>
    <row r="589" spans="16:17">
      <c r="P589" s="17"/>
      <c r="Q589" s="20"/>
    </row>
    <row r="590" spans="16:17">
      <c r="P590" s="17"/>
      <c r="Q590" s="20"/>
    </row>
    <row r="591" spans="16:17">
      <c r="P591" s="17"/>
      <c r="Q591" s="20"/>
    </row>
    <row r="592" spans="16:17">
      <c r="P592" s="17"/>
      <c r="Q592" s="20"/>
    </row>
    <row r="593" spans="16:17">
      <c r="P593" s="17"/>
      <c r="Q593" s="20"/>
    </row>
    <row r="594" spans="16:17">
      <c r="P594" s="17"/>
      <c r="Q594" s="20"/>
    </row>
    <row r="595" spans="16:17">
      <c r="P595" s="17"/>
      <c r="Q595" s="20"/>
    </row>
    <row r="596" spans="16:17">
      <c r="P596" s="17"/>
      <c r="Q596" s="20"/>
    </row>
    <row r="597" spans="16:17">
      <c r="P597" s="17"/>
      <c r="Q597" s="20"/>
    </row>
    <row r="598" spans="16:17">
      <c r="P598" s="17"/>
      <c r="Q598" s="20"/>
    </row>
    <row r="599" spans="16:17">
      <c r="P599" s="17"/>
      <c r="Q599" s="20"/>
    </row>
    <row r="600" spans="16:17">
      <c r="P600" s="17"/>
      <c r="Q600" s="20"/>
    </row>
    <row r="601" spans="16:17">
      <c r="P601" s="17"/>
      <c r="Q601" s="20"/>
    </row>
    <row r="602" spans="16:17">
      <c r="P602" s="17"/>
      <c r="Q602" s="20"/>
    </row>
    <row r="603" spans="16:17">
      <c r="P603" s="17"/>
      <c r="Q603" s="20"/>
    </row>
    <row r="604" spans="16:17">
      <c r="P604" s="17"/>
      <c r="Q604" s="20"/>
    </row>
    <row r="605" spans="16:17">
      <c r="P605" s="17"/>
      <c r="Q605" s="20"/>
    </row>
    <row r="606" spans="16:17">
      <c r="P606" s="17"/>
      <c r="Q606" s="20"/>
    </row>
    <row r="607" spans="16:17">
      <c r="P607" s="17"/>
      <c r="Q607" s="20"/>
    </row>
    <row r="608" spans="16:17">
      <c r="P608" s="17"/>
      <c r="Q608" s="20"/>
    </row>
    <row r="609" spans="16:17">
      <c r="P609" s="17"/>
      <c r="Q609" s="20"/>
    </row>
    <row r="610" spans="16:17">
      <c r="P610" s="17"/>
      <c r="Q610" s="20"/>
    </row>
    <row r="611" spans="16:17">
      <c r="P611" s="17"/>
      <c r="Q611" s="20"/>
    </row>
    <row r="612" spans="16:17">
      <c r="P612" s="17"/>
      <c r="Q612" s="20"/>
    </row>
    <row r="613" spans="16:17">
      <c r="P613" s="17"/>
      <c r="Q613" s="20"/>
    </row>
    <row r="614" spans="16:17">
      <c r="P614" s="17"/>
      <c r="Q614" s="20"/>
    </row>
    <row r="615" spans="16:17">
      <c r="P615" s="17"/>
      <c r="Q615" s="20"/>
    </row>
    <row r="616" spans="16:17">
      <c r="P616" s="17"/>
      <c r="Q616" s="20"/>
    </row>
    <row r="617" spans="16:17">
      <c r="P617" s="17"/>
      <c r="Q617" s="20"/>
    </row>
    <row r="618" spans="16:17">
      <c r="P618" s="17"/>
      <c r="Q618" s="20"/>
    </row>
    <row r="619" spans="16:17">
      <c r="P619" s="17"/>
      <c r="Q619" s="20"/>
    </row>
    <row r="620" spans="16:17">
      <c r="P620" s="17"/>
      <c r="Q620" s="20"/>
    </row>
    <row r="621" spans="16:17">
      <c r="P621" s="17"/>
      <c r="Q621" s="20"/>
    </row>
    <row r="622" spans="16:17">
      <c r="P622" s="17"/>
      <c r="Q622" s="20"/>
    </row>
    <row r="623" spans="16:17">
      <c r="P623" s="17"/>
      <c r="Q623" s="20"/>
    </row>
    <row r="624" spans="16:17">
      <c r="P624" s="17"/>
      <c r="Q624" s="20"/>
    </row>
    <row r="625" spans="16:17">
      <c r="P625" s="17"/>
      <c r="Q625" s="20"/>
    </row>
    <row r="626" spans="16:17">
      <c r="P626" s="17"/>
      <c r="Q626" s="20"/>
    </row>
    <row r="627" spans="16:17">
      <c r="P627" s="17"/>
      <c r="Q627" s="20"/>
    </row>
    <row r="628" spans="16:17">
      <c r="P628" s="17"/>
      <c r="Q628" s="20"/>
    </row>
    <row r="629" spans="16:17">
      <c r="P629" s="17"/>
      <c r="Q629" s="20"/>
    </row>
    <row r="630" spans="16:17">
      <c r="P630" s="17"/>
      <c r="Q630" s="20"/>
    </row>
    <row r="631" spans="16:17">
      <c r="P631" s="17"/>
      <c r="Q631" s="20"/>
    </row>
    <row r="632" spans="16:17">
      <c r="P632" s="17"/>
      <c r="Q632" s="20"/>
    </row>
    <row r="633" spans="16:17">
      <c r="P633" s="17"/>
      <c r="Q633" s="20"/>
    </row>
    <row r="634" spans="16:17">
      <c r="P634" s="17"/>
      <c r="Q634" s="20"/>
    </row>
    <row r="635" spans="16:17">
      <c r="P635" s="17"/>
      <c r="Q635" s="20"/>
    </row>
    <row r="636" spans="16:17">
      <c r="P636" s="17"/>
      <c r="Q636" s="20"/>
    </row>
    <row r="637" spans="16:17">
      <c r="P637" s="17"/>
      <c r="Q637" s="20"/>
    </row>
    <row r="638" spans="16:17">
      <c r="P638" s="17"/>
      <c r="Q638" s="20"/>
    </row>
    <row r="639" spans="16:17">
      <c r="P639" s="17"/>
      <c r="Q639" s="20"/>
    </row>
    <row r="640" spans="16:17">
      <c r="P640" s="17"/>
      <c r="Q640" s="20"/>
    </row>
    <row r="641" spans="16:17">
      <c r="P641" s="17"/>
      <c r="Q641" s="20"/>
    </row>
    <row r="642" spans="16:17">
      <c r="P642" s="17"/>
      <c r="Q642" s="20"/>
    </row>
    <row r="643" spans="16:17">
      <c r="P643" s="17"/>
      <c r="Q643" s="20"/>
    </row>
    <row r="644" spans="16:17">
      <c r="P644" s="17"/>
      <c r="Q644" s="20"/>
    </row>
    <row r="645" spans="16:17">
      <c r="P645" s="17"/>
      <c r="Q645" s="20"/>
    </row>
    <row r="646" spans="16:17">
      <c r="P646" s="17"/>
      <c r="Q646" s="20"/>
    </row>
    <row r="647" spans="16:17">
      <c r="P647" s="17"/>
      <c r="Q647" s="20"/>
    </row>
    <row r="648" spans="16:17">
      <c r="P648" s="17"/>
      <c r="Q648" s="20"/>
    </row>
    <row r="649" spans="16:17">
      <c r="P649" s="17"/>
      <c r="Q649" s="20"/>
    </row>
    <row r="650" spans="16:17">
      <c r="P650" s="17"/>
      <c r="Q650" s="20"/>
    </row>
    <row r="651" spans="16:17">
      <c r="P651" s="17"/>
      <c r="Q651" s="20"/>
    </row>
    <row r="652" spans="16:17">
      <c r="P652" s="17"/>
      <c r="Q652" s="20"/>
    </row>
    <row r="653" spans="16:17">
      <c r="P653" s="17"/>
      <c r="Q653" s="20"/>
    </row>
    <row r="654" spans="16:17">
      <c r="P654" s="17"/>
      <c r="Q654" s="20"/>
    </row>
    <row r="655" spans="16:17">
      <c r="P655" s="17"/>
      <c r="Q655" s="20"/>
    </row>
    <row r="656" spans="16:17">
      <c r="P656" s="17"/>
      <c r="Q656" s="20"/>
    </row>
    <row r="657" spans="16:17">
      <c r="P657" s="17"/>
      <c r="Q657" s="20"/>
    </row>
    <row r="658" spans="16:17">
      <c r="P658" s="17"/>
      <c r="Q658" s="20"/>
    </row>
    <row r="659" spans="16:17">
      <c r="P659" s="17"/>
      <c r="Q659" s="20"/>
    </row>
    <row r="660" spans="16:17">
      <c r="P660" s="17"/>
      <c r="Q660" s="20"/>
    </row>
    <row r="661" spans="16:17">
      <c r="P661" s="17"/>
      <c r="Q661" s="20"/>
    </row>
    <row r="662" spans="16:17">
      <c r="P662" s="17"/>
      <c r="Q662" s="20"/>
    </row>
    <row r="663" spans="16:17">
      <c r="P663" s="17"/>
      <c r="Q663" s="20"/>
    </row>
    <row r="664" spans="16:17">
      <c r="P664" s="17"/>
      <c r="Q664" s="20"/>
    </row>
    <row r="665" spans="16:17">
      <c r="P665" s="17"/>
      <c r="Q665" s="20"/>
    </row>
    <row r="666" spans="16:17">
      <c r="P666" s="17"/>
      <c r="Q666" s="20"/>
    </row>
    <row r="667" spans="16:17">
      <c r="P667" s="17"/>
      <c r="Q667" s="20"/>
    </row>
    <row r="668" spans="16:17">
      <c r="P668" s="17"/>
      <c r="Q668" s="20"/>
    </row>
    <row r="669" spans="16:17">
      <c r="P669" s="17"/>
      <c r="Q669" s="20"/>
    </row>
    <row r="670" spans="16:17">
      <c r="P670" s="17"/>
      <c r="Q670" s="20"/>
    </row>
    <row r="671" spans="16:17">
      <c r="P671" s="17"/>
      <c r="Q671" s="20"/>
    </row>
    <row r="672" spans="16:17">
      <c r="P672" s="17"/>
      <c r="Q672" s="20"/>
    </row>
    <row r="673" spans="16:17">
      <c r="P673" s="17"/>
      <c r="Q673" s="20"/>
    </row>
    <row r="674" spans="16:17">
      <c r="P674" s="17"/>
      <c r="Q674" s="20"/>
    </row>
    <row r="675" spans="16:17">
      <c r="P675" s="17"/>
      <c r="Q675" s="20"/>
    </row>
    <row r="676" spans="16:17">
      <c r="P676" s="17"/>
      <c r="Q676" s="20"/>
    </row>
    <row r="677" spans="16:17">
      <c r="P677" s="17"/>
      <c r="Q677" s="20"/>
    </row>
    <row r="678" spans="16:17">
      <c r="P678" s="17"/>
      <c r="Q678" s="20"/>
    </row>
    <row r="679" spans="16:17">
      <c r="P679" s="17"/>
      <c r="Q679" s="20"/>
    </row>
    <row r="680" spans="16:17">
      <c r="P680" s="17"/>
      <c r="Q680" s="20"/>
    </row>
    <row r="681" spans="16:17">
      <c r="P681" s="17"/>
      <c r="Q681" s="20"/>
    </row>
    <row r="682" spans="16:17">
      <c r="P682" s="17"/>
      <c r="Q682" s="20"/>
    </row>
    <row r="683" spans="16:17">
      <c r="P683" s="17"/>
      <c r="Q683" s="20"/>
    </row>
    <row r="684" spans="16:17">
      <c r="P684" s="17"/>
      <c r="Q684" s="20"/>
    </row>
    <row r="685" spans="16:17">
      <c r="P685" s="17"/>
      <c r="Q685" s="20"/>
    </row>
    <row r="686" spans="16:17">
      <c r="P686" s="17"/>
      <c r="Q686" s="20"/>
    </row>
    <row r="687" spans="16:17">
      <c r="P687" s="17"/>
      <c r="Q687" s="20"/>
    </row>
    <row r="688" spans="16:17">
      <c r="P688" s="17"/>
      <c r="Q688" s="20"/>
    </row>
    <row r="689" spans="16:17">
      <c r="P689" s="17"/>
      <c r="Q689" s="20"/>
    </row>
    <row r="690" spans="16:17">
      <c r="P690" s="17"/>
      <c r="Q690" s="20"/>
    </row>
    <row r="691" spans="16:17">
      <c r="P691" s="17"/>
      <c r="Q691" s="20"/>
    </row>
    <row r="692" spans="16:17">
      <c r="P692" s="17"/>
      <c r="Q692" s="20"/>
    </row>
    <row r="693" spans="16:17">
      <c r="P693" s="17"/>
      <c r="Q693" s="20"/>
    </row>
    <row r="694" spans="16:17">
      <c r="P694" s="17"/>
      <c r="Q694" s="20"/>
    </row>
    <row r="695" spans="16:17">
      <c r="P695" s="17"/>
      <c r="Q695" s="20"/>
    </row>
    <row r="696" spans="16:17">
      <c r="P696" s="17"/>
      <c r="Q696" s="20"/>
    </row>
    <row r="697" spans="16:17">
      <c r="P697" s="17"/>
      <c r="Q697" s="20"/>
    </row>
    <row r="698" spans="16:17">
      <c r="P698" s="17"/>
      <c r="Q698" s="20"/>
    </row>
    <row r="699" spans="16:17">
      <c r="P699" s="17"/>
      <c r="Q699" s="20"/>
    </row>
    <row r="700" spans="16:17">
      <c r="P700" s="17"/>
      <c r="Q700" s="20"/>
    </row>
    <row r="701" spans="16:17">
      <c r="P701" s="17"/>
      <c r="Q701" s="20"/>
    </row>
    <row r="702" spans="16:17">
      <c r="P702" s="17"/>
      <c r="Q702" s="20"/>
    </row>
    <row r="703" spans="16:17">
      <c r="P703" s="17"/>
      <c r="Q703" s="20"/>
    </row>
    <row r="704" spans="16:17">
      <c r="P704" s="17"/>
      <c r="Q704" s="20"/>
    </row>
    <row r="705" spans="16:17">
      <c r="P705" s="17"/>
      <c r="Q705" s="20"/>
    </row>
    <row r="706" spans="16:17">
      <c r="P706" s="17"/>
      <c r="Q706" s="20"/>
    </row>
    <row r="707" spans="16:17">
      <c r="P707" s="17"/>
      <c r="Q707" s="20"/>
    </row>
    <row r="708" spans="16:17">
      <c r="P708" s="17"/>
      <c r="Q708" s="20"/>
    </row>
    <row r="709" spans="16:17">
      <c r="P709" s="17"/>
      <c r="Q709" s="20"/>
    </row>
    <row r="710" spans="16:17">
      <c r="P710" s="17"/>
      <c r="Q710" s="20"/>
    </row>
    <row r="711" spans="16:17">
      <c r="P711" s="17"/>
      <c r="Q711" s="20"/>
    </row>
    <row r="712" spans="16:17">
      <c r="P712" s="17"/>
      <c r="Q712" s="20"/>
    </row>
    <row r="713" spans="16:17">
      <c r="P713" s="17"/>
      <c r="Q713" s="20"/>
    </row>
    <row r="714" spans="16:17">
      <c r="P714" s="17"/>
      <c r="Q714" s="20"/>
    </row>
    <row r="715" spans="16:17">
      <c r="P715" s="17"/>
      <c r="Q715" s="20"/>
    </row>
    <row r="716" spans="16:17">
      <c r="P716" s="17"/>
      <c r="Q716" s="20"/>
    </row>
    <row r="717" spans="16:17">
      <c r="P717" s="17"/>
      <c r="Q717" s="20"/>
    </row>
    <row r="718" spans="16:17">
      <c r="P718" s="17"/>
      <c r="Q718" s="20"/>
    </row>
    <row r="719" spans="16:17">
      <c r="P719" s="17"/>
      <c r="Q719" s="20"/>
    </row>
    <row r="720" spans="16:17">
      <c r="P720" s="17"/>
      <c r="Q720" s="20"/>
    </row>
    <row r="721" spans="16:17">
      <c r="P721" s="17"/>
      <c r="Q721" s="20"/>
    </row>
    <row r="722" spans="16:17">
      <c r="P722" s="17"/>
      <c r="Q722" s="20"/>
    </row>
    <row r="723" spans="16:17">
      <c r="P723" s="17"/>
      <c r="Q723" s="20"/>
    </row>
    <row r="724" spans="16:17">
      <c r="P724" s="17"/>
      <c r="Q724" s="20"/>
    </row>
    <row r="725" spans="16:17">
      <c r="P725" s="17"/>
      <c r="Q725" s="20"/>
    </row>
    <row r="726" spans="16:17">
      <c r="P726" s="17"/>
      <c r="Q726" s="20"/>
    </row>
    <row r="727" spans="16:17">
      <c r="P727" s="17"/>
      <c r="Q727" s="20"/>
    </row>
    <row r="728" spans="16:17">
      <c r="P728" s="17"/>
      <c r="Q728" s="20"/>
    </row>
    <row r="729" spans="16:17">
      <c r="P729" s="17"/>
      <c r="Q729" s="20"/>
    </row>
    <row r="730" spans="16:17">
      <c r="P730" s="17"/>
      <c r="Q730" s="20"/>
    </row>
    <row r="731" spans="16:17">
      <c r="P731" s="17"/>
      <c r="Q731" s="20"/>
    </row>
    <row r="732" spans="16:17">
      <c r="P732" s="17"/>
      <c r="Q732" s="20"/>
    </row>
    <row r="733" spans="16:17">
      <c r="P733" s="17"/>
      <c r="Q733" s="20"/>
    </row>
    <row r="734" spans="16:17">
      <c r="P734" s="17"/>
      <c r="Q734" s="20"/>
    </row>
    <row r="735" spans="16:17">
      <c r="P735" s="17"/>
      <c r="Q735" s="20"/>
    </row>
    <row r="736" spans="16:17">
      <c r="P736" s="17"/>
      <c r="Q736" s="20"/>
    </row>
    <row r="737" spans="16:17">
      <c r="P737" s="17"/>
      <c r="Q737" s="20"/>
    </row>
    <row r="738" spans="16:17">
      <c r="P738" s="17"/>
      <c r="Q738" s="20"/>
    </row>
    <row r="739" spans="16:17">
      <c r="P739" s="17"/>
      <c r="Q739" s="20"/>
    </row>
    <row r="740" spans="16:17">
      <c r="P740" s="17"/>
      <c r="Q740" s="20"/>
    </row>
    <row r="741" spans="16:17">
      <c r="P741" s="17"/>
      <c r="Q741" s="20"/>
    </row>
    <row r="742" spans="16:17">
      <c r="P742" s="17"/>
      <c r="Q742" s="20"/>
    </row>
    <row r="743" spans="16:17">
      <c r="P743" s="17"/>
      <c r="Q743" s="20"/>
    </row>
    <row r="744" spans="16:17">
      <c r="P744" s="17"/>
      <c r="Q744" s="20"/>
    </row>
    <row r="745" spans="16:17">
      <c r="P745" s="17"/>
      <c r="Q745" s="20"/>
    </row>
    <row r="746" spans="16:17">
      <c r="P746" s="17"/>
      <c r="Q746" s="20"/>
    </row>
    <row r="747" spans="16:17">
      <c r="P747" s="17"/>
      <c r="Q747" s="20"/>
    </row>
    <row r="748" spans="16:17">
      <c r="P748" s="17"/>
      <c r="Q748" s="20"/>
    </row>
    <row r="749" spans="16:17">
      <c r="P749" s="17"/>
      <c r="Q749" s="20"/>
    </row>
    <row r="750" spans="16:17">
      <c r="P750" s="17"/>
      <c r="Q750" s="20"/>
    </row>
    <row r="751" spans="16:17">
      <c r="P751" s="17"/>
      <c r="Q751" s="20"/>
    </row>
    <row r="752" spans="16:17">
      <c r="P752" s="17"/>
      <c r="Q752" s="20"/>
    </row>
    <row r="753" spans="16:17">
      <c r="P753" s="17"/>
      <c r="Q753" s="20"/>
    </row>
    <row r="754" spans="16:17">
      <c r="P754" s="17"/>
      <c r="Q754" s="20"/>
    </row>
    <row r="755" spans="16:17">
      <c r="P755" s="17"/>
      <c r="Q755" s="20"/>
    </row>
    <row r="756" spans="16:17">
      <c r="P756" s="17"/>
      <c r="Q756" s="20"/>
    </row>
    <row r="757" spans="16:17">
      <c r="P757" s="17"/>
      <c r="Q757" s="20"/>
    </row>
    <row r="758" spans="16:17">
      <c r="P758" s="17"/>
      <c r="Q758" s="20"/>
    </row>
    <row r="759" spans="16:17">
      <c r="P759" s="17"/>
      <c r="Q759" s="20"/>
    </row>
    <row r="760" spans="16:17">
      <c r="P760" s="17"/>
      <c r="Q760" s="20"/>
    </row>
    <row r="761" spans="16:17">
      <c r="P761" s="17"/>
      <c r="Q761" s="20"/>
    </row>
    <row r="762" spans="16:17">
      <c r="P762" s="17"/>
      <c r="Q762" s="20"/>
    </row>
    <row r="763" spans="16:17">
      <c r="P763" s="17"/>
      <c r="Q763" s="20"/>
    </row>
    <row r="764" spans="16:17">
      <c r="P764" s="17"/>
      <c r="Q764" s="20"/>
    </row>
    <row r="765" spans="16:17">
      <c r="P765" s="17"/>
      <c r="Q765" s="20"/>
    </row>
    <row r="766" spans="16:17">
      <c r="P766" s="17"/>
      <c r="Q766" s="20"/>
    </row>
    <row r="767" spans="16:17">
      <c r="P767" s="17"/>
      <c r="Q767" s="20"/>
    </row>
    <row r="768" spans="16:17">
      <c r="P768" s="17"/>
      <c r="Q768" s="20"/>
    </row>
    <row r="769" spans="16:17">
      <c r="P769" s="17"/>
      <c r="Q769" s="20"/>
    </row>
    <row r="770" spans="16:17">
      <c r="P770" s="17"/>
      <c r="Q770" s="20"/>
    </row>
    <row r="771" spans="16:17">
      <c r="P771" s="17"/>
      <c r="Q771" s="20"/>
    </row>
    <row r="772" spans="16:17">
      <c r="P772" s="17"/>
      <c r="Q772" s="20"/>
    </row>
    <row r="773" spans="16:17">
      <c r="P773" s="17"/>
      <c r="Q773" s="20"/>
    </row>
    <row r="774" spans="16:17">
      <c r="P774" s="17"/>
      <c r="Q774" s="20"/>
    </row>
    <row r="775" spans="16:17">
      <c r="P775" s="17"/>
      <c r="Q775" s="20"/>
    </row>
    <row r="776" spans="16:17">
      <c r="P776" s="17"/>
      <c r="Q776" s="20"/>
    </row>
    <row r="777" spans="16:17">
      <c r="P777" s="17"/>
      <c r="Q777" s="20"/>
    </row>
    <row r="778" spans="16:17">
      <c r="P778" s="17"/>
      <c r="Q778" s="20"/>
    </row>
    <row r="779" spans="16:17">
      <c r="P779" s="17"/>
      <c r="Q779" s="20"/>
    </row>
    <row r="780" spans="16:17">
      <c r="P780" s="17"/>
      <c r="Q780" s="20"/>
    </row>
    <row r="781" spans="16:17">
      <c r="P781" s="17"/>
      <c r="Q781" s="20"/>
    </row>
    <row r="782" spans="16:17">
      <c r="P782" s="17"/>
      <c r="Q782" s="20"/>
    </row>
    <row r="783" spans="16:17">
      <c r="P783" s="17"/>
      <c r="Q783" s="20"/>
    </row>
    <row r="784" spans="16:17">
      <c r="P784" s="17"/>
      <c r="Q784" s="20"/>
    </row>
    <row r="785" spans="16:17">
      <c r="P785" s="17"/>
      <c r="Q785" s="20"/>
    </row>
    <row r="786" spans="16:17">
      <c r="P786" s="17"/>
      <c r="Q786" s="20"/>
    </row>
    <row r="787" spans="16:17">
      <c r="P787" s="17"/>
      <c r="Q787" s="20"/>
    </row>
    <row r="788" spans="16:17">
      <c r="P788" s="17"/>
      <c r="Q788" s="20"/>
    </row>
    <row r="789" spans="16:17">
      <c r="P789" s="17"/>
      <c r="Q789" s="20"/>
    </row>
    <row r="790" spans="16:17">
      <c r="P790" s="17"/>
      <c r="Q790" s="20"/>
    </row>
    <row r="791" spans="16:17">
      <c r="P791" s="17"/>
      <c r="Q791" s="20"/>
    </row>
    <row r="792" spans="16:17">
      <c r="P792" s="17"/>
      <c r="Q792" s="20"/>
    </row>
    <row r="793" spans="16:17">
      <c r="P793" s="17"/>
      <c r="Q793" s="20"/>
    </row>
    <row r="794" spans="16:17">
      <c r="P794" s="17"/>
      <c r="Q794" s="20"/>
    </row>
    <row r="795" spans="16:17">
      <c r="P795" s="17"/>
      <c r="Q795" s="20"/>
    </row>
    <row r="796" spans="16:17">
      <c r="P796" s="17"/>
      <c r="Q796" s="20"/>
    </row>
    <row r="797" spans="16:17">
      <c r="P797" s="17"/>
      <c r="Q797" s="20"/>
    </row>
    <row r="798" spans="16:17">
      <c r="P798" s="17"/>
      <c r="Q798" s="20"/>
    </row>
    <row r="799" spans="16:17">
      <c r="P799" s="17"/>
      <c r="Q799" s="20"/>
    </row>
    <row r="800" spans="16:17">
      <c r="P800" s="17"/>
      <c r="Q800" s="20"/>
    </row>
    <row r="801" spans="16:17">
      <c r="P801" s="17"/>
      <c r="Q801" s="20"/>
    </row>
    <row r="802" spans="16:17">
      <c r="P802" s="17"/>
      <c r="Q802" s="20"/>
    </row>
    <row r="803" spans="16:17">
      <c r="P803" s="17"/>
      <c r="Q803" s="20"/>
    </row>
    <row r="804" spans="16:17">
      <c r="P804" s="17"/>
      <c r="Q804" s="20"/>
    </row>
    <row r="805" spans="16:17">
      <c r="P805" s="17"/>
      <c r="Q805" s="20"/>
    </row>
    <row r="806" spans="16:17">
      <c r="P806" s="17"/>
      <c r="Q806" s="20"/>
    </row>
    <row r="807" spans="16:17">
      <c r="P807" s="17"/>
      <c r="Q807" s="20"/>
    </row>
    <row r="808" spans="16:17">
      <c r="P808" s="17"/>
      <c r="Q808" s="20"/>
    </row>
    <row r="809" spans="16:17">
      <c r="P809" s="17"/>
      <c r="Q809" s="20"/>
    </row>
    <row r="810" spans="16:17">
      <c r="P810" s="17"/>
      <c r="Q810" s="20"/>
    </row>
    <row r="811" spans="16:17">
      <c r="P811" s="17"/>
      <c r="Q811" s="20"/>
    </row>
    <row r="812" spans="16:17">
      <c r="P812" s="17"/>
      <c r="Q812" s="20"/>
    </row>
    <row r="813" spans="16:17">
      <c r="P813" s="17"/>
      <c r="Q813" s="20"/>
    </row>
    <row r="814" spans="16:17">
      <c r="P814" s="17"/>
      <c r="Q814" s="20"/>
    </row>
    <row r="815" spans="16:17">
      <c r="P815" s="17"/>
      <c r="Q815" s="20"/>
    </row>
    <row r="816" spans="16:17">
      <c r="P816" s="17"/>
      <c r="Q816" s="20"/>
    </row>
    <row r="817" spans="16:17">
      <c r="P817" s="17"/>
      <c r="Q817" s="20"/>
    </row>
    <row r="818" spans="16:17">
      <c r="P818" s="17"/>
      <c r="Q818" s="20"/>
    </row>
    <row r="819" spans="16:17">
      <c r="P819" s="17"/>
      <c r="Q819" s="20"/>
    </row>
    <row r="820" spans="16:17">
      <c r="P820" s="17"/>
      <c r="Q820" s="20"/>
    </row>
    <row r="821" spans="16:17">
      <c r="P821" s="17"/>
      <c r="Q821" s="20"/>
    </row>
    <row r="822" spans="16:17">
      <c r="P822" s="17"/>
      <c r="Q822" s="20"/>
    </row>
    <row r="823" spans="16:17">
      <c r="P823" s="17"/>
      <c r="Q823" s="20"/>
    </row>
    <row r="824" spans="16:17">
      <c r="P824" s="17"/>
      <c r="Q824" s="20"/>
    </row>
    <row r="825" spans="16:17">
      <c r="P825" s="17"/>
      <c r="Q825" s="20"/>
    </row>
    <row r="826" spans="16:17">
      <c r="P826" s="17"/>
      <c r="Q826" s="20"/>
    </row>
    <row r="827" spans="16:17">
      <c r="P827" s="17"/>
      <c r="Q827" s="20"/>
    </row>
    <row r="828" spans="16:17">
      <c r="P828" s="17"/>
      <c r="Q828" s="20"/>
    </row>
    <row r="829" spans="16:17">
      <c r="P829" s="17"/>
      <c r="Q829" s="20"/>
    </row>
    <row r="830" spans="16:17">
      <c r="P830" s="17"/>
      <c r="Q830" s="20"/>
    </row>
    <row r="831" spans="16:17">
      <c r="P831" s="17"/>
      <c r="Q831" s="20"/>
    </row>
    <row r="832" spans="16:17">
      <c r="P832" s="17"/>
      <c r="Q832" s="20"/>
    </row>
    <row r="833" spans="16:17">
      <c r="P833" s="17"/>
      <c r="Q833" s="20"/>
    </row>
    <row r="834" spans="16:17">
      <c r="P834" s="17"/>
      <c r="Q834" s="20"/>
    </row>
    <row r="835" spans="16:17">
      <c r="P835" s="17"/>
      <c r="Q835" s="20"/>
    </row>
    <row r="836" spans="16:17">
      <c r="P836" s="17"/>
      <c r="Q836" s="20"/>
    </row>
    <row r="837" spans="16:17">
      <c r="P837" s="17"/>
      <c r="Q837" s="20"/>
    </row>
    <row r="838" spans="16:17">
      <c r="P838" s="17"/>
      <c r="Q838" s="20"/>
    </row>
    <row r="839" spans="16:17">
      <c r="P839" s="17"/>
      <c r="Q839" s="20"/>
    </row>
    <row r="840" spans="16:17">
      <c r="P840" s="17"/>
      <c r="Q840" s="20"/>
    </row>
    <row r="841" spans="16:17">
      <c r="P841" s="17"/>
      <c r="Q841" s="20"/>
    </row>
    <row r="842" spans="16:17">
      <c r="P842" s="17"/>
      <c r="Q842" s="20"/>
    </row>
    <row r="843" spans="16:17">
      <c r="P843" s="17"/>
      <c r="Q843" s="20"/>
    </row>
    <row r="844" spans="16:17">
      <c r="P844" s="17"/>
      <c r="Q844" s="20"/>
    </row>
    <row r="845" spans="16:17">
      <c r="P845" s="17"/>
      <c r="Q845" s="20"/>
    </row>
    <row r="846" spans="16:17">
      <c r="P846" s="17"/>
      <c r="Q846" s="20"/>
    </row>
    <row r="847" spans="16:17">
      <c r="P847" s="17"/>
      <c r="Q847" s="20"/>
    </row>
    <row r="848" spans="16:17">
      <c r="P848" s="17"/>
      <c r="Q848" s="20"/>
    </row>
    <row r="849" spans="16:17">
      <c r="P849" s="17"/>
      <c r="Q849" s="20"/>
    </row>
    <row r="850" spans="16:17">
      <c r="P850" s="17"/>
      <c r="Q850" s="20"/>
    </row>
    <row r="851" spans="16:17">
      <c r="P851" s="17"/>
      <c r="Q851" s="20"/>
    </row>
    <row r="852" spans="16:17">
      <c r="P852" s="17"/>
      <c r="Q852" s="20"/>
    </row>
    <row r="853" spans="16:17">
      <c r="P853" s="17"/>
      <c r="Q853" s="20"/>
    </row>
    <row r="854" spans="16:17">
      <c r="P854" s="17"/>
      <c r="Q854" s="20"/>
    </row>
    <row r="855" spans="16:17">
      <c r="P855" s="17"/>
      <c r="Q855" s="20"/>
    </row>
    <row r="856" spans="16:17">
      <c r="P856" s="17"/>
      <c r="Q856" s="20"/>
    </row>
    <row r="857" spans="16:17">
      <c r="P857" s="17"/>
      <c r="Q857" s="20"/>
    </row>
    <row r="858" spans="16:17">
      <c r="P858" s="17"/>
      <c r="Q858" s="20"/>
    </row>
    <row r="859" spans="16:17">
      <c r="P859" s="17"/>
      <c r="Q859" s="20"/>
    </row>
    <row r="860" spans="16:17">
      <c r="P860" s="17"/>
      <c r="Q860" s="20"/>
    </row>
    <row r="861" spans="16:17">
      <c r="P861" s="17"/>
      <c r="Q861" s="20"/>
    </row>
    <row r="862" spans="16:17">
      <c r="P862" s="17"/>
      <c r="Q862" s="20"/>
    </row>
    <row r="863" spans="16:17">
      <c r="P863" s="17"/>
      <c r="Q863" s="20"/>
    </row>
    <row r="864" spans="16:17">
      <c r="P864" s="17"/>
      <c r="Q864" s="20"/>
    </row>
    <row r="865" spans="16:17">
      <c r="P865" s="17"/>
      <c r="Q865" s="20"/>
    </row>
    <row r="866" spans="16:17">
      <c r="P866" s="17"/>
      <c r="Q866" s="20"/>
    </row>
    <row r="867" spans="16:17">
      <c r="P867" s="17"/>
      <c r="Q867" s="20"/>
    </row>
    <row r="868" spans="16:17">
      <c r="P868" s="17"/>
      <c r="Q868" s="20"/>
    </row>
    <row r="869" spans="16:17">
      <c r="P869" s="17"/>
      <c r="Q869" s="20"/>
    </row>
    <row r="870" spans="16:17">
      <c r="P870" s="17"/>
      <c r="Q870" s="20"/>
    </row>
    <row r="871" spans="16:17">
      <c r="P871" s="17"/>
      <c r="Q871" s="20"/>
    </row>
    <row r="872" spans="16:17">
      <c r="P872" s="17"/>
      <c r="Q872" s="20"/>
    </row>
    <row r="873" spans="16:17">
      <c r="P873" s="17"/>
      <c r="Q873" s="20"/>
    </row>
    <row r="874" spans="16:17">
      <c r="P874" s="17"/>
      <c r="Q874" s="20"/>
    </row>
    <row r="875" spans="16:17">
      <c r="P875" s="17"/>
      <c r="Q875" s="20"/>
    </row>
    <row r="876" spans="16:17">
      <c r="P876" s="17"/>
      <c r="Q876" s="20"/>
    </row>
    <row r="877" spans="16:17">
      <c r="P877" s="17"/>
      <c r="Q877" s="20"/>
    </row>
    <row r="878" spans="16:17">
      <c r="P878" s="17"/>
      <c r="Q878" s="20"/>
    </row>
    <row r="879" spans="16:17">
      <c r="P879" s="17"/>
      <c r="Q879" s="20"/>
    </row>
    <row r="880" spans="16:17">
      <c r="P880" s="17"/>
      <c r="Q880" s="20"/>
    </row>
    <row r="881" spans="16:17">
      <c r="P881" s="17"/>
      <c r="Q881" s="20"/>
    </row>
    <row r="882" spans="16:17">
      <c r="P882" s="17"/>
      <c r="Q882" s="20"/>
    </row>
    <row r="883" spans="16:17">
      <c r="P883" s="17"/>
      <c r="Q883" s="20"/>
    </row>
    <row r="884" spans="16:17">
      <c r="P884" s="17"/>
      <c r="Q884" s="20"/>
    </row>
    <row r="885" spans="16:17">
      <c r="P885" s="17"/>
      <c r="Q885" s="20"/>
    </row>
    <row r="886" spans="16:17">
      <c r="P886" s="17"/>
      <c r="Q886" s="20"/>
    </row>
    <row r="887" spans="16:17">
      <c r="P887" s="17"/>
      <c r="Q887" s="20"/>
    </row>
    <row r="888" spans="16:17">
      <c r="P888" s="17"/>
      <c r="Q888" s="20"/>
    </row>
    <row r="889" spans="16:17">
      <c r="P889" s="17"/>
      <c r="Q889" s="20"/>
    </row>
    <row r="890" spans="16:17">
      <c r="P890" s="17"/>
      <c r="Q890" s="20"/>
    </row>
    <row r="891" spans="16:17">
      <c r="P891" s="17"/>
      <c r="Q891" s="20"/>
    </row>
    <row r="892" spans="16:17">
      <c r="P892" s="17"/>
      <c r="Q892" s="20"/>
    </row>
    <row r="893" spans="16:17">
      <c r="P893" s="17"/>
      <c r="Q893" s="20"/>
    </row>
    <row r="894" spans="16:17">
      <c r="P894" s="17"/>
      <c r="Q894" s="20"/>
    </row>
    <row r="895" spans="16:17">
      <c r="P895" s="17"/>
      <c r="Q895" s="20"/>
    </row>
    <row r="896" spans="16:17">
      <c r="P896" s="17"/>
      <c r="Q896" s="20"/>
    </row>
    <row r="897" spans="16:17">
      <c r="P897" s="17"/>
      <c r="Q897" s="20"/>
    </row>
    <row r="898" spans="16:17">
      <c r="P898" s="17"/>
      <c r="Q898" s="20"/>
    </row>
    <row r="899" spans="16:17">
      <c r="P899" s="17"/>
      <c r="Q899" s="20"/>
    </row>
    <row r="900" spans="16:17">
      <c r="P900" s="17"/>
      <c r="Q900" s="20"/>
    </row>
    <row r="901" spans="16:17">
      <c r="P901" s="17"/>
      <c r="Q901" s="20"/>
    </row>
    <row r="902" spans="16:17">
      <c r="P902" s="17"/>
      <c r="Q902" s="20"/>
    </row>
    <row r="903" spans="16:17">
      <c r="P903" s="17"/>
      <c r="Q903" s="20"/>
    </row>
    <row r="904" spans="16:17">
      <c r="P904" s="17"/>
      <c r="Q904" s="20"/>
    </row>
    <row r="905" spans="16:17">
      <c r="P905" s="17"/>
      <c r="Q905" s="20"/>
    </row>
    <row r="906" spans="16:17">
      <c r="P906" s="17"/>
      <c r="Q906" s="20"/>
    </row>
    <row r="907" spans="16:17">
      <c r="P907" s="17"/>
      <c r="Q907" s="20"/>
    </row>
    <row r="908" spans="16:17">
      <c r="P908" s="17"/>
      <c r="Q908" s="20"/>
    </row>
    <row r="909" spans="16:17">
      <c r="P909" s="17"/>
      <c r="Q909" s="20"/>
    </row>
    <row r="910" spans="16:17">
      <c r="P910" s="17"/>
      <c r="Q910" s="20"/>
    </row>
    <row r="911" spans="16:17">
      <c r="P911" s="17"/>
      <c r="Q911" s="20"/>
    </row>
    <row r="912" spans="16:17">
      <c r="P912" s="17"/>
      <c r="Q912" s="20"/>
    </row>
    <row r="913" spans="16:17">
      <c r="P913" s="17"/>
      <c r="Q913" s="20"/>
    </row>
    <row r="914" spans="16:17">
      <c r="P914" s="17"/>
      <c r="Q914" s="20"/>
    </row>
    <row r="915" spans="16:17">
      <c r="P915" s="17"/>
      <c r="Q915" s="20"/>
    </row>
    <row r="916" spans="16:17">
      <c r="P916" s="17"/>
      <c r="Q916" s="20"/>
    </row>
    <row r="917" spans="16:17">
      <c r="P917" s="17"/>
      <c r="Q917" s="20"/>
    </row>
    <row r="918" spans="16:17">
      <c r="P918" s="17"/>
      <c r="Q918" s="20"/>
    </row>
    <row r="919" spans="16:17">
      <c r="P919" s="17"/>
      <c r="Q919" s="20"/>
    </row>
    <row r="920" spans="16:17">
      <c r="P920" s="17"/>
      <c r="Q920" s="20"/>
    </row>
    <row r="921" spans="16:17">
      <c r="P921" s="17"/>
      <c r="Q921" s="20"/>
    </row>
    <row r="922" spans="16:17">
      <c r="P922" s="17"/>
      <c r="Q922" s="20"/>
    </row>
    <row r="923" spans="16:17">
      <c r="P923" s="17"/>
      <c r="Q923" s="20"/>
    </row>
    <row r="924" spans="16:17">
      <c r="P924" s="17"/>
      <c r="Q924" s="20"/>
    </row>
    <row r="925" spans="16:17">
      <c r="P925" s="17"/>
      <c r="Q925" s="20"/>
    </row>
    <row r="926" spans="16:17">
      <c r="P926" s="17"/>
      <c r="Q926" s="20"/>
    </row>
    <row r="927" spans="16:17">
      <c r="P927" s="17"/>
      <c r="Q927" s="20"/>
    </row>
    <row r="928" spans="16:17">
      <c r="P928" s="17"/>
      <c r="Q928" s="20"/>
    </row>
    <row r="929" spans="16:17">
      <c r="P929" s="17"/>
      <c r="Q929" s="20"/>
    </row>
    <row r="930" spans="16:17">
      <c r="P930" s="17"/>
      <c r="Q930" s="20"/>
    </row>
    <row r="931" spans="16:17">
      <c r="P931" s="17"/>
      <c r="Q931" s="20"/>
    </row>
    <row r="932" spans="16:17">
      <c r="P932" s="17"/>
      <c r="Q932" s="20"/>
    </row>
    <row r="933" spans="16:17">
      <c r="P933" s="17"/>
      <c r="Q933" s="20"/>
    </row>
    <row r="934" spans="16:17">
      <c r="P934" s="17"/>
      <c r="Q934" s="20"/>
    </row>
    <row r="935" spans="16:17">
      <c r="P935" s="17"/>
      <c r="Q935" s="20"/>
    </row>
    <row r="936" spans="16:17">
      <c r="P936" s="17"/>
      <c r="Q936" s="20"/>
    </row>
    <row r="937" spans="16:17">
      <c r="P937" s="17"/>
      <c r="Q937" s="20"/>
    </row>
    <row r="938" spans="16:17">
      <c r="P938" s="17"/>
      <c r="Q938" s="20"/>
    </row>
    <row r="939" spans="16:17">
      <c r="P939" s="17"/>
      <c r="Q939" s="20"/>
    </row>
    <row r="940" spans="16:17">
      <c r="P940" s="17"/>
      <c r="Q940" s="20"/>
    </row>
    <row r="941" spans="16:17">
      <c r="P941" s="17"/>
      <c r="Q941" s="20"/>
    </row>
    <row r="942" spans="16:17">
      <c r="P942" s="17"/>
      <c r="Q942" s="20"/>
    </row>
    <row r="943" spans="16:17">
      <c r="P943" s="17"/>
      <c r="Q943" s="20"/>
    </row>
    <row r="944" spans="16:17">
      <c r="P944" s="17"/>
      <c r="Q944" s="20"/>
    </row>
    <row r="945" spans="16:17">
      <c r="P945" s="17"/>
      <c r="Q945" s="20"/>
    </row>
    <row r="946" spans="16:17">
      <c r="P946" s="17"/>
      <c r="Q946" s="20"/>
    </row>
    <row r="947" spans="16:17">
      <c r="P947" s="17"/>
      <c r="Q947" s="20"/>
    </row>
    <row r="948" spans="16:17">
      <c r="P948" s="17"/>
      <c r="Q948" s="20"/>
    </row>
    <row r="949" spans="16:17">
      <c r="P949" s="17"/>
      <c r="Q949" s="20"/>
    </row>
    <row r="950" spans="16:17">
      <c r="P950" s="17"/>
      <c r="Q950" s="20"/>
    </row>
    <row r="951" spans="16:17">
      <c r="P951" s="17"/>
      <c r="Q951" s="20"/>
    </row>
    <row r="952" spans="16:17">
      <c r="P952" s="17"/>
      <c r="Q952" s="20"/>
    </row>
    <row r="953" spans="16:17">
      <c r="P953" s="17"/>
      <c r="Q953" s="20"/>
    </row>
    <row r="954" spans="16:17">
      <c r="P954" s="17"/>
      <c r="Q954" s="20"/>
    </row>
    <row r="955" spans="16:17">
      <c r="P955" s="17"/>
      <c r="Q955" s="20"/>
    </row>
    <row r="956" spans="16:17">
      <c r="P956" s="17"/>
      <c r="Q956" s="20"/>
    </row>
    <row r="957" spans="16:17">
      <c r="P957" s="17"/>
      <c r="Q957" s="20"/>
    </row>
    <row r="958" spans="16:17">
      <c r="P958" s="17"/>
      <c r="Q958" s="20"/>
    </row>
    <row r="959" spans="16:17">
      <c r="P959" s="17"/>
      <c r="Q959" s="20"/>
    </row>
    <row r="960" spans="16:17">
      <c r="P960" s="17"/>
      <c r="Q960" s="20"/>
    </row>
    <row r="961" spans="16:17">
      <c r="P961" s="17"/>
      <c r="Q961" s="20"/>
    </row>
    <row r="962" spans="16:17">
      <c r="P962" s="17"/>
      <c r="Q962" s="20"/>
    </row>
    <row r="963" spans="16:17">
      <c r="P963" s="17"/>
      <c r="Q963" s="20"/>
    </row>
    <row r="964" spans="16:17">
      <c r="P964" s="17"/>
      <c r="Q964" s="20"/>
    </row>
    <row r="965" spans="16:17">
      <c r="P965" s="17"/>
      <c r="Q965" s="20"/>
    </row>
    <row r="966" spans="16:17">
      <c r="P966" s="17"/>
      <c r="Q966" s="20"/>
    </row>
    <row r="967" spans="16:17">
      <c r="P967" s="17"/>
      <c r="Q967" s="20"/>
    </row>
    <row r="968" spans="16:17">
      <c r="P968" s="17"/>
      <c r="Q968" s="20"/>
    </row>
    <row r="969" spans="16:17">
      <c r="P969" s="17"/>
      <c r="Q969" s="20"/>
    </row>
    <row r="970" spans="16:17">
      <c r="P970" s="17"/>
      <c r="Q970" s="20"/>
    </row>
    <row r="971" spans="16:17">
      <c r="P971" s="17"/>
      <c r="Q971" s="20"/>
    </row>
    <row r="972" spans="16:17">
      <c r="P972" s="17"/>
      <c r="Q972" s="20"/>
    </row>
    <row r="973" spans="16:17">
      <c r="P973" s="17"/>
      <c r="Q973" s="20"/>
    </row>
    <row r="974" spans="16:17">
      <c r="P974" s="17"/>
      <c r="Q974" s="20"/>
    </row>
    <row r="975" spans="16:17">
      <c r="P975" s="17"/>
      <c r="Q975" s="20"/>
    </row>
    <row r="976" spans="16:17">
      <c r="P976" s="17"/>
      <c r="Q976" s="20"/>
    </row>
    <row r="977" spans="16:17">
      <c r="P977" s="17"/>
      <c r="Q977" s="20"/>
    </row>
    <row r="978" spans="16:17">
      <c r="P978" s="17"/>
      <c r="Q978" s="20"/>
    </row>
    <row r="979" spans="16:17">
      <c r="P979" s="17"/>
      <c r="Q979" s="20"/>
    </row>
    <row r="980" spans="16:17">
      <c r="P980" s="17"/>
      <c r="Q980" s="20"/>
    </row>
    <row r="981" spans="16:17">
      <c r="P981" s="17"/>
      <c r="Q981" s="20"/>
    </row>
    <row r="982" spans="16:17">
      <c r="P982" s="17"/>
      <c r="Q982" s="20"/>
    </row>
    <row r="983" spans="16:17">
      <c r="P983" s="17"/>
      <c r="Q983" s="20"/>
    </row>
    <row r="984" spans="16:17">
      <c r="P984" s="17"/>
      <c r="Q984" s="20"/>
    </row>
    <row r="985" spans="16:17">
      <c r="P985" s="17"/>
      <c r="Q985" s="20"/>
    </row>
    <row r="986" spans="16:17">
      <c r="P986" s="17"/>
      <c r="Q986" s="20"/>
    </row>
    <row r="987" spans="16:17">
      <c r="P987" s="17"/>
      <c r="Q987" s="20"/>
    </row>
    <row r="988" spans="16:17">
      <c r="P988" s="17"/>
      <c r="Q988" s="20"/>
    </row>
    <row r="989" spans="16:17">
      <c r="P989" s="17"/>
      <c r="Q989" s="20"/>
    </row>
    <row r="990" spans="16:17">
      <c r="P990" s="17"/>
      <c r="Q990" s="20"/>
    </row>
    <row r="991" spans="16:17">
      <c r="P991" s="17"/>
      <c r="Q991" s="20"/>
    </row>
    <row r="992" spans="16:17">
      <c r="P992" s="17"/>
      <c r="Q992" s="20"/>
    </row>
    <row r="993" spans="16:17">
      <c r="P993" s="17"/>
      <c r="Q993" s="20"/>
    </row>
    <row r="994" spans="16:17">
      <c r="P994" s="17"/>
      <c r="Q994" s="20"/>
    </row>
    <row r="995" spans="16:17">
      <c r="P995" s="17"/>
      <c r="Q995" s="20"/>
    </row>
    <row r="996" spans="16:17">
      <c r="P996" s="17"/>
      <c r="Q996" s="20"/>
    </row>
    <row r="997" spans="16:17">
      <c r="P997" s="17"/>
      <c r="Q997" s="20"/>
    </row>
    <row r="998" spans="16:17">
      <c r="P998" s="17"/>
      <c r="Q998" s="20"/>
    </row>
    <row r="999" spans="16:17">
      <c r="P999" s="17"/>
      <c r="Q999" s="20"/>
    </row>
    <row r="1000" spans="16:17">
      <c r="P1000" s="17"/>
      <c r="Q1000" s="20"/>
    </row>
    <row r="1001" spans="16:17">
      <c r="P1001" s="17"/>
      <c r="Q1001" s="20"/>
    </row>
    <row r="1002" spans="16:17">
      <c r="P1002" s="17"/>
      <c r="Q1002" s="20"/>
    </row>
    <row r="1003" spans="16:17">
      <c r="P1003" s="17"/>
      <c r="Q1003" s="20"/>
    </row>
    <row r="1004" spans="16:17">
      <c r="P1004" s="17"/>
      <c r="Q1004" s="20"/>
    </row>
    <row r="1005" spans="16:17">
      <c r="P1005" s="17"/>
      <c r="Q1005" s="20"/>
    </row>
    <row r="1006" spans="16:17">
      <c r="P1006" s="17"/>
      <c r="Q1006" s="20"/>
    </row>
    <row r="1007" spans="16:17">
      <c r="P1007" s="17"/>
      <c r="Q1007" s="20"/>
    </row>
    <row r="1008" spans="16:17">
      <c r="P1008" s="17"/>
      <c r="Q1008" s="20"/>
    </row>
    <row r="1009" spans="16:17">
      <c r="P1009" s="17"/>
      <c r="Q1009" s="20"/>
    </row>
    <row r="1010" spans="16:17">
      <c r="P1010" s="17"/>
      <c r="Q1010" s="20"/>
    </row>
    <row r="1011" spans="16:17">
      <c r="P1011" s="17"/>
      <c r="Q1011" s="20"/>
    </row>
    <row r="1012" spans="16:17">
      <c r="P1012" s="17"/>
      <c r="Q1012" s="20"/>
    </row>
    <row r="1013" spans="16:17">
      <c r="P1013" s="17"/>
      <c r="Q1013" s="20"/>
    </row>
    <row r="1014" spans="16:17">
      <c r="P1014" s="17"/>
      <c r="Q1014" s="20"/>
    </row>
    <row r="1015" spans="16:17">
      <c r="P1015" s="17"/>
      <c r="Q1015" s="20"/>
    </row>
    <row r="1016" spans="16:17">
      <c r="P1016" s="17"/>
      <c r="Q1016" s="20"/>
    </row>
    <row r="1017" spans="16:17">
      <c r="P1017" s="17"/>
      <c r="Q1017" s="20"/>
    </row>
    <row r="1018" spans="16:17">
      <c r="P1018" s="17"/>
      <c r="Q1018" s="20"/>
    </row>
    <row r="1019" spans="16:17">
      <c r="P1019" s="17"/>
      <c r="Q1019" s="20"/>
    </row>
    <row r="1020" spans="16:17">
      <c r="P1020" s="17"/>
      <c r="Q1020" s="20"/>
    </row>
    <row r="1021" spans="16:17">
      <c r="P1021" s="17"/>
      <c r="Q1021" s="20"/>
    </row>
    <row r="1022" spans="16:17">
      <c r="P1022" s="17"/>
      <c r="Q1022" s="20"/>
    </row>
    <row r="1023" spans="16:17">
      <c r="P1023" s="17"/>
      <c r="Q1023" s="20"/>
    </row>
    <row r="1024" spans="16:17">
      <c r="P1024" s="17"/>
      <c r="Q1024" s="20"/>
    </row>
    <row r="1025" spans="16:17">
      <c r="P1025" s="17"/>
      <c r="Q1025" s="20"/>
    </row>
    <row r="1026" spans="16:17">
      <c r="P1026" s="17"/>
      <c r="Q1026" s="20"/>
    </row>
    <row r="1027" spans="16:17">
      <c r="P1027" s="17"/>
      <c r="Q1027" s="20"/>
    </row>
    <row r="1028" spans="16:17">
      <c r="P1028" s="17"/>
      <c r="Q1028" s="20"/>
    </row>
    <row r="1029" spans="16:17">
      <c r="P1029" s="17"/>
      <c r="Q1029" s="20"/>
    </row>
    <row r="1030" spans="16:17">
      <c r="P1030" s="17"/>
      <c r="Q1030" s="20"/>
    </row>
    <row r="1031" spans="16:17">
      <c r="P1031" s="17"/>
      <c r="Q1031" s="20"/>
    </row>
    <row r="1032" spans="16:17">
      <c r="P1032" s="17"/>
      <c r="Q1032" s="20"/>
    </row>
    <row r="1033" spans="16:17">
      <c r="P1033" s="17"/>
      <c r="Q1033" s="20"/>
    </row>
    <row r="1034" spans="16:17">
      <c r="P1034" s="17"/>
      <c r="Q1034" s="20"/>
    </row>
    <row r="1035" spans="16:17">
      <c r="P1035" s="17"/>
      <c r="Q1035" s="20"/>
    </row>
    <row r="1036" spans="16:17">
      <c r="P1036" s="17"/>
      <c r="Q1036" s="20"/>
    </row>
    <row r="1037" spans="16:17">
      <c r="P1037" s="17"/>
      <c r="Q1037" s="20"/>
    </row>
    <row r="1038" spans="16:17">
      <c r="P1038" s="17"/>
      <c r="Q1038" s="20"/>
    </row>
    <row r="1039" spans="16:17">
      <c r="P1039" s="17"/>
      <c r="Q1039" s="20"/>
    </row>
    <row r="1040" spans="16:17">
      <c r="P1040" s="17"/>
      <c r="Q1040" s="20"/>
    </row>
    <row r="1041" spans="16:17">
      <c r="P1041" s="17"/>
      <c r="Q1041" s="20"/>
    </row>
    <row r="1042" spans="16:17">
      <c r="P1042" s="17"/>
      <c r="Q1042" s="20"/>
    </row>
    <row r="1043" spans="16:17">
      <c r="P1043" s="17"/>
      <c r="Q1043" s="20"/>
    </row>
    <row r="1044" spans="16:17">
      <c r="P1044" s="17"/>
      <c r="Q1044" s="20"/>
    </row>
    <row r="1045" spans="16:17">
      <c r="P1045" s="17"/>
      <c r="Q1045" s="20"/>
    </row>
    <row r="1046" spans="16:17">
      <c r="P1046" s="17"/>
      <c r="Q1046" s="20"/>
    </row>
    <row r="1047" spans="16:17">
      <c r="P1047" s="17"/>
      <c r="Q1047" s="20"/>
    </row>
    <row r="1048" spans="16:17">
      <c r="P1048" s="17"/>
      <c r="Q1048" s="20"/>
    </row>
    <row r="1049" spans="16:17">
      <c r="P1049" s="17"/>
      <c r="Q1049" s="20"/>
    </row>
    <row r="1050" spans="16:17">
      <c r="P1050" s="17"/>
      <c r="Q1050" s="20"/>
    </row>
    <row r="1051" spans="16:17">
      <c r="P1051" s="17"/>
      <c r="Q1051" s="20"/>
    </row>
    <row r="1052" spans="16:17">
      <c r="P1052" s="17"/>
      <c r="Q1052" s="20"/>
    </row>
    <row r="1053" spans="16:17">
      <c r="P1053" s="17"/>
      <c r="Q1053" s="20"/>
    </row>
    <row r="1054" spans="16:17">
      <c r="P1054" s="17"/>
      <c r="Q1054" s="20"/>
    </row>
    <row r="1055" spans="16:17">
      <c r="P1055" s="17"/>
      <c r="Q1055" s="20"/>
    </row>
    <row r="1056" spans="16:17">
      <c r="P1056" s="17"/>
      <c r="Q1056" s="20"/>
    </row>
    <row r="1057" spans="16:17">
      <c r="P1057" s="17"/>
      <c r="Q1057" s="20"/>
    </row>
    <row r="1058" spans="16:17">
      <c r="P1058" s="17"/>
      <c r="Q1058" s="20"/>
    </row>
    <row r="1059" spans="16:17">
      <c r="P1059" s="17"/>
      <c r="Q1059" s="20"/>
    </row>
    <row r="1060" spans="16:17">
      <c r="P1060" s="17"/>
      <c r="Q1060" s="20"/>
    </row>
    <row r="1061" spans="16:17">
      <c r="P1061" s="17"/>
      <c r="Q1061" s="20"/>
    </row>
    <row r="1062" spans="16:17">
      <c r="P1062" s="17"/>
      <c r="Q1062" s="20"/>
    </row>
    <row r="1063" spans="16:17">
      <c r="P1063" s="17"/>
      <c r="Q1063" s="20"/>
    </row>
    <row r="1064" spans="16:17">
      <c r="P1064" s="17"/>
      <c r="Q1064" s="20"/>
    </row>
    <row r="1065" spans="16:17">
      <c r="P1065" s="17"/>
      <c r="Q1065" s="20"/>
    </row>
    <row r="1066" spans="16:17">
      <c r="P1066" s="17"/>
      <c r="Q1066" s="20"/>
    </row>
    <row r="1067" spans="16:17">
      <c r="P1067" s="17"/>
      <c r="Q1067" s="20"/>
    </row>
    <row r="1068" spans="16:17">
      <c r="P1068" s="17"/>
      <c r="Q1068" s="20"/>
    </row>
    <row r="1069" spans="16:17">
      <c r="P1069" s="17"/>
      <c r="Q1069" s="20"/>
    </row>
    <row r="1070" spans="16:17">
      <c r="P1070" s="17"/>
      <c r="Q1070" s="20"/>
    </row>
    <row r="1071" spans="16:17">
      <c r="P1071" s="17"/>
      <c r="Q1071" s="20"/>
    </row>
    <row r="1072" spans="16:17">
      <c r="P1072" s="17"/>
      <c r="Q1072" s="20"/>
    </row>
    <row r="1073" spans="16:17">
      <c r="P1073" s="17"/>
      <c r="Q1073" s="20"/>
    </row>
    <row r="1074" spans="16:17">
      <c r="P1074" s="17"/>
      <c r="Q1074" s="20"/>
    </row>
    <row r="1075" spans="16:17">
      <c r="P1075" s="17"/>
      <c r="Q1075" s="20"/>
    </row>
    <row r="1076" spans="16:17">
      <c r="P1076" s="17"/>
      <c r="Q1076" s="20"/>
    </row>
    <row r="1077" spans="16:17">
      <c r="P1077" s="17"/>
      <c r="Q1077" s="20"/>
    </row>
    <row r="1078" spans="16:17">
      <c r="P1078" s="17"/>
      <c r="Q1078" s="20"/>
    </row>
    <row r="1079" spans="16:17">
      <c r="P1079" s="17"/>
      <c r="Q1079" s="20"/>
    </row>
    <row r="1080" spans="16:17">
      <c r="P1080" s="17"/>
      <c r="Q1080" s="20"/>
    </row>
    <row r="1081" spans="16:17">
      <c r="P1081" s="17"/>
      <c r="Q1081" s="20"/>
    </row>
    <row r="1082" spans="16:17">
      <c r="P1082" s="17"/>
      <c r="Q1082" s="20"/>
    </row>
    <row r="1083" spans="16:17">
      <c r="P1083" s="17"/>
      <c r="Q1083" s="20"/>
    </row>
    <row r="1084" spans="16:17">
      <c r="P1084" s="17"/>
      <c r="Q1084" s="20"/>
    </row>
    <row r="1085" spans="16:17">
      <c r="P1085" s="17"/>
      <c r="Q1085" s="20"/>
    </row>
    <row r="1086" spans="16:17">
      <c r="P1086" s="17"/>
      <c r="Q1086" s="20"/>
    </row>
    <row r="1087" spans="16:17">
      <c r="P1087" s="17"/>
      <c r="Q1087" s="20"/>
    </row>
    <row r="1088" spans="16:17">
      <c r="P1088" s="17"/>
      <c r="Q1088" s="20"/>
    </row>
    <row r="1089" spans="16:17">
      <c r="P1089" s="17"/>
      <c r="Q1089" s="20"/>
    </row>
    <row r="1090" spans="16:17">
      <c r="P1090" s="17"/>
      <c r="Q1090" s="20"/>
    </row>
    <row r="1091" spans="16:17">
      <c r="P1091" s="17"/>
      <c r="Q1091" s="20"/>
    </row>
    <row r="1092" spans="16:17">
      <c r="P1092" s="17"/>
      <c r="Q1092" s="20"/>
    </row>
    <row r="1093" spans="16:17">
      <c r="P1093" s="17"/>
      <c r="Q1093" s="20"/>
    </row>
    <row r="1094" spans="16:17">
      <c r="P1094" s="17"/>
      <c r="Q1094" s="20"/>
    </row>
    <row r="1095" spans="16:17">
      <c r="P1095" s="17"/>
      <c r="Q1095" s="20"/>
    </row>
    <row r="1096" spans="16:17">
      <c r="P1096" s="17"/>
      <c r="Q1096" s="20"/>
    </row>
    <row r="1097" spans="16:17">
      <c r="P1097" s="17"/>
      <c r="Q1097" s="20"/>
    </row>
    <row r="1098" spans="16:17">
      <c r="P1098" s="17"/>
      <c r="Q1098" s="20"/>
    </row>
    <row r="1099" spans="16:17">
      <c r="P1099" s="17"/>
      <c r="Q1099" s="20"/>
    </row>
    <row r="1100" spans="16:17">
      <c r="P1100" s="17"/>
      <c r="Q1100" s="20"/>
    </row>
    <row r="1101" spans="16:17">
      <c r="P1101" s="17"/>
      <c r="Q1101" s="20"/>
    </row>
    <row r="1102" spans="16:17">
      <c r="P1102" s="17"/>
      <c r="Q1102" s="20"/>
    </row>
    <row r="1103" spans="16:17">
      <c r="P1103" s="17"/>
      <c r="Q1103" s="20"/>
    </row>
    <row r="1104" spans="16:17">
      <c r="P1104" s="17"/>
      <c r="Q1104" s="20"/>
    </row>
    <row r="1105" spans="16:17">
      <c r="P1105" s="17"/>
      <c r="Q1105" s="20"/>
    </row>
    <row r="1106" spans="16:17">
      <c r="P1106" s="17"/>
      <c r="Q1106" s="20"/>
    </row>
    <row r="1107" spans="16:17">
      <c r="P1107" s="17"/>
      <c r="Q1107" s="20"/>
    </row>
    <row r="1108" spans="16:17">
      <c r="P1108" s="17"/>
      <c r="Q1108" s="20"/>
    </row>
    <row r="1109" spans="16:17">
      <c r="P1109" s="17"/>
      <c r="Q1109" s="20"/>
    </row>
    <row r="1110" spans="16:17">
      <c r="P1110" s="17"/>
      <c r="Q1110" s="20"/>
    </row>
    <row r="1111" spans="16:17">
      <c r="P1111" s="17"/>
      <c r="Q1111" s="20"/>
    </row>
    <row r="1112" spans="16:17">
      <c r="P1112" s="17"/>
      <c r="Q1112" s="20"/>
    </row>
    <row r="1113" spans="16:17">
      <c r="P1113" s="17"/>
      <c r="Q1113" s="20"/>
    </row>
    <row r="1114" spans="16:17">
      <c r="P1114" s="17"/>
      <c r="Q1114" s="20"/>
    </row>
    <row r="1115" spans="16:17">
      <c r="P1115" s="17"/>
      <c r="Q1115" s="20"/>
    </row>
    <row r="1116" spans="16:17">
      <c r="P1116" s="17"/>
      <c r="Q1116" s="20"/>
    </row>
    <row r="1117" spans="16:17">
      <c r="P1117" s="17"/>
      <c r="Q1117" s="20"/>
    </row>
    <row r="1118" spans="16:17">
      <c r="P1118" s="17"/>
      <c r="Q1118" s="20"/>
    </row>
    <row r="1119" spans="16:17">
      <c r="P1119" s="17"/>
      <c r="Q1119" s="20"/>
    </row>
    <row r="1120" spans="16:17">
      <c r="P1120" s="17"/>
      <c r="Q1120" s="20"/>
    </row>
    <row r="1121" spans="16:17">
      <c r="P1121" s="17"/>
      <c r="Q1121" s="20"/>
    </row>
    <row r="1122" spans="16:17">
      <c r="P1122" s="17"/>
      <c r="Q1122" s="20"/>
    </row>
    <row r="1123" spans="16:17">
      <c r="P1123" s="17"/>
      <c r="Q1123" s="20"/>
    </row>
    <row r="1124" spans="16:17">
      <c r="P1124" s="17"/>
      <c r="Q1124" s="20"/>
    </row>
    <row r="1125" spans="16:17">
      <c r="P1125" s="17"/>
      <c r="Q1125" s="20"/>
    </row>
    <row r="1126" spans="16:17">
      <c r="P1126" s="17"/>
      <c r="Q1126" s="20"/>
    </row>
    <row r="1127" spans="16:17">
      <c r="P1127" s="17"/>
      <c r="Q1127" s="20"/>
    </row>
    <row r="1128" spans="16:17">
      <c r="P1128" s="17"/>
      <c r="Q1128" s="20"/>
    </row>
    <row r="1129" spans="16:17">
      <c r="P1129" s="17"/>
      <c r="Q1129" s="20"/>
    </row>
    <row r="1130" spans="16:17">
      <c r="P1130" s="17"/>
      <c r="Q1130" s="20"/>
    </row>
    <row r="1131" spans="16:17">
      <c r="P1131" s="17"/>
      <c r="Q1131" s="20"/>
    </row>
    <row r="1132" spans="16:17">
      <c r="P1132" s="17"/>
      <c r="Q1132" s="20"/>
    </row>
    <row r="1133" spans="16:17">
      <c r="P1133" s="17"/>
      <c r="Q1133" s="20"/>
    </row>
    <row r="1134" spans="16:17">
      <c r="P1134" s="17"/>
      <c r="Q1134" s="20"/>
    </row>
    <row r="1135" spans="16:17">
      <c r="P1135" s="17"/>
      <c r="Q1135" s="20"/>
    </row>
    <row r="1136" spans="16:17">
      <c r="P1136" s="17"/>
      <c r="Q1136" s="20"/>
    </row>
    <row r="1137" spans="16:17">
      <c r="P1137" s="17"/>
      <c r="Q1137" s="20"/>
    </row>
    <row r="1138" spans="16:17">
      <c r="P1138" s="17"/>
      <c r="Q1138" s="20"/>
    </row>
    <row r="1139" spans="16:17">
      <c r="P1139" s="17"/>
      <c r="Q1139" s="20"/>
    </row>
    <row r="1140" spans="16:17">
      <c r="P1140" s="17"/>
      <c r="Q1140" s="20"/>
    </row>
    <row r="1141" spans="16:17">
      <c r="P1141" s="17"/>
      <c r="Q1141" s="20"/>
    </row>
    <row r="1142" spans="16:17">
      <c r="P1142" s="17"/>
      <c r="Q1142" s="20"/>
    </row>
    <row r="1143" spans="16:17">
      <c r="P1143" s="17"/>
      <c r="Q1143" s="20"/>
    </row>
    <row r="1144" spans="16:17">
      <c r="P1144" s="17"/>
      <c r="Q1144" s="20"/>
    </row>
    <row r="1145" spans="16:17">
      <c r="P1145" s="17"/>
      <c r="Q1145" s="20"/>
    </row>
    <row r="1146" spans="16:17">
      <c r="P1146" s="17"/>
      <c r="Q1146" s="20"/>
    </row>
    <row r="1147" spans="16:17">
      <c r="P1147" s="17"/>
      <c r="Q1147" s="20"/>
    </row>
    <row r="1148" spans="16:17">
      <c r="P1148" s="17"/>
      <c r="Q1148" s="20"/>
    </row>
    <row r="1149" spans="16:17">
      <c r="P1149" s="17"/>
      <c r="Q1149" s="20"/>
    </row>
    <row r="1150" spans="16:17">
      <c r="P1150" s="17"/>
      <c r="Q1150" s="20"/>
    </row>
    <row r="1151" spans="16:17">
      <c r="P1151" s="17"/>
      <c r="Q1151" s="20"/>
    </row>
    <row r="1152" spans="16:17">
      <c r="P1152" s="17"/>
      <c r="Q1152" s="20"/>
    </row>
    <row r="1153" spans="16:17">
      <c r="P1153" s="17"/>
      <c r="Q1153" s="20"/>
    </row>
    <row r="1154" spans="16:17">
      <c r="P1154" s="17"/>
      <c r="Q1154" s="20"/>
    </row>
    <row r="1155" spans="16:17">
      <c r="P1155" s="17"/>
      <c r="Q1155" s="20"/>
    </row>
    <row r="1156" spans="16:17">
      <c r="P1156" s="17"/>
      <c r="Q1156" s="20"/>
    </row>
    <row r="1157" spans="16:17">
      <c r="P1157" s="17"/>
      <c r="Q1157" s="20"/>
    </row>
    <row r="1158" spans="16:17">
      <c r="P1158" s="17"/>
      <c r="Q1158" s="20"/>
    </row>
    <row r="1159" spans="16:17">
      <c r="P1159" s="17"/>
      <c r="Q1159" s="20"/>
    </row>
    <row r="1160" spans="16:17">
      <c r="P1160" s="17"/>
      <c r="Q1160" s="20"/>
    </row>
    <row r="1161" spans="16:17">
      <c r="P1161" s="17"/>
      <c r="Q1161" s="20"/>
    </row>
    <row r="1162" spans="16:17">
      <c r="P1162" s="17"/>
      <c r="Q1162" s="20"/>
    </row>
    <row r="1163" spans="16:17">
      <c r="P1163" s="17"/>
      <c r="Q1163" s="20"/>
    </row>
    <row r="1164" spans="16:17">
      <c r="P1164" s="17"/>
      <c r="Q1164" s="20"/>
    </row>
    <row r="1165" spans="16:17">
      <c r="P1165" s="17"/>
      <c r="Q1165" s="20"/>
    </row>
    <row r="1166" spans="16:17">
      <c r="P1166" s="17"/>
      <c r="Q1166" s="20"/>
    </row>
    <row r="1167" spans="16:17">
      <c r="P1167" s="17"/>
      <c r="Q1167" s="20"/>
    </row>
    <row r="1168" spans="16:17">
      <c r="P1168" s="17"/>
      <c r="Q1168" s="20"/>
    </row>
    <row r="1169" spans="16:17">
      <c r="P1169" s="17"/>
      <c r="Q1169" s="20"/>
    </row>
    <row r="1170" spans="16:17">
      <c r="P1170" s="17"/>
      <c r="Q1170" s="20"/>
    </row>
    <row r="1171" spans="16:17">
      <c r="P1171" s="17"/>
      <c r="Q1171" s="20"/>
    </row>
    <row r="1172" spans="16:17">
      <c r="P1172" s="17"/>
      <c r="Q1172" s="20"/>
    </row>
    <row r="1173" spans="16:17">
      <c r="P1173" s="17"/>
      <c r="Q1173" s="20"/>
    </row>
    <row r="1174" spans="16:17">
      <c r="P1174" s="17"/>
      <c r="Q1174" s="20"/>
    </row>
    <row r="1175" spans="16:17">
      <c r="P1175" s="17"/>
      <c r="Q1175" s="20"/>
    </row>
    <row r="1176" spans="16:17">
      <c r="P1176" s="17"/>
      <c r="Q1176" s="20"/>
    </row>
    <row r="1177" spans="16:17">
      <c r="P1177" s="17"/>
      <c r="Q1177" s="20"/>
    </row>
    <row r="1178" spans="16:17">
      <c r="P1178" s="17"/>
      <c r="Q1178" s="20"/>
    </row>
    <row r="1179" spans="16:17">
      <c r="P1179" s="17"/>
      <c r="Q1179" s="20"/>
    </row>
    <row r="1180" spans="16:17">
      <c r="P1180" s="17"/>
      <c r="Q1180" s="20"/>
    </row>
    <row r="1181" spans="16:17">
      <c r="P1181" s="17"/>
      <c r="Q1181" s="20"/>
    </row>
    <row r="1182" spans="16:17">
      <c r="P1182" s="17"/>
      <c r="Q1182" s="20"/>
    </row>
    <row r="1183" spans="16:17">
      <c r="P1183" s="17"/>
      <c r="Q1183" s="20"/>
    </row>
    <row r="1184" spans="16:17">
      <c r="P1184" s="17"/>
      <c r="Q1184" s="20"/>
    </row>
    <row r="1185" spans="16:17">
      <c r="P1185" s="17"/>
      <c r="Q1185" s="20"/>
    </row>
    <row r="1186" spans="16:17">
      <c r="P1186" s="17"/>
      <c r="Q1186" s="20"/>
    </row>
    <row r="1187" spans="16:17">
      <c r="P1187" s="17"/>
      <c r="Q1187" s="20"/>
    </row>
    <row r="1188" spans="16:17">
      <c r="P1188" s="17"/>
      <c r="Q1188" s="20"/>
    </row>
    <row r="1189" spans="16:17">
      <c r="P1189" s="17"/>
      <c r="Q1189" s="20"/>
    </row>
    <row r="1190" spans="16:17">
      <c r="P1190" s="17"/>
      <c r="Q1190" s="20"/>
    </row>
    <row r="1191" spans="16:17">
      <c r="P1191" s="17"/>
      <c r="Q1191" s="20"/>
    </row>
    <row r="1192" spans="16:17">
      <c r="P1192" s="17"/>
      <c r="Q1192" s="20"/>
    </row>
    <row r="1193" spans="16:17">
      <c r="P1193" s="17"/>
      <c r="Q1193" s="20"/>
    </row>
    <row r="1194" spans="16:17">
      <c r="P1194" s="17"/>
      <c r="Q1194" s="20"/>
    </row>
    <row r="1195" spans="16:17">
      <c r="P1195" s="17"/>
      <c r="Q1195" s="20"/>
    </row>
    <row r="1196" spans="16:17">
      <c r="P1196" s="17"/>
      <c r="Q1196" s="20"/>
    </row>
    <row r="1197" spans="16:17">
      <c r="P1197" s="17"/>
      <c r="Q1197" s="20"/>
    </row>
    <row r="1198" spans="16:17">
      <c r="P1198" s="17"/>
      <c r="Q1198" s="20"/>
    </row>
    <row r="1199" spans="16:17">
      <c r="P1199" s="17"/>
      <c r="Q1199" s="20"/>
    </row>
    <row r="1200" spans="16:17">
      <c r="P1200" s="17"/>
      <c r="Q1200" s="20"/>
    </row>
  </sheetData>
  <autoFilter ref="A1:AC193" xr:uid="{C26091E9-4E50-4E1A-AF47-FE7D6E84C9C5}"/>
  <pageMargins left="0.7" right="0.7" top="0.75" bottom="0.75" header="0.3" footer="0.3"/>
  <pageSetup scale="10" orientation="portrait" horizontalDpi="4294967293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4B5B-9DB6-44C1-AA24-32A1030BF71F}">
  <dimension ref="A1:K25"/>
  <sheetViews>
    <sheetView showGridLines="0" zoomScaleNormal="100" workbookViewId="0">
      <selection activeCell="C9" sqref="C9"/>
    </sheetView>
  </sheetViews>
  <sheetFormatPr baseColWidth="10" defaultColWidth="9.140625" defaultRowHeight="19.5"/>
  <cols>
    <col min="1" max="1" width="28.7109375" style="26" bestFit="1" customWidth="1"/>
    <col min="2" max="2" width="18.85546875" style="26" customWidth="1"/>
    <col min="3" max="4" width="21.140625" style="26" customWidth="1"/>
    <col min="5" max="5" width="17.5703125" style="26" customWidth="1"/>
    <col min="6" max="6" width="21.140625" style="26" customWidth="1"/>
    <col min="7" max="7" width="24.7109375" style="26" customWidth="1"/>
    <col min="8" max="8" width="18.28515625" style="26" customWidth="1"/>
    <col min="9" max="10" width="14.42578125" style="26" customWidth="1"/>
    <col min="11" max="11" width="18.28515625" style="26" customWidth="1"/>
    <col min="12" max="1024" width="14.42578125" style="26" customWidth="1"/>
    <col min="1025" max="16384" width="9.140625" style="26"/>
  </cols>
  <sheetData>
    <row r="1" spans="1:11" ht="45" customHeight="1">
      <c r="A1" s="212" t="s">
        <v>205</v>
      </c>
      <c r="B1" s="212"/>
      <c r="C1" s="212"/>
      <c r="D1" s="212"/>
      <c r="E1" s="212"/>
      <c r="F1" s="212"/>
      <c r="G1" s="212"/>
      <c r="H1" s="212"/>
    </row>
    <row r="2" spans="1:11" ht="20.25" thickBot="1">
      <c r="B2" s="27"/>
    </row>
    <row r="3" spans="1:11" s="28" customFormat="1" ht="50.1" customHeight="1">
      <c r="A3" s="75" t="s">
        <v>50</v>
      </c>
      <c r="B3" s="76" t="s">
        <v>51</v>
      </c>
      <c r="C3" s="76" t="s">
        <v>52</v>
      </c>
      <c r="D3" s="76" t="s">
        <v>90</v>
      </c>
      <c r="E3" s="76" t="s">
        <v>53</v>
      </c>
      <c r="F3" s="76" t="s">
        <v>54</v>
      </c>
      <c r="G3" s="76" t="s">
        <v>55</v>
      </c>
      <c r="H3" s="77" t="s">
        <v>56</v>
      </c>
      <c r="I3" s="77" t="s">
        <v>57</v>
      </c>
    </row>
    <row r="4" spans="1:11" s="28" customFormat="1" ht="24.95" customHeight="1">
      <c r="A4" s="74" t="s">
        <v>58</v>
      </c>
      <c r="B4" s="70">
        <f>+C4/31</f>
        <v>911.61290322580646</v>
      </c>
      <c r="C4" s="71">
        <v>28260</v>
      </c>
      <c r="D4" s="72">
        <f>+E4/C4</f>
        <v>1047.5311394196744</v>
      </c>
      <c r="E4" s="73">
        <v>29603230</v>
      </c>
      <c r="F4" s="71">
        <f>+E4/10000</f>
        <v>2960.3229999999999</v>
      </c>
      <c r="G4" s="142">
        <f>+'PRODUC ACUMULADA'!B5</f>
        <v>1698.66</v>
      </c>
      <c r="H4" s="213">
        <f>+G16</f>
        <v>10119.569999999998</v>
      </c>
      <c r="I4" s="70">
        <f>+E4/G4</f>
        <v>17427.401598907374</v>
      </c>
    </row>
    <row r="5" spans="1:11" s="28" customFormat="1" ht="24.95" customHeight="1">
      <c r="A5" s="74" t="s">
        <v>7</v>
      </c>
      <c r="B5" s="70">
        <f>+C5/29</f>
        <v>1025.8620689655172</v>
      </c>
      <c r="C5" s="71">
        <v>29750</v>
      </c>
      <c r="D5" s="72">
        <f t="shared" ref="D5:D15" si="0">+E5/C5</f>
        <v>987.16907563025211</v>
      </c>
      <c r="E5" s="73">
        <v>29368280</v>
      </c>
      <c r="F5" s="71">
        <f t="shared" ref="F5:F14" si="1">+E5/10000</f>
        <v>2936.828</v>
      </c>
      <c r="G5" s="142">
        <f>+'PRODUC ACUMULADA'!B6</f>
        <v>1830.15</v>
      </c>
      <c r="H5" s="213"/>
      <c r="I5" s="70">
        <f t="shared" ref="I5:I15" si="2">+E5/G5</f>
        <v>16046.925115427697</v>
      </c>
    </row>
    <row r="6" spans="1:11" s="28" customFormat="1" ht="24.95" customHeight="1">
      <c r="A6" s="74" t="s">
        <v>8</v>
      </c>
      <c r="B6" s="70">
        <f>+C6/31</f>
        <v>1198.1290322580646</v>
      </c>
      <c r="C6" s="71">
        <v>37142</v>
      </c>
      <c r="D6" s="72">
        <f t="shared" si="0"/>
        <v>1031.6043831780732</v>
      </c>
      <c r="E6" s="73">
        <v>38315850</v>
      </c>
      <c r="F6" s="71">
        <f t="shared" si="1"/>
        <v>3831.585</v>
      </c>
      <c r="G6" s="142">
        <f>+'PRODUC ACUMULADA'!B7</f>
        <v>1898.77</v>
      </c>
      <c r="H6" s="213"/>
      <c r="I6" s="70">
        <f t="shared" si="2"/>
        <v>20179.300283867979</v>
      </c>
    </row>
    <row r="7" spans="1:11" s="28" customFormat="1" ht="24.95" customHeight="1">
      <c r="A7" s="74" t="s">
        <v>9</v>
      </c>
      <c r="B7" s="70">
        <f>+C7/30</f>
        <v>1117.2333333333333</v>
      </c>
      <c r="C7" s="71">
        <v>33517</v>
      </c>
      <c r="D7" s="72">
        <f t="shared" si="0"/>
        <v>1100.7473819255899</v>
      </c>
      <c r="E7" s="73">
        <v>36893750</v>
      </c>
      <c r="F7" s="71">
        <f t="shared" si="1"/>
        <v>3689.375</v>
      </c>
      <c r="G7" s="142">
        <f>+'PRODUC ACUMULADA'!B8</f>
        <v>1800.91</v>
      </c>
      <c r="H7" s="213"/>
      <c r="I7" s="70">
        <f t="shared" si="2"/>
        <v>20486.170880277194</v>
      </c>
    </row>
    <row r="8" spans="1:11" s="28" customFormat="1" ht="24.95" customHeight="1">
      <c r="A8" s="74" t="s">
        <v>10</v>
      </c>
      <c r="B8" s="70">
        <f>+C8/31</f>
        <v>1005</v>
      </c>
      <c r="C8" s="71">
        <v>31155</v>
      </c>
      <c r="D8" s="72">
        <f t="shared" si="0"/>
        <v>1011.1600064195153</v>
      </c>
      <c r="E8" s="73">
        <v>31502690</v>
      </c>
      <c r="F8" s="71">
        <f t="shared" si="1"/>
        <v>3150.2689999999998</v>
      </c>
      <c r="G8" s="142">
        <f>+'PRODUC ACUMULADA'!B9</f>
        <v>1964.1099999999997</v>
      </c>
      <c r="H8" s="213"/>
      <c r="I8" s="70">
        <f t="shared" si="2"/>
        <v>16039.16786738014</v>
      </c>
    </row>
    <row r="9" spans="1:11" s="28" customFormat="1" ht="24.95" customHeight="1">
      <c r="A9" s="74" t="s">
        <v>11</v>
      </c>
      <c r="B9" s="70">
        <f>+C9/30</f>
        <v>0</v>
      </c>
      <c r="C9" s="71"/>
      <c r="D9" s="72" t="e">
        <f t="shared" si="0"/>
        <v>#DIV/0!</v>
      </c>
      <c r="E9" s="73"/>
      <c r="F9" s="71">
        <f t="shared" si="1"/>
        <v>0</v>
      </c>
      <c r="G9" s="142">
        <f>+'PRODUC ACUMULADA'!B10</f>
        <v>926.96999999999991</v>
      </c>
      <c r="H9" s="213"/>
      <c r="I9" s="70">
        <f t="shared" si="2"/>
        <v>0</v>
      </c>
    </row>
    <row r="10" spans="1:11" s="28" customFormat="1" ht="24.95" customHeight="1">
      <c r="A10" s="74" t="s">
        <v>1</v>
      </c>
      <c r="B10" s="70">
        <f>+C10/31</f>
        <v>0</v>
      </c>
      <c r="C10" s="71"/>
      <c r="D10" s="72" t="e">
        <f t="shared" si="0"/>
        <v>#DIV/0!</v>
      </c>
      <c r="E10" s="73"/>
      <c r="F10" s="71">
        <f t="shared" si="1"/>
        <v>0</v>
      </c>
      <c r="G10" s="142">
        <f>+'PRODUC ACUMULADA'!B11</f>
        <v>0</v>
      </c>
      <c r="H10" s="213"/>
      <c r="I10" s="70" t="e">
        <f t="shared" si="2"/>
        <v>#DIV/0!</v>
      </c>
      <c r="K10" s="29"/>
    </row>
    <row r="11" spans="1:11" s="28" customFormat="1" ht="24.95" customHeight="1">
      <c r="A11" s="74" t="s">
        <v>2</v>
      </c>
      <c r="B11" s="70">
        <f>+C11/31</f>
        <v>0</v>
      </c>
      <c r="C11" s="71"/>
      <c r="D11" s="72" t="e">
        <f t="shared" si="0"/>
        <v>#DIV/0!</v>
      </c>
      <c r="E11" s="73"/>
      <c r="F11" s="71">
        <f t="shared" si="1"/>
        <v>0</v>
      </c>
      <c r="G11" s="142">
        <f>+'PRODUC ACUMULADA'!B12</f>
        <v>0</v>
      </c>
      <c r="H11" s="213"/>
      <c r="I11" s="70" t="e">
        <f t="shared" si="2"/>
        <v>#DIV/0!</v>
      </c>
    </row>
    <row r="12" spans="1:11" s="28" customFormat="1" ht="24.95" customHeight="1">
      <c r="A12" s="74" t="s">
        <v>3</v>
      </c>
      <c r="B12" s="71">
        <f>+C12/30</f>
        <v>0</v>
      </c>
      <c r="C12" s="71"/>
      <c r="D12" s="72" t="e">
        <f t="shared" si="0"/>
        <v>#DIV/0!</v>
      </c>
      <c r="E12" s="73"/>
      <c r="F12" s="71">
        <f t="shared" si="1"/>
        <v>0</v>
      </c>
      <c r="G12" s="142">
        <f>+'PRODUC ACUMULADA'!B13</f>
        <v>0</v>
      </c>
      <c r="H12" s="213"/>
      <c r="I12" s="71" t="e">
        <f t="shared" si="2"/>
        <v>#DIV/0!</v>
      </c>
    </row>
    <row r="13" spans="1:11" s="28" customFormat="1" ht="24.95" customHeight="1">
      <c r="A13" s="74" t="s">
        <v>12</v>
      </c>
      <c r="B13" s="70">
        <f>+C13/31</f>
        <v>0</v>
      </c>
      <c r="C13" s="71"/>
      <c r="D13" s="72" t="e">
        <f t="shared" si="0"/>
        <v>#DIV/0!</v>
      </c>
      <c r="E13" s="73"/>
      <c r="F13" s="71">
        <f t="shared" si="1"/>
        <v>0</v>
      </c>
      <c r="G13" s="142">
        <f>+'PRODUC ACUMULADA'!B14</f>
        <v>0</v>
      </c>
      <c r="H13" s="213"/>
      <c r="I13" s="70" t="e">
        <f t="shared" si="2"/>
        <v>#DIV/0!</v>
      </c>
    </row>
    <row r="14" spans="1:11" s="28" customFormat="1" ht="24.95" customHeight="1">
      <c r="A14" s="74" t="s">
        <v>4</v>
      </c>
      <c r="B14" s="70">
        <f>+C14/30</f>
        <v>0</v>
      </c>
      <c r="C14" s="71"/>
      <c r="D14" s="72" t="e">
        <f t="shared" si="0"/>
        <v>#DIV/0!</v>
      </c>
      <c r="E14" s="73"/>
      <c r="F14" s="71">
        <f t="shared" si="1"/>
        <v>0</v>
      </c>
      <c r="G14" s="142">
        <f>+'PRODUC ACUMULADA'!B15</f>
        <v>0</v>
      </c>
      <c r="H14" s="213"/>
      <c r="I14" s="70" t="e">
        <f t="shared" si="2"/>
        <v>#DIV/0!</v>
      </c>
      <c r="K14" s="30"/>
    </row>
    <row r="15" spans="1:11" s="28" customFormat="1" ht="24.95" customHeight="1">
      <c r="A15" s="74" t="s">
        <v>5</v>
      </c>
      <c r="B15" s="71">
        <f>+C15/30</f>
        <v>0</v>
      </c>
      <c r="C15" s="71"/>
      <c r="D15" s="72" t="e">
        <f t="shared" si="0"/>
        <v>#DIV/0!</v>
      </c>
      <c r="E15" s="73"/>
      <c r="F15" s="71">
        <f t="shared" ref="F15" si="3">+E15/10000</f>
        <v>0</v>
      </c>
      <c r="G15" s="142">
        <f>+'PRODUC ACUMULADA'!B16</f>
        <v>0</v>
      </c>
      <c r="H15" s="213"/>
      <c r="I15" s="70" t="e">
        <f t="shared" si="2"/>
        <v>#DIV/0!</v>
      </c>
      <c r="K15" s="31"/>
    </row>
    <row r="16" spans="1:11" s="28" customFormat="1" ht="24.95" customHeight="1">
      <c r="A16" s="79" t="s">
        <v>0</v>
      </c>
      <c r="B16" s="78"/>
      <c r="C16" s="78">
        <f t="shared" ref="C16:G16" si="4">SUM(C4:C15)</f>
        <v>159824</v>
      </c>
      <c r="D16" s="78"/>
      <c r="E16" s="81">
        <f t="shared" si="4"/>
        <v>165683800</v>
      </c>
      <c r="F16" s="78"/>
      <c r="G16" s="78">
        <f t="shared" si="4"/>
        <v>10119.569999999998</v>
      </c>
      <c r="H16" s="80">
        <f>+C16/H4</f>
        <v>15.793556445580201</v>
      </c>
      <c r="I16" s="80"/>
    </row>
    <row r="17" spans="2:7" s="28" customFormat="1" ht="24.95" customHeight="1">
      <c r="G17" s="32"/>
    </row>
    <row r="18" spans="2:7" s="28" customFormat="1" ht="24.95" customHeight="1"/>
    <row r="19" spans="2:7" s="28" customFormat="1" ht="24.95" customHeight="1"/>
    <row r="20" spans="2:7" s="28" customFormat="1" ht="24.95" customHeight="1"/>
    <row r="21" spans="2:7" s="28" customFormat="1" ht="24.95" customHeight="1"/>
    <row r="22" spans="2:7" s="28" customFormat="1" ht="24.95" customHeight="1"/>
    <row r="23" spans="2:7" s="28" customFormat="1" ht="24.95" customHeight="1"/>
    <row r="24" spans="2:7" s="28" customFormat="1" ht="24.95" customHeight="1"/>
    <row r="25" spans="2:7" s="28" customFormat="1" ht="24.95" customHeight="1">
      <c r="B25" s="26"/>
    </row>
  </sheetData>
  <mergeCells count="2">
    <mergeCell ref="A1:H1"/>
    <mergeCell ref="H4:H15"/>
  </mergeCells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9F25-4733-416B-BAFB-D418B6C11D4E}">
  <dimension ref="B1:M71"/>
  <sheetViews>
    <sheetView topLeftCell="A10" zoomScale="80" zoomScaleNormal="80" workbookViewId="0">
      <selection activeCell="G19" sqref="G19"/>
    </sheetView>
  </sheetViews>
  <sheetFormatPr baseColWidth="10" defaultRowHeight="15"/>
  <cols>
    <col min="1" max="1" width="11.42578125" style="24"/>
    <col min="2" max="2" width="13.7109375" style="24" customWidth="1"/>
    <col min="3" max="3" width="24.7109375" style="24" bestFit="1" customWidth="1"/>
    <col min="4" max="4" width="7" style="24" customWidth="1"/>
    <col min="5" max="5" width="7.28515625" style="24" customWidth="1"/>
    <col min="6" max="6" width="12.28515625" style="24" customWidth="1"/>
    <col min="7" max="7" width="17.85546875" style="24" bestFit="1" customWidth="1"/>
    <col min="8" max="9" width="17.85546875" style="24" customWidth="1"/>
    <col min="10" max="10" width="15.42578125" style="24" customWidth="1"/>
    <col min="11" max="11" width="19.140625" style="24" customWidth="1"/>
    <col min="12" max="12" width="16.5703125" style="24" customWidth="1"/>
    <col min="13" max="13" width="15.140625" style="24" customWidth="1"/>
    <col min="14" max="16384" width="11.42578125" style="24"/>
  </cols>
  <sheetData>
    <row r="1" spans="2:13">
      <c r="B1" s="237" t="s">
        <v>211</v>
      </c>
      <c r="C1" s="238"/>
      <c r="D1" s="238"/>
      <c r="E1" s="238"/>
      <c r="F1" s="238"/>
      <c r="G1" s="238"/>
      <c r="H1" s="239"/>
    </row>
    <row r="2" spans="2:13" ht="15.75" thickBot="1">
      <c r="B2" s="240"/>
      <c r="C2" s="241"/>
      <c r="D2" s="241"/>
      <c r="E2" s="241"/>
      <c r="F2" s="241"/>
      <c r="G2" s="241"/>
      <c r="H2" s="242"/>
    </row>
    <row r="3" spans="2:13" ht="30.75" customHeight="1" thickBot="1">
      <c r="B3" s="49" t="s">
        <v>50</v>
      </c>
      <c r="C3" s="50" t="s">
        <v>59</v>
      </c>
      <c r="D3" s="51" t="s">
        <v>60</v>
      </c>
      <c r="E3" s="51"/>
      <c r="F3" s="52" t="s">
        <v>61</v>
      </c>
      <c r="G3" s="177" t="s">
        <v>76</v>
      </c>
      <c r="H3" s="183" t="s">
        <v>208</v>
      </c>
      <c r="I3" s="36"/>
      <c r="J3" s="218" t="s">
        <v>71</v>
      </c>
      <c r="K3" s="219"/>
      <c r="L3" s="45" t="s">
        <v>72</v>
      </c>
      <c r="M3" s="46" t="s">
        <v>73</v>
      </c>
    </row>
    <row r="4" spans="2:13" ht="15.75" thickBot="1">
      <c r="B4" s="222" t="s">
        <v>77</v>
      </c>
      <c r="C4" s="53" t="s">
        <v>62</v>
      </c>
      <c r="D4" s="54">
        <v>841</v>
      </c>
      <c r="E4" s="225">
        <f>+D4+D5+D6</f>
        <v>2176</v>
      </c>
      <c r="F4" s="55">
        <f>D4/$E$4</f>
        <v>0.38648897058823528</v>
      </c>
      <c r="G4" s="178">
        <f>+D4*L4</f>
        <v>21866000</v>
      </c>
      <c r="H4" s="228">
        <f>+G4+G5+G6</f>
        <v>35216000</v>
      </c>
      <c r="I4" s="34"/>
      <c r="J4" s="220" t="s">
        <v>69</v>
      </c>
      <c r="K4" s="221"/>
      <c r="L4" s="43">
        <v>26000</v>
      </c>
      <c r="M4" s="44">
        <v>4000</v>
      </c>
    </row>
    <row r="5" spans="2:13" ht="15.75" thickBot="1">
      <c r="B5" s="223"/>
      <c r="C5" s="47" t="s">
        <v>86</v>
      </c>
      <c r="D5" s="54">
        <v>1335</v>
      </c>
      <c r="E5" s="226"/>
      <c r="F5" s="33">
        <f>D5/$E$4</f>
        <v>0.61351102941176472</v>
      </c>
      <c r="G5" s="179">
        <f>+D5*L5</f>
        <v>13350000</v>
      </c>
      <c r="H5" s="229"/>
      <c r="I5" s="34"/>
      <c r="J5" s="214" t="s">
        <v>70</v>
      </c>
      <c r="K5" s="215"/>
      <c r="L5" s="37">
        <v>10000</v>
      </c>
      <c r="M5" s="38">
        <v>3000</v>
      </c>
    </row>
    <row r="6" spans="2:13" ht="15.75" thickBot="1">
      <c r="B6" s="224"/>
      <c r="C6" s="56" t="s">
        <v>87</v>
      </c>
      <c r="D6" s="54">
        <v>0</v>
      </c>
      <c r="E6" s="227"/>
      <c r="F6" s="57">
        <f>D6/$E$4</f>
        <v>0</v>
      </c>
      <c r="G6" s="180">
        <f>+D6*L6</f>
        <v>0</v>
      </c>
      <c r="H6" s="230"/>
      <c r="I6" s="34"/>
      <c r="J6" s="214" t="s">
        <v>63</v>
      </c>
      <c r="K6" s="215"/>
      <c r="L6" s="37">
        <v>7000</v>
      </c>
      <c r="M6" s="38">
        <v>3000</v>
      </c>
    </row>
    <row r="7" spans="2:13" ht="15.75" thickBot="1">
      <c r="B7" s="222" t="s">
        <v>78</v>
      </c>
      <c r="C7" s="53" t="s">
        <v>62</v>
      </c>
      <c r="D7" s="54">
        <v>1124</v>
      </c>
      <c r="E7" s="225">
        <f>+D7+D8+D9</f>
        <v>2352</v>
      </c>
      <c r="F7" s="55">
        <f>D7/$E$7</f>
        <v>0.47789115646258501</v>
      </c>
      <c r="G7" s="178">
        <f>+D7*L4</f>
        <v>29224000</v>
      </c>
      <c r="H7" s="228">
        <f t="shared" ref="H7" si="0">+G7+G8+G9</f>
        <v>41532000</v>
      </c>
      <c r="I7" s="34"/>
      <c r="J7" s="214" t="s">
        <v>64</v>
      </c>
      <c r="K7" s="215"/>
      <c r="L7" s="37">
        <v>2000</v>
      </c>
      <c r="M7" s="38">
        <v>2000</v>
      </c>
    </row>
    <row r="8" spans="2:13" ht="15.75" thickBot="1">
      <c r="B8" s="223"/>
      <c r="C8" s="47" t="s">
        <v>86</v>
      </c>
      <c r="D8" s="54">
        <v>1226</v>
      </c>
      <c r="E8" s="226"/>
      <c r="F8" s="33">
        <f>D8/$E$7</f>
        <v>0.5212585034013606</v>
      </c>
      <c r="G8" s="179">
        <f>+D8*L5</f>
        <v>12260000</v>
      </c>
      <c r="H8" s="229"/>
      <c r="I8" s="34"/>
      <c r="J8" s="214" t="s">
        <v>74</v>
      </c>
      <c r="K8" s="215"/>
      <c r="L8" s="37">
        <v>2000</v>
      </c>
      <c r="M8" s="38">
        <v>4000</v>
      </c>
    </row>
    <row r="9" spans="2:13" ht="15.75" thickBot="1">
      <c r="B9" s="224"/>
      <c r="C9" s="56" t="s">
        <v>210</v>
      </c>
      <c r="D9" s="54">
        <v>2</v>
      </c>
      <c r="E9" s="227"/>
      <c r="F9" s="57">
        <f>D9/$E$7</f>
        <v>8.5034013605442174E-4</v>
      </c>
      <c r="G9" s="180">
        <f>+(D9*24000)</f>
        <v>48000</v>
      </c>
      <c r="H9" s="230"/>
      <c r="I9" s="34"/>
      <c r="J9" s="216" t="s">
        <v>75</v>
      </c>
      <c r="K9" s="217"/>
      <c r="L9" s="39">
        <v>2000</v>
      </c>
      <c r="M9" s="40">
        <v>4000</v>
      </c>
    </row>
    <row r="10" spans="2:13" ht="15.75" thickBot="1">
      <c r="B10" s="222" t="s">
        <v>79</v>
      </c>
      <c r="C10" s="53" t="s">
        <v>88</v>
      </c>
      <c r="D10" s="54">
        <v>1101</v>
      </c>
      <c r="E10" s="225">
        <f>+D10+D11+D12</f>
        <v>2674</v>
      </c>
      <c r="F10" s="55">
        <f>D10/$E$10</f>
        <v>0.41174270755422587</v>
      </c>
      <c r="G10" s="178">
        <f>+D10*L4</f>
        <v>28626000</v>
      </c>
      <c r="H10" s="228">
        <f t="shared" ref="H10" si="1">+G10+G11+G12</f>
        <v>44356000</v>
      </c>
      <c r="I10" s="34"/>
    </row>
    <row r="11" spans="2:13" ht="15.75" thickBot="1">
      <c r="B11" s="223"/>
      <c r="C11" s="47" t="s">
        <v>89</v>
      </c>
      <c r="D11" s="54">
        <v>1573</v>
      </c>
      <c r="E11" s="226"/>
      <c r="F11" s="33">
        <f>D11/$E$10</f>
        <v>0.58825729244577407</v>
      </c>
      <c r="G11" s="179">
        <f>+D11*L5</f>
        <v>15730000</v>
      </c>
      <c r="H11" s="229"/>
      <c r="I11" s="34"/>
    </row>
    <row r="12" spans="2:13" ht="19.899999999999999" customHeight="1" thickBot="1">
      <c r="B12" s="224"/>
      <c r="C12" s="56" t="s">
        <v>87</v>
      </c>
      <c r="D12" s="54">
        <v>0</v>
      </c>
      <c r="E12" s="227"/>
      <c r="F12" s="57">
        <f>D12/$E$10</f>
        <v>0</v>
      </c>
      <c r="G12" s="180">
        <f>+D12*L6</f>
        <v>0</v>
      </c>
      <c r="H12" s="230"/>
      <c r="I12" s="34"/>
      <c r="J12" s="85" t="s">
        <v>44</v>
      </c>
      <c r="K12" s="86" t="s">
        <v>0</v>
      </c>
      <c r="L12" s="87" t="s">
        <v>97</v>
      </c>
      <c r="M12" s="88" t="s">
        <v>95</v>
      </c>
    </row>
    <row r="13" spans="2:13" ht="19.899999999999999" customHeight="1" thickBot="1">
      <c r="B13" s="231" t="s">
        <v>80</v>
      </c>
      <c r="C13" s="53" t="s">
        <v>88</v>
      </c>
      <c r="D13" s="54">
        <v>1045</v>
      </c>
      <c r="E13" s="234">
        <f>+D13+D14+D15</f>
        <v>2568</v>
      </c>
      <c r="F13" s="55">
        <f>D13/$E$13</f>
        <v>0.4069314641744548</v>
      </c>
      <c r="G13" s="178">
        <f>+D13*L4</f>
        <v>27170000</v>
      </c>
      <c r="H13" s="228">
        <f t="shared" ref="H13" si="2">+G13+G14+G15</f>
        <v>42400000</v>
      </c>
      <c r="I13" s="34"/>
      <c r="J13" s="89" t="s">
        <v>6</v>
      </c>
      <c r="K13" s="43">
        <f>+H4</f>
        <v>35216000</v>
      </c>
      <c r="L13" s="90">
        <f>+'PRODUC ACUMULADA'!B5</f>
        <v>1698.66</v>
      </c>
      <c r="M13" s="91">
        <f>+K13/L13</f>
        <v>20731.635524472229</v>
      </c>
    </row>
    <row r="14" spans="2:13" ht="19.899999999999999" customHeight="1" thickBot="1">
      <c r="B14" s="232"/>
      <c r="C14" s="47" t="s">
        <v>89</v>
      </c>
      <c r="D14" s="54">
        <v>1523</v>
      </c>
      <c r="E14" s="235"/>
      <c r="F14" s="33">
        <f>D14/$E$13</f>
        <v>0.5930685358255452</v>
      </c>
      <c r="G14" s="179">
        <f>+D14*L5</f>
        <v>15230000</v>
      </c>
      <c r="H14" s="229"/>
      <c r="I14" s="34"/>
      <c r="J14" s="92" t="s">
        <v>7</v>
      </c>
      <c r="K14" s="43">
        <f>+H7</f>
        <v>41532000</v>
      </c>
      <c r="L14" s="90">
        <f>+'PRODUC ACUMULADA'!B6</f>
        <v>1830.15</v>
      </c>
      <c r="M14" s="94">
        <f t="shared" ref="M14:M24" si="3">+K14/L14</f>
        <v>22693.221867060074</v>
      </c>
    </row>
    <row r="15" spans="2:13" ht="19.899999999999999" customHeight="1" thickBot="1">
      <c r="B15" s="233"/>
      <c r="C15" s="56" t="s">
        <v>87</v>
      </c>
      <c r="D15" s="54">
        <v>0</v>
      </c>
      <c r="E15" s="236"/>
      <c r="F15" s="57">
        <f>D15/$E$13</f>
        <v>0</v>
      </c>
      <c r="G15" s="180">
        <f>+D15*L6</f>
        <v>0</v>
      </c>
      <c r="H15" s="230"/>
      <c r="I15" s="34"/>
      <c r="J15" s="92" t="s">
        <v>8</v>
      </c>
      <c r="K15" s="43">
        <f>+H10</f>
        <v>44356000</v>
      </c>
      <c r="L15" s="90">
        <f>+'PRODUC ACUMULADA'!B7</f>
        <v>1898.77</v>
      </c>
      <c r="M15" s="94">
        <f t="shared" si="3"/>
        <v>23360.385934052043</v>
      </c>
    </row>
    <row r="16" spans="2:13" ht="19.899999999999999" customHeight="1" thickBot="1">
      <c r="B16" s="231" t="s">
        <v>81</v>
      </c>
      <c r="C16" s="53" t="s">
        <v>88</v>
      </c>
      <c r="D16" s="54">
        <v>871</v>
      </c>
      <c r="E16" s="234">
        <f>+D16+D17+D18</f>
        <v>2166</v>
      </c>
      <c r="F16" s="55">
        <f>D16/$E$16</f>
        <v>0.40212373037857801</v>
      </c>
      <c r="G16" s="178">
        <f>+D16*L4</f>
        <v>22646000</v>
      </c>
      <c r="H16" s="228">
        <f t="shared" ref="H16" si="4">+G16+G17+G18</f>
        <v>34996000</v>
      </c>
      <c r="I16" s="34"/>
      <c r="J16" s="92" t="s">
        <v>9</v>
      </c>
      <c r="K16" s="43">
        <f>+H13</f>
        <v>42400000</v>
      </c>
      <c r="L16" s="90">
        <f>+'PRODUC ACUMULADA'!B8</f>
        <v>1800.91</v>
      </c>
      <c r="M16" s="94">
        <f t="shared" si="3"/>
        <v>23543.652931018205</v>
      </c>
    </row>
    <row r="17" spans="2:13" ht="30.75" customHeight="1" thickBot="1">
      <c r="B17" s="232"/>
      <c r="C17" s="47" t="s">
        <v>89</v>
      </c>
      <c r="D17" s="54">
        <v>1220</v>
      </c>
      <c r="E17" s="235"/>
      <c r="F17" s="33">
        <f>D17/$E$16</f>
        <v>0.56325023084025849</v>
      </c>
      <c r="G17" s="179">
        <f>+D17*L5</f>
        <v>12200000</v>
      </c>
      <c r="H17" s="229"/>
      <c r="I17" s="34"/>
      <c r="J17" s="92" t="s">
        <v>10</v>
      </c>
      <c r="K17" s="43">
        <f>+H16</f>
        <v>34996000</v>
      </c>
      <c r="L17" s="90">
        <f>+'PRODUC ACUMULADA'!B9</f>
        <v>1964.1099999999997</v>
      </c>
      <c r="M17" s="94">
        <f t="shared" si="3"/>
        <v>17817.739332318459</v>
      </c>
    </row>
    <row r="18" spans="2:13" ht="19.899999999999999" customHeight="1" thickBot="1">
      <c r="B18" s="233"/>
      <c r="C18" s="56" t="s">
        <v>348</v>
      </c>
      <c r="D18" s="54">
        <v>75</v>
      </c>
      <c r="E18" s="236"/>
      <c r="F18" s="57">
        <f>D18/$E$16</f>
        <v>3.4626038781163437E-2</v>
      </c>
      <c r="G18" s="180">
        <f>+D18*L9</f>
        <v>150000</v>
      </c>
      <c r="H18" s="230"/>
      <c r="I18" s="34"/>
      <c r="J18" s="92" t="s">
        <v>11</v>
      </c>
      <c r="K18" s="43">
        <f>+H19</f>
        <v>0</v>
      </c>
      <c r="L18" s="90">
        <f>+'PRODUC ACUMULADA'!B10</f>
        <v>926.96999999999991</v>
      </c>
      <c r="M18" s="94">
        <f t="shared" si="3"/>
        <v>0</v>
      </c>
    </row>
    <row r="19" spans="2:13" ht="19.899999999999999" customHeight="1" thickBot="1">
      <c r="B19" s="231" t="s">
        <v>82</v>
      </c>
      <c r="C19" s="53" t="s">
        <v>88</v>
      </c>
      <c r="D19" s="54">
        <v>0</v>
      </c>
      <c r="E19" s="234">
        <f>+D19+D20+D21</f>
        <v>0</v>
      </c>
      <c r="F19" s="55" t="e">
        <f>+D19/E19</f>
        <v>#DIV/0!</v>
      </c>
      <c r="G19" s="178">
        <f>+D19*L4</f>
        <v>0</v>
      </c>
      <c r="H19" s="228">
        <f t="shared" ref="H19" si="5">+G19+G20+G21</f>
        <v>0</v>
      </c>
      <c r="I19" s="34"/>
      <c r="J19" s="92" t="s">
        <v>1</v>
      </c>
      <c r="K19" s="43">
        <f>+H22</f>
        <v>0</v>
      </c>
      <c r="L19" s="90">
        <f>+'PRODUC ACUMULADA'!B11</f>
        <v>0</v>
      </c>
      <c r="M19" s="94" t="e">
        <f t="shared" si="3"/>
        <v>#DIV/0!</v>
      </c>
    </row>
    <row r="20" spans="2:13" ht="19.899999999999999" customHeight="1" thickBot="1">
      <c r="B20" s="232"/>
      <c r="C20" s="47" t="s">
        <v>89</v>
      </c>
      <c r="D20" s="54">
        <v>0</v>
      </c>
      <c r="E20" s="235"/>
      <c r="F20" s="33" t="e">
        <f>+D20/E19</f>
        <v>#DIV/0!</v>
      </c>
      <c r="G20" s="179">
        <f>+D20*L5</f>
        <v>0</v>
      </c>
      <c r="H20" s="229"/>
      <c r="I20" s="34"/>
      <c r="J20" s="92" t="s">
        <v>2</v>
      </c>
      <c r="K20" s="43">
        <f>+H25</f>
        <v>0</v>
      </c>
      <c r="L20" s="90">
        <f>+'PRODUC ACUMULADA'!B12</f>
        <v>0</v>
      </c>
      <c r="M20" s="94" t="e">
        <f t="shared" si="3"/>
        <v>#DIV/0!</v>
      </c>
    </row>
    <row r="21" spans="2:13" ht="19.899999999999999" customHeight="1" thickBot="1">
      <c r="B21" s="233"/>
      <c r="C21" s="56" t="s">
        <v>87</v>
      </c>
      <c r="D21" s="54">
        <v>0</v>
      </c>
      <c r="E21" s="236"/>
      <c r="F21" s="57" t="e">
        <f>+D21/E19</f>
        <v>#DIV/0!</v>
      </c>
      <c r="G21" s="180">
        <f>+(D21*L6)</f>
        <v>0</v>
      </c>
      <c r="H21" s="230"/>
      <c r="I21" s="34"/>
      <c r="J21" s="92" t="s">
        <v>3</v>
      </c>
      <c r="K21" s="43">
        <f>+H28</f>
        <v>0</v>
      </c>
      <c r="L21" s="90">
        <f>+'PRODUC ACUMULADA'!B13</f>
        <v>0</v>
      </c>
      <c r="M21" s="94" t="e">
        <f t="shared" si="3"/>
        <v>#DIV/0!</v>
      </c>
    </row>
    <row r="22" spans="2:13" ht="19.899999999999999" customHeight="1" thickBot="1">
      <c r="B22" s="231" t="s">
        <v>83</v>
      </c>
      <c r="C22" s="53" t="s">
        <v>88</v>
      </c>
      <c r="D22" s="54">
        <v>0</v>
      </c>
      <c r="E22" s="234">
        <f>+D22+D23+D24</f>
        <v>0</v>
      </c>
      <c r="F22" s="55" t="e">
        <f>+D22/E22</f>
        <v>#DIV/0!</v>
      </c>
      <c r="G22" s="178">
        <f>+D22*L4</f>
        <v>0</v>
      </c>
      <c r="H22" s="228">
        <f t="shared" ref="H22" si="6">+G22+G23+G24</f>
        <v>0</v>
      </c>
      <c r="I22" s="34"/>
      <c r="J22" s="92" t="s">
        <v>12</v>
      </c>
      <c r="K22" s="43">
        <f>+H31</f>
        <v>0</v>
      </c>
      <c r="L22" s="90">
        <f>+'PRODUC ACUMULADA'!B14</f>
        <v>0</v>
      </c>
      <c r="M22" s="94" t="e">
        <f t="shared" si="3"/>
        <v>#DIV/0!</v>
      </c>
    </row>
    <row r="23" spans="2:13" ht="19.899999999999999" customHeight="1" thickBot="1">
      <c r="B23" s="232"/>
      <c r="C23" s="47" t="s">
        <v>89</v>
      </c>
      <c r="D23" s="54">
        <v>0</v>
      </c>
      <c r="E23" s="235"/>
      <c r="F23" s="33" t="e">
        <f>+D23/E22</f>
        <v>#DIV/0!</v>
      </c>
      <c r="G23" s="179">
        <f>+D23*L5</f>
        <v>0</v>
      </c>
      <c r="H23" s="229"/>
      <c r="I23" s="34"/>
      <c r="J23" s="92" t="s">
        <v>4</v>
      </c>
      <c r="K23" s="43">
        <f>+H34</f>
        <v>0</v>
      </c>
      <c r="L23" s="90">
        <f>+'PRODUC ACUMULADA'!B15</f>
        <v>0</v>
      </c>
      <c r="M23" s="94" t="e">
        <f t="shared" si="3"/>
        <v>#DIV/0!</v>
      </c>
    </row>
    <row r="24" spans="2:13" ht="19.899999999999999" customHeight="1" thickBot="1">
      <c r="B24" s="233"/>
      <c r="C24" s="56" t="s">
        <v>87</v>
      </c>
      <c r="D24" s="54">
        <v>0</v>
      </c>
      <c r="E24" s="236"/>
      <c r="F24" s="57" t="e">
        <f>+D24/E22</f>
        <v>#DIV/0!</v>
      </c>
      <c r="G24" s="180">
        <f>+D24*L6</f>
        <v>0</v>
      </c>
      <c r="H24" s="230"/>
      <c r="I24" s="34"/>
      <c r="J24" s="95" t="s">
        <v>5</v>
      </c>
      <c r="K24" s="43">
        <f>+H37</f>
        <v>0</v>
      </c>
      <c r="L24" s="90">
        <f>+'PRODUC ACUMULADA'!B16</f>
        <v>0</v>
      </c>
      <c r="M24" s="97" t="e">
        <f t="shared" si="3"/>
        <v>#DIV/0!</v>
      </c>
    </row>
    <row r="25" spans="2:13" ht="19.899999999999999" customHeight="1" thickBot="1">
      <c r="B25" s="231" t="s">
        <v>84</v>
      </c>
      <c r="C25" s="53" t="s">
        <v>88</v>
      </c>
      <c r="D25" s="54">
        <v>0</v>
      </c>
      <c r="E25" s="234">
        <f>+D25+D26+D27</f>
        <v>0</v>
      </c>
      <c r="F25" s="55" t="e">
        <f>+D25/E25</f>
        <v>#DIV/0!</v>
      </c>
      <c r="G25" s="178">
        <f>+D25*L4</f>
        <v>0</v>
      </c>
      <c r="H25" s="228">
        <f t="shared" ref="H25" si="7">+G25+G26+G27</f>
        <v>0</v>
      </c>
      <c r="I25" s="34"/>
      <c r="J25" s="85" t="s">
        <v>0</v>
      </c>
      <c r="K25" s="98">
        <f>SUM(K13:K24)</f>
        <v>198500000</v>
      </c>
      <c r="L25" s="98">
        <f>SUM(L13:L24)</f>
        <v>10119.569999999998</v>
      </c>
      <c r="M25" s="99" t="e">
        <f>SUM(M13:M24)</f>
        <v>#DIV/0!</v>
      </c>
    </row>
    <row r="26" spans="2:13" ht="19.899999999999999" customHeight="1" thickBot="1">
      <c r="B26" s="232"/>
      <c r="C26" s="47" t="s">
        <v>89</v>
      </c>
      <c r="D26" s="54">
        <v>0</v>
      </c>
      <c r="E26" s="235"/>
      <c r="F26" s="33" t="e">
        <f>+D26/E25</f>
        <v>#DIV/0!</v>
      </c>
      <c r="G26" s="179">
        <f>+D26*L5</f>
        <v>0</v>
      </c>
      <c r="H26" s="229"/>
      <c r="I26" s="34"/>
    </row>
    <row r="27" spans="2:13" ht="19.899999999999999" customHeight="1" thickBot="1">
      <c r="B27" s="233"/>
      <c r="C27" s="56" t="s">
        <v>87</v>
      </c>
      <c r="D27" s="54">
        <v>0</v>
      </c>
      <c r="E27" s="236"/>
      <c r="F27" s="57" t="e">
        <f>+D27/E25</f>
        <v>#DIV/0!</v>
      </c>
      <c r="G27" s="180">
        <f>+D27*L6</f>
        <v>0</v>
      </c>
      <c r="H27" s="230"/>
      <c r="I27" s="34"/>
    </row>
    <row r="28" spans="2:13" ht="19.899999999999999" customHeight="1" thickBot="1">
      <c r="B28" s="231" t="s">
        <v>85</v>
      </c>
      <c r="C28" s="53" t="s">
        <v>88</v>
      </c>
      <c r="D28" s="54">
        <v>0</v>
      </c>
      <c r="E28" s="234">
        <f>+D28+D29+D30</f>
        <v>0</v>
      </c>
      <c r="F28" s="55" t="e">
        <f>+D28/E28</f>
        <v>#DIV/0!</v>
      </c>
      <c r="G28" s="178">
        <f>+D28*L4</f>
        <v>0</v>
      </c>
      <c r="H28" s="228">
        <f t="shared" ref="H28" si="8">+G28+G29+G30</f>
        <v>0</v>
      </c>
      <c r="I28" s="34"/>
    </row>
    <row r="29" spans="2:13" ht="19.899999999999999" customHeight="1" thickBot="1">
      <c r="B29" s="232"/>
      <c r="C29" s="47" t="s">
        <v>89</v>
      </c>
      <c r="D29" s="54">
        <v>0</v>
      </c>
      <c r="E29" s="235"/>
      <c r="F29" s="33" t="e">
        <f>+D29/E28</f>
        <v>#DIV/0!</v>
      </c>
      <c r="G29" s="179">
        <f>+D29*L5</f>
        <v>0</v>
      </c>
      <c r="H29" s="229"/>
      <c r="I29" s="34"/>
    </row>
    <row r="30" spans="2:13" ht="19.899999999999999" customHeight="1" thickBot="1">
      <c r="B30" s="233"/>
      <c r="C30" s="56" t="s">
        <v>87</v>
      </c>
      <c r="D30" s="54">
        <v>0</v>
      </c>
      <c r="E30" s="236"/>
      <c r="F30" s="57" t="e">
        <f>+D30/E28</f>
        <v>#DIV/0!</v>
      </c>
      <c r="G30" s="180">
        <f>+D30*L6</f>
        <v>0</v>
      </c>
      <c r="H30" s="230"/>
      <c r="I30" s="34"/>
    </row>
    <row r="31" spans="2:13" ht="19.899999999999999" customHeight="1" thickBot="1">
      <c r="B31" s="231" t="s">
        <v>66</v>
      </c>
      <c r="C31" s="53" t="s">
        <v>88</v>
      </c>
      <c r="D31" s="54">
        <v>0</v>
      </c>
      <c r="E31" s="234">
        <f>+D31+D32+D33</f>
        <v>0</v>
      </c>
      <c r="F31" s="55" t="e">
        <f>+D31/E31</f>
        <v>#DIV/0!</v>
      </c>
      <c r="G31" s="178">
        <f>+D31*L4</f>
        <v>0</v>
      </c>
      <c r="H31" s="228">
        <f t="shared" ref="H31" si="9">+G31+G32+G33</f>
        <v>0</v>
      </c>
      <c r="I31" s="34"/>
    </row>
    <row r="32" spans="2:13" ht="19.899999999999999" customHeight="1" thickBot="1">
      <c r="B32" s="232"/>
      <c r="C32" s="47" t="s">
        <v>89</v>
      </c>
      <c r="D32" s="54">
        <v>0</v>
      </c>
      <c r="E32" s="235"/>
      <c r="F32" s="33" t="e">
        <f>+D32/E31</f>
        <v>#DIV/0!</v>
      </c>
      <c r="G32" s="179">
        <f>+D32*L5</f>
        <v>0</v>
      </c>
      <c r="H32" s="229"/>
      <c r="I32" s="34"/>
    </row>
    <row r="33" spans="2:9" ht="19.899999999999999" customHeight="1" thickBot="1">
      <c r="B33" s="233"/>
      <c r="C33" s="56" t="s">
        <v>87</v>
      </c>
      <c r="D33" s="54">
        <v>0</v>
      </c>
      <c r="E33" s="236"/>
      <c r="F33" s="57" t="e">
        <f>+D33/E31</f>
        <v>#DIV/0!</v>
      </c>
      <c r="G33" s="180">
        <f>+D33*L6</f>
        <v>0</v>
      </c>
      <c r="H33" s="230"/>
      <c r="I33" s="34"/>
    </row>
    <row r="34" spans="2:9" ht="19.899999999999999" customHeight="1" thickBot="1">
      <c r="B34" s="231" t="s">
        <v>67</v>
      </c>
      <c r="C34" s="53" t="s">
        <v>88</v>
      </c>
      <c r="D34" s="54">
        <v>0</v>
      </c>
      <c r="E34" s="234">
        <f>+D34+D35+D36</f>
        <v>0</v>
      </c>
      <c r="F34" s="55" t="e">
        <f>+D34/E34</f>
        <v>#DIV/0!</v>
      </c>
      <c r="G34" s="178">
        <f>+D34*L4</f>
        <v>0</v>
      </c>
      <c r="H34" s="228">
        <f t="shared" ref="H34" si="10">+G34+G35+G36</f>
        <v>0</v>
      </c>
      <c r="I34" s="34"/>
    </row>
    <row r="35" spans="2:9" ht="19.899999999999999" customHeight="1" thickBot="1">
      <c r="B35" s="232"/>
      <c r="C35" s="47" t="s">
        <v>89</v>
      </c>
      <c r="D35" s="54">
        <v>0</v>
      </c>
      <c r="E35" s="235"/>
      <c r="F35" s="33" t="e">
        <f>+D35/E34</f>
        <v>#DIV/0!</v>
      </c>
      <c r="G35" s="179">
        <f>+D35*L5</f>
        <v>0</v>
      </c>
      <c r="H35" s="229"/>
      <c r="I35" s="34"/>
    </row>
    <row r="36" spans="2:9" ht="19.899999999999999" customHeight="1" thickBot="1">
      <c r="B36" s="233"/>
      <c r="C36" s="56" t="s">
        <v>87</v>
      </c>
      <c r="D36" s="54">
        <v>0</v>
      </c>
      <c r="E36" s="236"/>
      <c r="F36" s="57" t="e">
        <f>+D36/E34</f>
        <v>#DIV/0!</v>
      </c>
      <c r="G36" s="180">
        <f>+D36*L6</f>
        <v>0</v>
      </c>
      <c r="H36" s="230"/>
      <c r="I36" s="34"/>
    </row>
    <row r="37" spans="2:9" ht="19.899999999999999" customHeight="1" thickBot="1">
      <c r="B37" s="231" t="s">
        <v>68</v>
      </c>
      <c r="C37" s="53" t="s">
        <v>88</v>
      </c>
      <c r="D37" s="54">
        <v>0</v>
      </c>
      <c r="E37" s="234">
        <f>+D37+D38+D39</f>
        <v>0</v>
      </c>
      <c r="F37" s="55" t="e">
        <f>+D37/E37</f>
        <v>#DIV/0!</v>
      </c>
      <c r="G37" s="178">
        <f>+D37*L4</f>
        <v>0</v>
      </c>
      <c r="H37" s="228">
        <f t="shared" ref="H37" si="11">+G37+G38+G39</f>
        <v>0</v>
      </c>
      <c r="I37" s="34"/>
    </row>
    <row r="38" spans="2:9" ht="19.899999999999999" customHeight="1" thickBot="1">
      <c r="B38" s="232"/>
      <c r="C38" s="47" t="s">
        <v>89</v>
      </c>
      <c r="D38" s="54">
        <v>0</v>
      </c>
      <c r="E38" s="235"/>
      <c r="F38" s="33" t="e">
        <f>+D38/E37</f>
        <v>#DIV/0!</v>
      </c>
      <c r="G38" s="179">
        <f>+D38*L5</f>
        <v>0</v>
      </c>
      <c r="H38" s="229"/>
      <c r="I38" s="34"/>
    </row>
    <row r="39" spans="2:9" ht="19.899999999999999" customHeight="1" thickBot="1">
      <c r="B39" s="233"/>
      <c r="C39" s="56" t="s">
        <v>87</v>
      </c>
      <c r="D39" s="54">
        <v>0</v>
      </c>
      <c r="E39" s="236"/>
      <c r="F39" s="57" t="e">
        <f>+D39/E37</f>
        <v>#DIV/0!</v>
      </c>
      <c r="G39" s="180">
        <f>+D39*L6</f>
        <v>0</v>
      </c>
      <c r="H39" s="230"/>
      <c r="I39" s="34"/>
    </row>
    <row r="40" spans="2:9" ht="15.75" thickBot="1">
      <c r="C40" s="58" t="s">
        <v>65</v>
      </c>
      <c r="D40" s="59">
        <f>SUM(D4:D39)</f>
        <v>11936</v>
      </c>
      <c r="E40" s="59"/>
      <c r="F40" s="59" t="e">
        <f>SUM(F4:F39)</f>
        <v>#DIV/0!</v>
      </c>
      <c r="G40" s="181">
        <f>SUM(G4:G39)</f>
        <v>198500000</v>
      </c>
      <c r="H40" s="182">
        <f>SUM(H4:H39)</f>
        <v>198500000</v>
      </c>
      <c r="I40" s="35"/>
    </row>
    <row r="71" spans="11:11">
      <c r="K71" s="24">
        <v>0</v>
      </c>
    </row>
  </sheetData>
  <mergeCells count="44">
    <mergeCell ref="B1:H2"/>
    <mergeCell ref="H19:H21"/>
    <mergeCell ref="H22:H24"/>
    <mergeCell ref="H25:H27"/>
    <mergeCell ref="H28:H30"/>
    <mergeCell ref="H4:H6"/>
    <mergeCell ref="H7:H9"/>
    <mergeCell ref="H10:H12"/>
    <mergeCell ref="H13:H15"/>
    <mergeCell ref="H16:H18"/>
    <mergeCell ref="B13:B15"/>
    <mergeCell ref="E13:E15"/>
    <mergeCell ref="B16:B18"/>
    <mergeCell ref="E16:E18"/>
    <mergeCell ref="B19:B21"/>
    <mergeCell ref="E19:E21"/>
    <mergeCell ref="H34:H36"/>
    <mergeCell ref="H37:H39"/>
    <mergeCell ref="H31:H33"/>
    <mergeCell ref="B22:B24"/>
    <mergeCell ref="E22:E24"/>
    <mergeCell ref="B25:B27"/>
    <mergeCell ref="B28:B30"/>
    <mergeCell ref="E25:E27"/>
    <mergeCell ref="E28:E30"/>
    <mergeCell ref="B31:B33"/>
    <mergeCell ref="B34:B36"/>
    <mergeCell ref="B37:B39"/>
    <mergeCell ref="E31:E33"/>
    <mergeCell ref="E34:E36"/>
    <mergeCell ref="E37:E39"/>
    <mergeCell ref="B4:B6"/>
    <mergeCell ref="E4:E6"/>
    <mergeCell ref="B7:B9"/>
    <mergeCell ref="E7:E9"/>
    <mergeCell ref="B10:B12"/>
    <mergeCell ref="E10:E12"/>
    <mergeCell ref="J7:K7"/>
    <mergeCell ref="J8:K8"/>
    <mergeCell ref="J9:K9"/>
    <mergeCell ref="J3:K3"/>
    <mergeCell ref="J4:K4"/>
    <mergeCell ref="J5:K5"/>
    <mergeCell ref="J6:K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AA0D9-3951-43D8-9EE8-90D47EE6D55A}">
  <dimension ref="B1:M15"/>
  <sheetViews>
    <sheetView topLeftCell="B1" workbookViewId="0">
      <selection activeCell="D8" sqref="D8"/>
    </sheetView>
  </sheetViews>
  <sheetFormatPr baseColWidth="10" defaultRowHeight="15"/>
  <cols>
    <col min="1" max="1" width="0" style="24" hidden="1" customWidth="1"/>
    <col min="2" max="2" width="4.5703125" style="82" customWidth="1"/>
    <col min="3" max="5" width="14.42578125" style="82" customWidth="1"/>
    <col min="6" max="6" width="11.42578125" style="82" customWidth="1"/>
    <col min="7" max="7" width="17.7109375" style="82" customWidth="1"/>
    <col min="8" max="8" width="14.42578125" style="82" customWidth="1"/>
    <col min="9" max="9" width="16" style="82" customWidth="1"/>
    <col min="10" max="11" width="11.42578125" style="82"/>
    <col min="12" max="12" width="16.5703125" style="83" customWidth="1"/>
    <col min="13" max="13" width="17.42578125" style="84" customWidth="1"/>
    <col min="14" max="14" width="19.140625" style="24" customWidth="1"/>
    <col min="15" max="15" width="18.28515625" style="24" customWidth="1"/>
    <col min="16" max="20" width="16.140625" style="24" customWidth="1"/>
    <col min="21" max="23" width="20.42578125" style="24" customWidth="1"/>
    <col min="24" max="24" width="20.85546875" style="24" bestFit="1" customWidth="1"/>
    <col min="25" max="25" width="18.28515625" style="24" customWidth="1"/>
    <col min="26" max="16384" width="11.42578125" style="24"/>
  </cols>
  <sheetData>
    <row r="1" spans="2:6" ht="15.75" thickBot="1"/>
    <row r="2" spans="2:6" ht="27" thickBot="1">
      <c r="C2" s="85" t="s">
        <v>44</v>
      </c>
      <c r="D2" s="86" t="s">
        <v>0</v>
      </c>
      <c r="E2" s="87" t="s">
        <v>97</v>
      </c>
      <c r="F2" s="88" t="s">
        <v>95</v>
      </c>
    </row>
    <row r="3" spans="2:6">
      <c r="B3" s="82">
        <v>1</v>
      </c>
      <c r="C3" s="89" t="s">
        <v>6</v>
      </c>
      <c r="D3" s="43">
        <v>3431124</v>
      </c>
      <c r="E3" s="90">
        <f>+'PRODUC ACUMULADA'!B5</f>
        <v>1698.66</v>
      </c>
      <c r="F3" s="91">
        <f>+D3/E3</f>
        <v>2019.9003920737521</v>
      </c>
    </row>
    <row r="4" spans="2:6">
      <c r="B4" s="82">
        <v>2</v>
      </c>
      <c r="C4" s="92" t="s">
        <v>7</v>
      </c>
      <c r="D4" s="37">
        <v>12535782</v>
      </c>
      <c r="E4" s="93">
        <f>+'PRODUC ACUMULADA'!B6</f>
        <v>1830.15</v>
      </c>
      <c r="F4" s="94">
        <f t="shared" ref="F4:F14" si="0">+D4/E4</f>
        <v>6849.5926563396442</v>
      </c>
    </row>
    <row r="5" spans="2:6">
      <c r="B5" s="82">
        <v>3</v>
      </c>
      <c r="C5" s="92" t="s">
        <v>8</v>
      </c>
      <c r="D5" s="37">
        <v>4480816</v>
      </c>
      <c r="E5" s="93">
        <f>+'PRODUC ACUMULADA'!B7</f>
        <v>1898.77</v>
      </c>
      <c r="F5" s="94">
        <f t="shared" si="0"/>
        <v>2359.8519041274089</v>
      </c>
    </row>
    <row r="6" spans="2:6">
      <c r="B6" s="82">
        <v>4</v>
      </c>
      <c r="C6" s="92" t="s">
        <v>9</v>
      </c>
      <c r="D6" s="37">
        <v>4609346</v>
      </c>
      <c r="E6" s="93">
        <f>+'PRODUC ACUMULADA'!B8</f>
        <v>1800.91</v>
      </c>
      <c r="F6" s="94">
        <f t="shared" si="0"/>
        <v>2559.4538316739868</v>
      </c>
    </row>
    <row r="7" spans="2:6">
      <c r="B7" s="82">
        <v>5</v>
      </c>
      <c r="C7" s="92" t="s">
        <v>10</v>
      </c>
      <c r="D7" s="37">
        <v>11596960</v>
      </c>
      <c r="E7" s="93">
        <f>+'PRODUC ACUMULADA'!B9</f>
        <v>1964.1099999999997</v>
      </c>
      <c r="F7" s="94">
        <f t="shared" si="0"/>
        <v>5904.4350876478411</v>
      </c>
    </row>
    <row r="8" spans="2:6">
      <c r="B8" s="82">
        <v>6</v>
      </c>
      <c r="C8" s="92" t="s">
        <v>11</v>
      </c>
      <c r="D8" s="37">
        <v>0</v>
      </c>
      <c r="E8" s="93">
        <f>+'PRODUC ACUMULADA'!B10</f>
        <v>926.96999999999991</v>
      </c>
      <c r="F8" s="94">
        <f t="shared" si="0"/>
        <v>0</v>
      </c>
    </row>
    <row r="9" spans="2:6">
      <c r="B9" s="82">
        <v>7</v>
      </c>
      <c r="C9" s="92" t="s">
        <v>1</v>
      </c>
      <c r="D9" s="37">
        <v>0</v>
      </c>
      <c r="E9" s="93">
        <f>+'PRODUC ACUMULADA'!B11</f>
        <v>0</v>
      </c>
      <c r="F9" s="94" t="e">
        <f t="shared" si="0"/>
        <v>#DIV/0!</v>
      </c>
    </row>
    <row r="10" spans="2:6">
      <c r="B10" s="82">
        <v>8</v>
      </c>
      <c r="C10" s="92" t="s">
        <v>2</v>
      </c>
      <c r="D10" s="37">
        <v>0</v>
      </c>
      <c r="E10" s="93">
        <f>+'PRODUC ACUMULADA'!B12</f>
        <v>0</v>
      </c>
      <c r="F10" s="94" t="e">
        <f t="shared" si="0"/>
        <v>#DIV/0!</v>
      </c>
    </row>
    <row r="11" spans="2:6">
      <c r="B11" s="82">
        <v>9</v>
      </c>
      <c r="C11" s="92" t="s">
        <v>3</v>
      </c>
      <c r="D11" s="37">
        <v>0</v>
      </c>
      <c r="E11" s="93">
        <f>+'PRODUC ACUMULADA'!B13</f>
        <v>0</v>
      </c>
      <c r="F11" s="94" t="e">
        <f t="shared" si="0"/>
        <v>#DIV/0!</v>
      </c>
    </row>
    <row r="12" spans="2:6">
      <c r="B12" s="82">
        <v>10</v>
      </c>
      <c r="C12" s="92" t="s">
        <v>12</v>
      </c>
      <c r="D12" s="37">
        <v>0</v>
      </c>
      <c r="E12" s="93">
        <f>+'PRODUC ACUMULADA'!B14</f>
        <v>0</v>
      </c>
      <c r="F12" s="94" t="e">
        <f t="shared" si="0"/>
        <v>#DIV/0!</v>
      </c>
    </row>
    <row r="13" spans="2:6">
      <c r="B13" s="82">
        <v>11</v>
      </c>
      <c r="C13" s="92" t="s">
        <v>4</v>
      </c>
      <c r="D13" s="37">
        <v>0</v>
      </c>
      <c r="E13" s="93">
        <f>+'PRODUC ACUMULADA'!B15</f>
        <v>0</v>
      </c>
      <c r="F13" s="94" t="e">
        <f t="shared" si="0"/>
        <v>#DIV/0!</v>
      </c>
    </row>
    <row r="14" spans="2:6" ht="15.75" thickBot="1">
      <c r="B14" s="82">
        <v>12</v>
      </c>
      <c r="C14" s="95" t="s">
        <v>5</v>
      </c>
      <c r="D14" s="41">
        <v>0</v>
      </c>
      <c r="E14" s="96">
        <f>+'PRODUC ACUMULADA'!B16</f>
        <v>0</v>
      </c>
      <c r="F14" s="97" t="e">
        <f t="shared" si="0"/>
        <v>#DIV/0!</v>
      </c>
    </row>
    <row r="15" spans="2:6" ht="15.75" thickBot="1">
      <c r="C15" s="85" t="s">
        <v>0</v>
      </c>
      <c r="D15" s="98">
        <f>SUM(D3:D14)</f>
        <v>36654028</v>
      </c>
      <c r="E15" s="98">
        <f>SUM(E3:E14)</f>
        <v>10119.569999999998</v>
      </c>
      <c r="F15" s="99" t="e">
        <f>SUM(F3:F14)</f>
        <v>#DIV/0!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62D2-3912-439F-A451-1AE655A33325}">
  <dimension ref="B1:AC1001"/>
  <sheetViews>
    <sheetView zoomScale="75" zoomScaleNormal="75" zoomScaleSheetLayoutView="95" workbookViewId="0">
      <pane ySplit="1" topLeftCell="A2" activePane="bottomLeft" state="frozen"/>
      <selection activeCell="B1" sqref="B1"/>
      <selection pane="bottomLeft" activeCell="H21" sqref="H21"/>
    </sheetView>
  </sheetViews>
  <sheetFormatPr baseColWidth="10" defaultRowHeight="15"/>
  <cols>
    <col min="1" max="1" width="0" hidden="1" customWidth="1"/>
    <col min="2" max="2" width="53.5703125" customWidth="1"/>
    <col min="3" max="3" width="11.42578125" style="3" customWidth="1"/>
    <col min="4" max="10" width="14.42578125" style="3" customWidth="1"/>
    <col min="11" max="11" width="17.7109375" style="3" customWidth="1"/>
    <col min="12" max="12" width="14.42578125" style="3" customWidth="1"/>
    <col min="13" max="13" width="16" style="3" customWidth="1"/>
    <col min="14" max="15" width="11.42578125" style="3" customWidth="1"/>
    <col min="16" max="16" width="16.5703125" style="16" customWidth="1"/>
    <col min="17" max="17" width="17.42578125" style="187" customWidth="1"/>
    <col min="18" max="18" width="19.140625" customWidth="1"/>
    <col min="19" max="19" width="18.28515625" customWidth="1"/>
    <col min="20" max="24" width="16.140625" customWidth="1"/>
    <col min="25" max="27" width="20.42578125" customWidth="1"/>
    <col min="28" max="28" width="20.85546875" bestFit="1" customWidth="1"/>
    <col min="29" max="29" width="18.28515625" customWidth="1"/>
  </cols>
  <sheetData>
    <row r="1" spans="2:29" ht="30.75" customHeight="1">
      <c r="B1" s="23" t="s">
        <v>30</v>
      </c>
      <c r="C1" s="25" t="s">
        <v>6</v>
      </c>
      <c r="D1" s="25" t="s">
        <v>7</v>
      </c>
      <c r="E1" s="25" t="s">
        <v>8</v>
      </c>
      <c r="F1" s="25" t="s">
        <v>9</v>
      </c>
      <c r="G1" s="25" t="s">
        <v>10</v>
      </c>
      <c r="H1" s="25" t="s">
        <v>11</v>
      </c>
      <c r="I1" s="25" t="s">
        <v>1</v>
      </c>
      <c r="J1" s="6" t="s">
        <v>2</v>
      </c>
      <c r="K1" s="6" t="s">
        <v>3</v>
      </c>
      <c r="L1" s="6" t="s">
        <v>12</v>
      </c>
      <c r="M1" s="6" t="s">
        <v>39</v>
      </c>
      <c r="N1" s="6" t="s">
        <v>5</v>
      </c>
      <c r="O1" s="25" t="s">
        <v>0</v>
      </c>
      <c r="P1" s="13" t="s">
        <v>16</v>
      </c>
      <c r="Q1" s="19" t="s">
        <v>0</v>
      </c>
      <c r="R1" s="12" t="s">
        <v>32</v>
      </c>
      <c r="S1" s="25" t="s">
        <v>33</v>
      </c>
      <c r="T1" s="25" t="s">
        <v>34</v>
      </c>
      <c r="U1" s="25" t="s">
        <v>35</v>
      </c>
      <c r="V1" s="25" t="s">
        <v>36</v>
      </c>
      <c r="W1" s="25" t="s">
        <v>37</v>
      </c>
      <c r="X1" s="25" t="s">
        <v>38</v>
      </c>
      <c r="Y1" s="6" t="s">
        <v>31</v>
      </c>
      <c r="Z1" s="25" t="s">
        <v>40</v>
      </c>
      <c r="AA1" s="25" t="s">
        <v>41</v>
      </c>
      <c r="AB1" s="25" t="s">
        <v>42</v>
      </c>
      <c r="AC1" s="25" t="s">
        <v>43</v>
      </c>
    </row>
    <row r="2" spans="2:29" ht="30.75" customHeight="1">
      <c r="B2" s="25" t="s">
        <v>234</v>
      </c>
      <c r="C2" s="117" t="s">
        <v>6</v>
      </c>
      <c r="D2" s="25" t="s">
        <v>7</v>
      </c>
      <c r="E2" s="25" t="s">
        <v>8</v>
      </c>
      <c r="F2" s="25" t="s">
        <v>9</v>
      </c>
      <c r="G2" s="25" t="s">
        <v>10</v>
      </c>
      <c r="H2" s="25" t="s">
        <v>11</v>
      </c>
      <c r="I2" s="25" t="s">
        <v>1</v>
      </c>
      <c r="J2" s="6" t="s">
        <v>2</v>
      </c>
      <c r="K2" s="6" t="s">
        <v>3</v>
      </c>
      <c r="L2" s="6" t="s">
        <v>12</v>
      </c>
      <c r="M2" s="6" t="s">
        <v>39</v>
      </c>
      <c r="N2" s="6" t="s">
        <v>5</v>
      </c>
      <c r="O2" s="6" t="s">
        <v>0</v>
      </c>
      <c r="P2" s="13" t="s">
        <v>16</v>
      </c>
      <c r="Q2" s="118" t="s">
        <v>0</v>
      </c>
      <c r="R2" s="12" t="s">
        <v>32</v>
      </c>
      <c r="S2" s="25" t="s">
        <v>33</v>
      </c>
      <c r="T2" s="25" t="s">
        <v>34</v>
      </c>
      <c r="U2" s="25" t="s">
        <v>35</v>
      </c>
      <c r="V2" s="25" t="s">
        <v>36</v>
      </c>
      <c r="W2" s="25" t="s">
        <v>37</v>
      </c>
      <c r="X2" s="25" t="s">
        <v>38</v>
      </c>
      <c r="Y2" s="6" t="s">
        <v>31</v>
      </c>
      <c r="Z2" s="25" t="s">
        <v>40</v>
      </c>
      <c r="AA2" s="25" t="s">
        <v>41</v>
      </c>
      <c r="AB2" s="25" t="s">
        <v>42</v>
      </c>
      <c r="AC2" s="25" t="s">
        <v>43</v>
      </c>
    </row>
    <row r="3" spans="2:29">
      <c r="B3" s="120" t="s">
        <v>157</v>
      </c>
      <c r="C3" s="9"/>
      <c r="D3" s="121">
        <v>1</v>
      </c>
      <c r="E3" s="5"/>
      <c r="F3" s="5"/>
      <c r="G3" s="5"/>
      <c r="H3" s="5"/>
      <c r="I3" s="5"/>
      <c r="J3" s="7"/>
      <c r="K3" s="7"/>
      <c r="L3" s="7"/>
      <c r="M3" s="7"/>
      <c r="N3" s="7"/>
      <c r="O3" s="185">
        <f>+C3+D3+E3+F3+G3+H3+I3+J3+K3+L3+M3+N3</f>
        <v>1</v>
      </c>
      <c r="P3" s="122">
        <v>247520</v>
      </c>
      <c r="Q3" s="119">
        <f t="shared" ref="Q3:Q5" si="0">O3*P3</f>
        <v>247520</v>
      </c>
      <c r="R3" s="11">
        <f t="shared" ref="R3" si="1">C3*P3</f>
        <v>0</v>
      </c>
      <c r="S3" s="11">
        <f t="shared" ref="S3" si="2">+D3*P3</f>
        <v>247520</v>
      </c>
      <c r="T3" s="11"/>
      <c r="U3" s="11"/>
      <c r="V3" s="11"/>
      <c r="W3" s="11"/>
      <c r="X3" s="11"/>
      <c r="Y3" s="11"/>
      <c r="Z3" s="18"/>
      <c r="AA3" s="11"/>
      <c r="AB3" s="11"/>
      <c r="AC3" s="11"/>
    </row>
    <row r="4" spans="2:29">
      <c r="B4" s="123" t="s">
        <v>235</v>
      </c>
      <c r="C4" s="9"/>
      <c r="D4" s="121">
        <v>1</v>
      </c>
      <c r="E4" s="5"/>
      <c r="F4" s="5"/>
      <c r="G4" s="5"/>
      <c r="H4" s="5"/>
      <c r="I4" s="5"/>
      <c r="J4" s="7"/>
      <c r="K4" s="7"/>
      <c r="L4" s="7"/>
      <c r="M4" s="7"/>
      <c r="N4" s="7"/>
      <c r="O4" s="185">
        <f t="shared" ref="O4:O11" si="3">+C4+D4+E4+F4+G4+H4+I4+J4+K4+L4+M4+N4</f>
        <v>1</v>
      </c>
      <c r="P4" s="122">
        <v>133600</v>
      </c>
      <c r="Q4" s="119">
        <f t="shared" si="0"/>
        <v>133600</v>
      </c>
      <c r="R4" s="11">
        <f t="shared" ref="R4:R6" si="4">C4*P4</f>
        <v>0</v>
      </c>
      <c r="S4" s="11">
        <f t="shared" ref="S4:S5" si="5">+D4*P4</f>
        <v>133600</v>
      </c>
      <c r="T4" s="11"/>
      <c r="U4" s="11"/>
      <c r="V4" s="11"/>
      <c r="W4" s="11"/>
      <c r="X4" s="11"/>
      <c r="Y4" s="11"/>
      <c r="Z4" s="18"/>
      <c r="AA4" s="11"/>
      <c r="AB4" s="11"/>
      <c r="AC4" s="11"/>
    </row>
    <row r="5" spans="2:29">
      <c r="B5" s="123" t="s">
        <v>236</v>
      </c>
      <c r="C5" s="9"/>
      <c r="D5" s="9">
        <v>1</v>
      </c>
      <c r="E5" s="5"/>
      <c r="F5" s="5"/>
      <c r="G5" s="5"/>
      <c r="H5" s="5"/>
      <c r="I5" s="5"/>
      <c r="J5" s="7"/>
      <c r="K5" s="7"/>
      <c r="L5" s="7"/>
      <c r="M5" s="7"/>
      <c r="N5" s="7"/>
      <c r="O5" s="185">
        <f t="shared" si="3"/>
        <v>1</v>
      </c>
      <c r="P5" s="122">
        <v>134000</v>
      </c>
      <c r="Q5" s="119">
        <f t="shared" si="0"/>
        <v>134000</v>
      </c>
      <c r="R5" s="11">
        <f t="shared" si="4"/>
        <v>0</v>
      </c>
      <c r="S5" s="11">
        <f t="shared" si="5"/>
        <v>134000</v>
      </c>
      <c r="T5" s="11"/>
      <c r="U5" s="11"/>
      <c r="V5" s="11"/>
      <c r="W5" s="11"/>
      <c r="X5" s="11"/>
      <c r="Y5" s="11"/>
      <c r="Z5" s="18"/>
      <c r="AA5" s="11"/>
      <c r="AB5" s="11"/>
      <c r="AC5" s="11"/>
    </row>
    <row r="6" spans="2:29">
      <c r="B6" s="123" t="s">
        <v>237</v>
      </c>
      <c r="C6" s="9"/>
      <c r="D6" s="9">
        <v>1</v>
      </c>
      <c r="E6" s="5"/>
      <c r="F6" s="5"/>
      <c r="G6" s="5"/>
      <c r="H6" s="5"/>
      <c r="I6" s="5"/>
      <c r="J6" s="7"/>
      <c r="K6" s="7"/>
      <c r="L6" s="7"/>
      <c r="M6" s="7"/>
      <c r="N6" s="7"/>
      <c r="O6" s="185">
        <f t="shared" si="3"/>
        <v>1</v>
      </c>
      <c r="P6" s="14">
        <v>101360</v>
      </c>
      <c r="Q6" s="119">
        <f t="shared" ref="Q6:Q11" si="6">O6*P6</f>
        <v>101360</v>
      </c>
      <c r="R6" s="11">
        <f t="shared" si="4"/>
        <v>0</v>
      </c>
      <c r="S6" s="11">
        <f t="shared" ref="S6:S11" si="7">+D6*P6</f>
        <v>101360</v>
      </c>
      <c r="T6" s="11"/>
      <c r="U6" s="11"/>
      <c r="V6" s="11"/>
      <c r="W6" s="11"/>
      <c r="X6" s="11"/>
      <c r="Y6" s="11"/>
      <c r="Z6" s="18"/>
      <c r="AA6" s="11"/>
      <c r="AB6" s="11"/>
      <c r="AC6" s="11"/>
    </row>
    <row r="7" spans="2:29">
      <c r="B7" s="123" t="s">
        <v>238</v>
      </c>
      <c r="C7" s="9"/>
      <c r="D7" s="5">
        <v>1</v>
      </c>
      <c r="E7" s="5"/>
      <c r="F7" s="5"/>
      <c r="G7" s="5"/>
      <c r="H7" s="5"/>
      <c r="I7" s="5"/>
      <c r="J7" s="7"/>
      <c r="K7" s="7"/>
      <c r="L7" s="7"/>
      <c r="M7" s="7"/>
      <c r="N7" s="7"/>
      <c r="O7" s="185">
        <f t="shared" si="3"/>
        <v>1</v>
      </c>
      <c r="P7" s="14">
        <v>189936</v>
      </c>
      <c r="Q7" s="119">
        <f t="shared" si="6"/>
        <v>189936</v>
      </c>
      <c r="R7" s="11">
        <f t="shared" ref="R7:R11" si="8">C7*P7</f>
        <v>0</v>
      </c>
      <c r="S7" s="11">
        <f t="shared" si="7"/>
        <v>189936</v>
      </c>
      <c r="T7" s="11"/>
      <c r="U7" s="11"/>
      <c r="V7" s="11"/>
      <c r="W7" s="11"/>
      <c r="X7" s="11"/>
      <c r="Y7" s="11"/>
      <c r="Z7" s="18"/>
      <c r="AA7" s="11"/>
      <c r="AB7" s="11"/>
      <c r="AC7" s="11"/>
    </row>
    <row r="8" spans="2:29">
      <c r="B8" s="123" t="s">
        <v>239</v>
      </c>
      <c r="C8" s="9"/>
      <c r="D8" s="5">
        <v>1</v>
      </c>
      <c r="E8" s="5"/>
      <c r="F8" s="5"/>
      <c r="G8" s="5"/>
      <c r="H8" s="5"/>
      <c r="I8" s="5"/>
      <c r="J8" s="7"/>
      <c r="K8" s="7"/>
      <c r="L8" s="7"/>
      <c r="M8" s="7"/>
      <c r="N8" s="7"/>
      <c r="O8" s="185">
        <f t="shared" si="3"/>
        <v>1</v>
      </c>
      <c r="P8" s="14">
        <v>189936</v>
      </c>
      <c r="Q8" s="119">
        <f t="shared" si="6"/>
        <v>189936</v>
      </c>
      <c r="R8" s="11">
        <f t="shared" si="8"/>
        <v>0</v>
      </c>
      <c r="S8" s="11">
        <f t="shared" si="7"/>
        <v>189936</v>
      </c>
      <c r="T8" s="11"/>
      <c r="U8" s="11"/>
      <c r="V8" s="11"/>
      <c r="W8" s="11"/>
      <c r="X8" s="11"/>
      <c r="Y8" s="11"/>
      <c r="Z8" s="18"/>
      <c r="AA8" s="11"/>
      <c r="AB8" s="11"/>
      <c r="AC8" s="11"/>
    </row>
    <row r="9" spans="2:29">
      <c r="B9" s="123" t="s">
        <v>293</v>
      </c>
      <c r="C9" s="9"/>
      <c r="D9" s="5">
        <v>1</v>
      </c>
      <c r="E9" s="5"/>
      <c r="F9" s="5"/>
      <c r="G9" s="5"/>
      <c r="H9" s="5"/>
      <c r="I9" s="5"/>
      <c r="J9" s="7"/>
      <c r="K9" s="7"/>
      <c r="L9" s="7"/>
      <c r="M9" s="7"/>
      <c r="N9" s="7"/>
      <c r="O9" s="185">
        <f t="shared" si="3"/>
        <v>1</v>
      </c>
      <c r="P9" s="14">
        <v>52000</v>
      </c>
      <c r="Q9" s="119">
        <f t="shared" si="6"/>
        <v>52000</v>
      </c>
      <c r="R9" s="11">
        <f t="shared" si="8"/>
        <v>0</v>
      </c>
      <c r="S9" s="11">
        <f t="shared" si="7"/>
        <v>52000</v>
      </c>
      <c r="T9" s="11"/>
      <c r="U9" s="11"/>
      <c r="V9" s="11"/>
      <c r="W9" s="11"/>
      <c r="X9" s="11"/>
      <c r="Y9" s="11"/>
      <c r="Z9" s="18"/>
      <c r="AA9" s="11"/>
      <c r="AB9" s="11"/>
      <c r="AC9" s="11"/>
    </row>
    <row r="10" spans="2:29">
      <c r="B10" s="123" t="s">
        <v>240</v>
      </c>
      <c r="C10" s="9"/>
      <c r="D10" s="5">
        <v>2</v>
      </c>
      <c r="E10" s="5"/>
      <c r="F10" s="5"/>
      <c r="G10" s="5"/>
      <c r="H10" s="5"/>
      <c r="I10" s="5"/>
      <c r="J10" s="7"/>
      <c r="K10" s="7"/>
      <c r="L10" s="7"/>
      <c r="M10" s="7"/>
      <c r="N10" s="7"/>
      <c r="O10" s="185">
        <f t="shared" si="3"/>
        <v>2</v>
      </c>
      <c r="P10" s="14">
        <v>2480000</v>
      </c>
      <c r="Q10" s="119">
        <f t="shared" si="6"/>
        <v>4960000</v>
      </c>
      <c r="R10" s="11">
        <f t="shared" si="8"/>
        <v>0</v>
      </c>
      <c r="S10" s="11">
        <f t="shared" si="7"/>
        <v>4960000</v>
      </c>
      <c r="T10" s="11"/>
      <c r="U10" s="11"/>
      <c r="V10" s="11"/>
      <c r="W10" s="11"/>
      <c r="X10" s="11"/>
      <c r="Y10" s="11"/>
      <c r="Z10" s="18"/>
      <c r="AA10" s="11"/>
      <c r="AB10" s="11"/>
      <c r="AC10" s="11"/>
    </row>
    <row r="11" spans="2:29">
      <c r="B11" s="4" t="s">
        <v>241</v>
      </c>
      <c r="C11" s="9">
        <v>1</v>
      </c>
      <c r="D11" s="5"/>
      <c r="E11" s="5"/>
      <c r="F11" s="5"/>
      <c r="G11" s="5"/>
      <c r="H11" s="5"/>
      <c r="I11" s="5"/>
      <c r="J11" s="7"/>
      <c r="K11" s="7"/>
      <c r="L11" s="7"/>
      <c r="M11" s="7"/>
      <c r="N11" s="7"/>
      <c r="O11" s="185">
        <f t="shared" si="3"/>
        <v>1</v>
      </c>
      <c r="P11" s="14">
        <v>1200000</v>
      </c>
      <c r="Q11" s="119">
        <f t="shared" si="6"/>
        <v>1200000</v>
      </c>
      <c r="R11" s="11">
        <f t="shared" si="8"/>
        <v>1200000</v>
      </c>
      <c r="S11" s="11">
        <f t="shared" si="7"/>
        <v>0</v>
      </c>
      <c r="T11" s="11"/>
      <c r="U11" s="11"/>
      <c r="V11" s="11"/>
      <c r="W11" s="11"/>
      <c r="X11" s="11"/>
      <c r="Y11" s="11"/>
      <c r="Z11" s="18"/>
      <c r="AA11" s="11"/>
      <c r="AB11" s="11"/>
      <c r="AC11" s="11"/>
    </row>
    <row r="12" spans="2:29">
      <c r="D12" s="82"/>
      <c r="P12" s="186"/>
      <c r="Q12" s="186"/>
      <c r="R12" s="20">
        <f>SUM(R3:R11)</f>
        <v>1200000</v>
      </c>
      <c r="S12" s="20">
        <f>SUM(S3:S11)</f>
        <v>6008352</v>
      </c>
      <c r="T12" s="20">
        <f t="shared" ref="T12:AC12" si="9">SUM(T3:T5)</f>
        <v>0</v>
      </c>
      <c r="U12" s="20">
        <f t="shared" si="9"/>
        <v>0</v>
      </c>
      <c r="V12" s="20">
        <f t="shared" si="9"/>
        <v>0</v>
      </c>
      <c r="W12" s="20">
        <f t="shared" si="9"/>
        <v>0</v>
      </c>
      <c r="X12" s="20">
        <f t="shared" si="9"/>
        <v>0</v>
      </c>
      <c r="Y12" s="20">
        <f t="shared" si="9"/>
        <v>0</v>
      </c>
      <c r="Z12" s="20">
        <f t="shared" si="9"/>
        <v>0</v>
      </c>
      <c r="AA12" s="20">
        <f t="shared" si="9"/>
        <v>0</v>
      </c>
      <c r="AB12" s="20">
        <f t="shared" si="9"/>
        <v>0</v>
      </c>
      <c r="AC12" s="20">
        <f t="shared" si="9"/>
        <v>0</v>
      </c>
    </row>
    <row r="13" spans="2:29" s="24" customFormat="1"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3"/>
      <c r="Q13" s="83"/>
    </row>
    <row r="14" spans="2:29" s="24" customFormat="1"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3"/>
      <c r="Q14" s="83"/>
    </row>
    <row r="15" spans="2:29" s="24" customFormat="1" ht="15.75" thickBot="1"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3"/>
      <c r="Q15" s="83"/>
    </row>
    <row r="16" spans="2:29" s="24" customFormat="1" ht="34.5" customHeight="1" thickBot="1">
      <c r="C16" s="82"/>
      <c r="D16" s="82"/>
      <c r="E16" s="82"/>
      <c r="F16" s="82"/>
      <c r="G16" s="82"/>
      <c r="H16" s="82"/>
      <c r="I16" s="82"/>
      <c r="J16" s="85" t="s">
        <v>44</v>
      </c>
      <c r="K16" s="86" t="s">
        <v>0</v>
      </c>
      <c r="L16" s="87" t="s">
        <v>97</v>
      </c>
      <c r="M16" s="88" t="s">
        <v>95</v>
      </c>
      <c r="N16" s="82"/>
      <c r="O16" s="82"/>
      <c r="P16" s="83"/>
      <c r="Q16" s="83"/>
    </row>
    <row r="17" spans="3:17" s="24" customFormat="1">
      <c r="C17" s="82"/>
      <c r="D17" s="82"/>
      <c r="E17" s="82"/>
      <c r="F17" s="82"/>
      <c r="G17" s="82"/>
      <c r="H17" s="82"/>
      <c r="I17" s="82">
        <v>1</v>
      </c>
      <c r="J17" s="89" t="s">
        <v>6</v>
      </c>
      <c r="K17" s="43">
        <f>+R12</f>
        <v>1200000</v>
      </c>
      <c r="L17" s="103">
        <f>+'PRODUC ACUMULADA'!B5</f>
        <v>1698.66</v>
      </c>
      <c r="M17" s="44">
        <f>+K17/L17</f>
        <v>706.43919324644128</v>
      </c>
      <c r="N17" s="82"/>
      <c r="O17" s="82"/>
      <c r="P17" s="83"/>
      <c r="Q17" s="83"/>
    </row>
    <row r="18" spans="3:17" s="24" customFormat="1">
      <c r="C18" s="82"/>
      <c r="D18" s="82"/>
      <c r="E18" s="82"/>
      <c r="F18" s="82"/>
      <c r="G18" s="82"/>
      <c r="H18" s="82"/>
      <c r="I18" s="82">
        <v>2</v>
      </c>
      <c r="J18" s="92" t="s">
        <v>7</v>
      </c>
      <c r="K18" s="37">
        <f>+S12</f>
        <v>6008352</v>
      </c>
      <c r="L18" s="100">
        <f>+'PRODUC ACUMULADA'!B6</f>
        <v>1830.15</v>
      </c>
      <c r="M18" s="38">
        <f t="shared" ref="M18:M28" si="10">+K18/L18</f>
        <v>3282.9833620195063</v>
      </c>
      <c r="N18" s="82"/>
      <c r="O18" s="82"/>
      <c r="P18" s="83"/>
      <c r="Q18" s="83"/>
    </row>
    <row r="19" spans="3:17" s="24" customFormat="1">
      <c r="C19" s="82"/>
      <c r="D19" s="82"/>
      <c r="E19" s="82"/>
      <c r="F19" s="82"/>
      <c r="G19" s="82"/>
      <c r="H19" s="82"/>
      <c r="I19" s="82">
        <v>3</v>
      </c>
      <c r="J19" s="92" t="s">
        <v>8</v>
      </c>
      <c r="K19" s="37">
        <f>+T12</f>
        <v>0</v>
      </c>
      <c r="L19" s="100">
        <f>+'PRODUC ACUMULADA'!B7</f>
        <v>1898.77</v>
      </c>
      <c r="M19" s="38">
        <f t="shared" si="10"/>
        <v>0</v>
      </c>
      <c r="N19" s="82"/>
      <c r="O19" s="82"/>
      <c r="P19" s="83"/>
      <c r="Q19" s="83"/>
    </row>
    <row r="20" spans="3:17" s="24" customFormat="1">
      <c r="C20" s="82"/>
      <c r="D20" s="82"/>
      <c r="E20" s="82"/>
      <c r="F20" s="82"/>
      <c r="G20" s="82"/>
      <c r="H20" s="82"/>
      <c r="I20" s="82">
        <v>4</v>
      </c>
      <c r="J20" s="92" t="s">
        <v>9</v>
      </c>
      <c r="K20" s="37">
        <f>+U12</f>
        <v>0</v>
      </c>
      <c r="L20" s="100">
        <f>+'PRODUC ACUMULADA'!B8</f>
        <v>1800.91</v>
      </c>
      <c r="M20" s="38">
        <f t="shared" si="10"/>
        <v>0</v>
      </c>
      <c r="N20" s="82"/>
      <c r="O20" s="82"/>
      <c r="P20" s="83"/>
      <c r="Q20" s="83"/>
    </row>
    <row r="21" spans="3:17" s="24" customFormat="1">
      <c r="C21" s="82"/>
      <c r="D21" s="82"/>
      <c r="E21" s="82"/>
      <c r="F21" s="82"/>
      <c r="G21" s="82"/>
      <c r="H21" s="82"/>
      <c r="I21" s="82">
        <v>5</v>
      </c>
      <c r="J21" s="92" t="s">
        <v>10</v>
      </c>
      <c r="K21" s="37">
        <f>+V12</f>
        <v>0</v>
      </c>
      <c r="L21" s="100">
        <f>+'PRODUC ACUMULADA'!B9</f>
        <v>1964.1099999999997</v>
      </c>
      <c r="M21" s="38">
        <f t="shared" si="10"/>
        <v>0</v>
      </c>
      <c r="N21" s="82"/>
      <c r="O21" s="82"/>
      <c r="P21" s="83"/>
      <c r="Q21" s="83"/>
    </row>
    <row r="22" spans="3:17" s="24" customFormat="1">
      <c r="C22" s="82"/>
      <c r="D22" s="82"/>
      <c r="E22" s="82"/>
      <c r="F22" s="82"/>
      <c r="G22" s="82"/>
      <c r="H22" s="82"/>
      <c r="I22" s="82">
        <v>6</v>
      </c>
      <c r="J22" s="92" t="s">
        <v>11</v>
      </c>
      <c r="K22" s="37">
        <f>+W12</f>
        <v>0</v>
      </c>
      <c r="L22" s="100">
        <f>+'PRODUC ACUMULADA'!B10</f>
        <v>926.96999999999991</v>
      </c>
      <c r="M22" s="38">
        <f t="shared" si="10"/>
        <v>0</v>
      </c>
      <c r="N22" s="82"/>
      <c r="O22" s="82"/>
      <c r="P22" s="83"/>
      <c r="Q22" s="83"/>
    </row>
    <row r="23" spans="3:17" s="24" customFormat="1">
      <c r="C23" s="82"/>
      <c r="D23" s="82"/>
      <c r="E23" s="82"/>
      <c r="F23" s="82"/>
      <c r="G23" s="82"/>
      <c r="H23" s="82"/>
      <c r="I23" s="82">
        <v>7</v>
      </c>
      <c r="J23" s="92" t="s">
        <v>1</v>
      </c>
      <c r="K23" s="37">
        <f>+X12</f>
        <v>0</v>
      </c>
      <c r="L23" s="100">
        <f>+'PRODUC ACUMULADA'!B11</f>
        <v>0</v>
      </c>
      <c r="M23" s="38" t="e">
        <f t="shared" si="10"/>
        <v>#DIV/0!</v>
      </c>
      <c r="N23" s="82"/>
      <c r="O23" s="82"/>
      <c r="P23" s="83"/>
      <c r="Q23" s="83"/>
    </row>
    <row r="24" spans="3:17" s="24" customFormat="1">
      <c r="C24" s="82"/>
      <c r="D24" s="82"/>
      <c r="E24" s="82"/>
      <c r="F24" s="82"/>
      <c r="G24" s="82"/>
      <c r="H24" s="82"/>
      <c r="I24" s="82">
        <v>8</v>
      </c>
      <c r="J24" s="92" t="s">
        <v>2</v>
      </c>
      <c r="K24" s="37">
        <f>+Y12</f>
        <v>0</v>
      </c>
      <c r="L24" s="100">
        <f>+'PRODUC ACUMULADA'!B12</f>
        <v>0</v>
      </c>
      <c r="M24" s="38" t="e">
        <f t="shared" si="10"/>
        <v>#DIV/0!</v>
      </c>
      <c r="N24" s="82"/>
      <c r="O24" s="82"/>
      <c r="P24" s="83"/>
      <c r="Q24" s="83"/>
    </row>
    <row r="25" spans="3:17" s="24" customFormat="1">
      <c r="C25" s="82"/>
      <c r="D25" s="82"/>
      <c r="E25" s="82"/>
      <c r="F25" s="82"/>
      <c r="G25" s="82"/>
      <c r="H25" s="82"/>
      <c r="I25" s="82">
        <v>9</v>
      </c>
      <c r="J25" s="92" t="s">
        <v>3</v>
      </c>
      <c r="K25" s="37">
        <f>+Z12</f>
        <v>0</v>
      </c>
      <c r="L25" s="100">
        <f>+'PRODUC ACUMULADA'!B13</f>
        <v>0</v>
      </c>
      <c r="M25" s="38" t="e">
        <f t="shared" si="10"/>
        <v>#DIV/0!</v>
      </c>
      <c r="N25" s="82"/>
      <c r="O25" s="82"/>
      <c r="P25" s="83"/>
      <c r="Q25" s="83"/>
    </row>
    <row r="26" spans="3:17" s="24" customFormat="1">
      <c r="C26" s="82"/>
      <c r="D26" s="82"/>
      <c r="E26" s="82"/>
      <c r="F26" s="82"/>
      <c r="G26" s="82"/>
      <c r="H26" s="82"/>
      <c r="I26" s="82">
        <v>10</v>
      </c>
      <c r="J26" s="92" t="s">
        <v>12</v>
      </c>
      <c r="K26" s="37">
        <f>+AA12</f>
        <v>0</v>
      </c>
      <c r="L26" s="100">
        <f>+'PRODUC ACUMULADA'!B14</f>
        <v>0</v>
      </c>
      <c r="M26" s="38" t="e">
        <f t="shared" si="10"/>
        <v>#DIV/0!</v>
      </c>
      <c r="N26" s="82"/>
      <c r="O26" s="82"/>
      <c r="P26" s="83"/>
      <c r="Q26" s="83"/>
    </row>
    <row r="27" spans="3:17" s="24" customFormat="1">
      <c r="C27" s="82"/>
      <c r="D27" s="82"/>
      <c r="E27" s="82"/>
      <c r="F27" s="82"/>
      <c r="G27" s="82"/>
      <c r="H27" s="82"/>
      <c r="I27" s="82">
        <v>11</v>
      </c>
      <c r="J27" s="92" t="s">
        <v>4</v>
      </c>
      <c r="K27" s="37">
        <f>+AB12</f>
        <v>0</v>
      </c>
      <c r="L27" s="100">
        <f>+'PRODUC ACUMULADA'!B15</f>
        <v>0</v>
      </c>
      <c r="M27" s="38" t="e">
        <f t="shared" si="10"/>
        <v>#DIV/0!</v>
      </c>
      <c r="N27" s="82"/>
      <c r="O27" s="82"/>
      <c r="P27" s="83"/>
      <c r="Q27" s="83"/>
    </row>
    <row r="28" spans="3:17" s="24" customFormat="1" ht="15.75" thickBot="1">
      <c r="C28" s="82"/>
      <c r="D28" s="82"/>
      <c r="E28" s="82"/>
      <c r="F28" s="82"/>
      <c r="G28" s="82"/>
      <c r="H28" s="82"/>
      <c r="I28" s="82">
        <v>12</v>
      </c>
      <c r="J28" s="95" t="s">
        <v>5</v>
      </c>
      <c r="K28" s="41">
        <f>+AC12</f>
        <v>0</v>
      </c>
      <c r="L28" s="102">
        <f>+'PRODUC ACUMULADA'!B16</f>
        <v>0</v>
      </c>
      <c r="M28" s="42" t="e">
        <f t="shared" si="10"/>
        <v>#DIV/0!</v>
      </c>
      <c r="N28" s="82"/>
      <c r="O28" s="82"/>
      <c r="P28" s="83"/>
      <c r="Q28" s="83"/>
    </row>
    <row r="29" spans="3:17" s="24" customFormat="1" ht="15.75" thickBot="1">
      <c r="C29" s="82"/>
      <c r="D29" s="82"/>
      <c r="E29" s="82"/>
      <c r="F29" s="82"/>
      <c r="G29" s="82"/>
      <c r="H29" s="82"/>
      <c r="I29" s="82"/>
      <c r="J29" s="85" t="s">
        <v>0</v>
      </c>
      <c r="K29" s="98">
        <f>SUM(K17:K28)</f>
        <v>7208352</v>
      </c>
      <c r="L29" s="98">
        <f>SUM(L17:L28)</f>
        <v>10119.569999999998</v>
      </c>
      <c r="M29" s="99" t="e">
        <f>SUM(M17:M28)</f>
        <v>#DIV/0!</v>
      </c>
      <c r="N29" s="82"/>
      <c r="O29" s="82"/>
      <c r="P29" s="83"/>
      <c r="Q29" s="83"/>
    </row>
    <row r="30" spans="3:17" s="24" customFormat="1"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3"/>
      <c r="Q30" s="83"/>
    </row>
    <row r="31" spans="3:17" s="24" customFormat="1"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3"/>
      <c r="Q31" s="83"/>
    </row>
    <row r="32" spans="3:17" s="24" customFormat="1"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3"/>
      <c r="Q32" s="83"/>
    </row>
    <row r="33" spans="3:17" s="24" customFormat="1"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3"/>
      <c r="Q33" s="83"/>
    </row>
    <row r="34" spans="3:17" s="24" customFormat="1"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3"/>
      <c r="Q34" s="83"/>
    </row>
    <row r="35" spans="3:17" s="24" customFormat="1"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3"/>
      <c r="Q35" s="83"/>
    </row>
    <row r="36" spans="3:17" s="24" customFormat="1"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3"/>
      <c r="Q36" s="83"/>
    </row>
    <row r="37" spans="3:17" s="24" customFormat="1"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3"/>
      <c r="Q37" s="83"/>
    </row>
    <row r="38" spans="3:17" s="24" customFormat="1"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3"/>
      <c r="Q38" s="83"/>
    </row>
    <row r="39" spans="3:17" s="24" customFormat="1"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3"/>
      <c r="Q39" s="83"/>
    </row>
    <row r="40" spans="3:17" s="24" customFormat="1"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3"/>
      <c r="Q40" s="83"/>
    </row>
    <row r="41" spans="3:17" s="24" customFormat="1"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3"/>
      <c r="Q41" s="83"/>
    </row>
    <row r="42" spans="3:17" s="24" customFormat="1"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3"/>
      <c r="Q42" s="83"/>
    </row>
    <row r="43" spans="3:17" s="24" customFormat="1"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3"/>
      <c r="Q43" s="83"/>
    </row>
    <row r="44" spans="3:17" s="24" customFormat="1"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3"/>
      <c r="Q44" s="83"/>
    </row>
    <row r="45" spans="3:17" s="24" customFormat="1"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3"/>
      <c r="Q45" s="83"/>
    </row>
    <row r="46" spans="3:17" s="24" customFormat="1"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3"/>
      <c r="Q46" s="83"/>
    </row>
    <row r="47" spans="3:17" s="24" customFormat="1"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3"/>
      <c r="Q47" s="83"/>
    </row>
    <row r="48" spans="3:17" s="24" customFormat="1"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3"/>
      <c r="Q48" s="83"/>
    </row>
    <row r="49" spans="3:17" s="24" customFormat="1"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3"/>
      <c r="Q49" s="83"/>
    </row>
    <row r="50" spans="3:17" s="24" customFormat="1"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3"/>
      <c r="Q50" s="83"/>
    </row>
    <row r="51" spans="3:17" s="24" customFormat="1"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3"/>
      <c r="Q51" s="83"/>
    </row>
    <row r="52" spans="3:17" s="24" customFormat="1"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3"/>
      <c r="Q52" s="83"/>
    </row>
    <row r="53" spans="3:17" s="24" customFormat="1"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3"/>
      <c r="Q53" s="83"/>
    </row>
    <row r="54" spans="3:17" s="24" customFormat="1"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3"/>
      <c r="Q54" s="83"/>
    </row>
    <row r="55" spans="3:17" s="24" customFormat="1"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3"/>
      <c r="Q55" s="83"/>
    </row>
    <row r="56" spans="3:17" s="24" customFormat="1"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3"/>
      <c r="Q56" s="83"/>
    </row>
    <row r="57" spans="3:17" s="24" customFormat="1"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3"/>
      <c r="Q57" s="83"/>
    </row>
    <row r="58" spans="3:17" s="24" customFormat="1"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3"/>
      <c r="Q58" s="83"/>
    </row>
    <row r="59" spans="3:17" s="24" customFormat="1"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3"/>
      <c r="Q59" s="83"/>
    </row>
    <row r="60" spans="3:17" s="24" customFormat="1"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3"/>
      <c r="Q60" s="83"/>
    </row>
    <row r="61" spans="3:17" s="24" customFormat="1"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3"/>
      <c r="Q61" s="83"/>
    </row>
    <row r="62" spans="3:17" s="24" customFormat="1"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3"/>
      <c r="Q62" s="83"/>
    </row>
    <row r="63" spans="3:17" s="24" customFormat="1"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3"/>
      <c r="Q63" s="83"/>
    </row>
    <row r="64" spans="3:17" s="24" customFormat="1"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3"/>
      <c r="Q64" s="83"/>
    </row>
    <row r="65" spans="3:17" s="24" customFormat="1"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3"/>
      <c r="Q65" s="83"/>
    </row>
    <row r="66" spans="3:17" s="24" customFormat="1"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3"/>
      <c r="Q66" s="83"/>
    </row>
    <row r="67" spans="3:17" s="24" customFormat="1"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3"/>
      <c r="Q67" s="83"/>
    </row>
    <row r="68" spans="3:17" s="24" customFormat="1"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3"/>
      <c r="Q68" s="83"/>
    </row>
    <row r="69" spans="3:17" s="24" customFormat="1"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3"/>
      <c r="Q69" s="83"/>
    </row>
    <row r="70" spans="3:17" s="24" customFormat="1"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3"/>
      <c r="Q70" s="83"/>
    </row>
    <row r="71" spans="3:17" s="24" customFormat="1"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3"/>
      <c r="Q71" s="83"/>
    </row>
    <row r="72" spans="3:17" s="24" customFormat="1"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3"/>
      <c r="Q72" s="83"/>
    </row>
    <row r="73" spans="3:17" s="24" customFormat="1"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3"/>
      <c r="Q73" s="83"/>
    </row>
    <row r="74" spans="3:17" s="24" customFormat="1"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3"/>
      <c r="Q74" s="83"/>
    </row>
    <row r="75" spans="3:17" s="24" customFormat="1"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3"/>
      <c r="Q75" s="83"/>
    </row>
    <row r="76" spans="3:17" s="24" customFormat="1"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3"/>
      <c r="Q76" s="83"/>
    </row>
    <row r="77" spans="3:17" s="24" customFormat="1"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3"/>
      <c r="Q77" s="83"/>
    </row>
    <row r="78" spans="3:17" s="24" customFormat="1"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3"/>
      <c r="Q78" s="83"/>
    </row>
    <row r="79" spans="3:17" s="24" customFormat="1"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3"/>
      <c r="Q79" s="83"/>
    </row>
    <row r="80" spans="3:17" s="24" customFormat="1"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3"/>
      <c r="Q80" s="83"/>
    </row>
    <row r="81" spans="3:17" s="24" customFormat="1"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3"/>
      <c r="Q81" s="83"/>
    </row>
    <row r="82" spans="3:17" s="24" customFormat="1"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3"/>
      <c r="Q82" s="83"/>
    </row>
    <row r="83" spans="3:17" s="24" customFormat="1"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3"/>
      <c r="Q83" s="83"/>
    </row>
    <row r="84" spans="3:17" s="24" customFormat="1"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3"/>
      <c r="Q84" s="83"/>
    </row>
    <row r="85" spans="3:17" s="24" customFormat="1"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3"/>
      <c r="Q85" s="83"/>
    </row>
    <row r="86" spans="3:17" s="24" customFormat="1"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3"/>
      <c r="Q86" s="83"/>
    </row>
    <row r="87" spans="3:17" s="24" customFormat="1"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3"/>
      <c r="Q87" s="83"/>
    </row>
    <row r="88" spans="3:17" s="24" customFormat="1"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3"/>
      <c r="Q88" s="83"/>
    </row>
    <row r="89" spans="3:17" s="24" customFormat="1"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3"/>
      <c r="Q89" s="83"/>
    </row>
    <row r="90" spans="3:17" s="24" customFormat="1"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3"/>
      <c r="Q90" s="83"/>
    </row>
    <row r="91" spans="3:17" s="24" customFormat="1"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3"/>
      <c r="Q91" s="83"/>
    </row>
    <row r="92" spans="3:17" s="24" customFormat="1"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3"/>
      <c r="Q92" s="83"/>
    </row>
    <row r="93" spans="3:17" s="24" customFormat="1"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3"/>
      <c r="Q93" s="83"/>
    </row>
    <row r="94" spans="3:17" s="24" customFormat="1"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3"/>
      <c r="Q94" s="83"/>
    </row>
    <row r="95" spans="3:17" s="24" customFormat="1"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3"/>
      <c r="Q95" s="83"/>
    </row>
    <row r="96" spans="3:17" s="24" customFormat="1"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3"/>
      <c r="Q96" s="83"/>
    </row>
    <row r="97" spans="3:17" s="24" customFormat="1"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3"/>
      <c r="Q97" s="83"/>
    </row>
    <row r="98" spans="3:17" s="24" customFormat="1"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3"/>
      <c r="Q98" s="83"/>
    </row>
    <row r="99" spans="3:17" s="24" customFormat="1"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3"/>
      <c r="Q99" s="83"/>
    </row>
    <row r="100" spans="3:17" s="24" customFormat="1"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3"/>
      <c r="Q100" s="83"/>
    </row>
    <row r="101" spans="3:17" s="24" customFormat="1"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3"/>
      <c r="Q101" s="83"/>
    </row>
    <row r="102" spans="3:17" s="24" customFormat="1"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3"/>
      <c r="Q102" s="83"/>
    </row>
    <row r="103" spans="3:17" s="24" customFormat="1"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3"/>
      <c r="Q103" s="83"/>
    </row>
    <row r="104" spans="3:17" s="24" customFormat="1"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3"/>
      <c r="Q104" s="83"/>
    </row>
    <row r="105" spans="3:17" s="24" customFormat="1"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3"/>
      <c r="Q105" s="83"/>
    </row>
    <row r="106" spans="3:17" s="24" customFormat="1"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3"/>
      <c r="Q106" s="83"/>
    </row>
    <row r="107" spans="3:17" s="24" customFormat="1"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3"/>
      <c r="Q107" s="83"/>
    </row>
    <row r="108" spans="3:17" s="24" customFormat="1"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3"/>
      <c r="Q108" s="83"/>
    </row>
    <row r="109" spans="3:17" s="24" customFormat="1"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3"/>
      <c r="Q109" s="83"/>
    </row>
    <row r="110" spans="3:17" s="24" customFormat="1"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3"/>
      <c r="Q110" s="83"/>
    </row>
    <row r="111" spans="3:17" s="24" customFormat="1"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3"/>
      <c r="Q111" s="83"/>
    </row>
    <row r="112" spans="3:17" s="24" customFormat="1"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3"/>
      <c r="Q112" s="83"/>
    </row>
    <row r="113" spans="3:17" s="24" customFormat="1"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3"/>
      <c r="Q113" s="83"/>
    </row>
    <row r="114" spans="3:17" s="24" customFormat="1"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3"/>
      <c r="Q114" s="83"/>
    </row>
    <row r="115" spans="3:17" s="24" customFormat="1"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3"/>
      <c r="Q115" s="83"/>
    </row>
    <row r="116" spans="3:17" s="24" customFormat="1"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3"/>
      <c r="Q116" s="83"/>
    </row>
    <row r="117" spans="3:17" s="24" customFormat="1"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3"/>
      <c r="Q117" s="83"/>
    </row>
    <row r="118" spans="3:17" s="24" customFormat="1"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3"/>
      <c r="Q118" s="83"/>
    </row>
    <row r="119" spans="3:17" s="24" customFormat="1"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3"/>
      <c r="Q119" s="83"/>
    </row>
    <row r="120" spans="3:17" s="24" customFormat="1"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3"/>
      <c r="Q120" s="83"/>
    </row>
    <row r="121" spans="3:17" s="24" customFormat="1"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3"/>
      <c r="Q121" s="83"/>
    </row>
    <row r="122" spans="3:17" s="24" customFormat="1"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3"/>
      <c r="Q122" s="83"/>
    </row>
    <row r="123" spans="3:17" s="24" customFormat="1"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3"/>
      <c r="Q123" s="83"/>
    </row>
    <row r="124" spans="3:17" s="24" customFormat="1"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3"/>
      <c r="Q124" s="83"/>
    </row>
    <row r="125" spans="3:17" s="24" customFormat="1"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3"/>
      <c r="Q125" s="83"/>
    </row>
    <row r="126" spans="3:17" s="24" customFormat="1"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3"/>
      <c r="Q126" s="83"/>
    </row>
    <row r="127" spans="3:17" s="24" customFormat="1"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3"/>
      <c r="Q127" s="83"/>
    </row>
    <row r="128" spans="3:17" s="24" customFormat="1"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3"/>
      <c r="Q128" s="83"/>
    </row>
    <row r="129" spans="3:17" s="24" customFormat="1"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3"/>
      <c r="Q129" s="83"/>
    </row>
    <row r="130" spans="3:17" s="24" customFormat="1"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3"/>
      <c r="Q130" s="83"/>
    </row>
    <row r="131" spans="3:17" s="24" customFormat="1"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3"/>
      <c r="Q131" s="83"/>
    </row>
    <row r="132" spans="3:17" s="24" customFormat="1"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3"/>
      <c r="Q132" s="83"/>
    </row>
    <row r="133" spans="3:17" s="24" customFormat="1"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3"/>
      <c r="Q133" s="83"/>
    </row>
    <row r="134" spans="3:17" s="24" customFormat="1"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3"/>
      <c r="Q134" s="83"/>
    </row>
    <row r="135" spans="3:17" s="24" customFormat="1"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3"/>
      <c r="Q135" s="83"/>
    </row>
    <row r="136" spans="3:17" s="24" customFormat="1"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3"/>
      <c r="Q136" s="83"/>
    </row>
    <row r="137" spans="3:17" s="24" customFormat="1"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3"/>
      <c r="Q137" s="83"/>
    </row>
    <row r="138" spans="3:17" s="24" customFormat="1"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3"/>
      <c r="Q138" s="83"/>
    </row>
    <row r="139" spans="3:17" s="24" customFormat="1"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3"/>
      <c r="Q139" s="83"/>
    </row>
    <row r="140" spans="3:17" s="24" customFormat="1"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3"/>
      <c r="Q140" s="83"/>
    </row>
    <row r="141" spans="3:17" s="24" customFormat="1"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3"/>
      <c r="Q141" s="83"/>
    </row>
    <row r="142" spans="3:17" s="24" customFormat="1"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3"/>
      <c r="Q142" s="83"/>
    </row>
    <row r="143" spans="3:17" s="24" customFormat="1"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3"/>
      <c r="Q143" s="83"/>
    </row>
    <row r="144" spans="3:17" s="24" customFormat="1"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3"/>
      <c r="Q144" s="83"/>
    </row>
    <row r="145" spans="3:17" s="24" customFormat="1"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3"/>
      <c r="Q145" s="83"/>
    </row>
    <row r="146" spans="3:17" s="24" customFormat="1"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3"/>
      <c r="Q146" s="83"/>
    </row>
    <row r="147" spans="3:17" s="24" customFormat="1"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3"/>
      <c r="Q147" s="83"/>
    </row>
    <row r="148" spans="3:17" s="24" customFormat="1"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3"/>
      <c r="Q148" s="83"/>
    </row>
    <row r="149" spans="3:17" s="24" customFormat="1"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3"/>
      <c r="Q149" s="83"/>
    </row>
    <row r="150" spans="3:17" s="24" customFormat="1"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3"/>
      <c r="Q150" s="83"/>
    </row>
    <row r="151" spans="3:17" s="24" customFormat="1"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3"/>
      <c r="Q151" s="83"/>
    </row>
    <row r="152" spans="3:17" s="24" customFormat="1"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3"/>
      <c r="Q152" s="83"/>
    </row>
    <row r="153" spans="3:17" s="24" customFormat="1"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3"/>
      <c r="Q153" s="83"/>
    </row>
    <row r="154" spans="3:17" s="24" customFormat="1"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3"/>
      <c r="Q154" s="83"/>
    </row>
    <row r="155" spans="3:17" s="24" customFormat="1"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3"/>
      <c r="Q155" s="83"/>
    </row>
    <row r="156" spans="3:17" s="24" customFormat="1"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3"/>
      <c r="Q156" s="83"/>
    </row>
    <row r="157" spans="3:17" s="24" customFormat="1"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3"/>
      <c r="Q157" s="83"/>
    </row>
    <row r="158" spans="3:17" s="24" customFormat="1"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3"/>
      <c r="Q158" s="83"/>
    </row>
    <row r="159" spans="3:17" s="24" customFormat="1"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3"/>
      <c r="Q159" s="83"/>
    </row>
    <row r="160" spans="3:17" s="24" customFormat="1"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3"/>
      <c r="Q160" s="83"/>
    </row>
    <row r="161" spans="3:17" s="24" customFormat="1"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3"/>
      <c r="Q161" s="83"/>
    </row>
    <row r="162" spans="3:17" s="24" customFormat="1"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3"/>
      <c r="Q162" s="83"/>
    </row>
    <row r="163" spans="3:17" s="24" customFormat="1"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3"/>
      <c r="Q163" s="83"/>
    </row>
    <row r="164" spans="3:17" s="24" customFormat="1"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3"/>
      <c r="Q164" s="83"/>
    </row>
    <row r="165" spans="3:17" s="24" customFormat="1"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3"/>
      <c r="Q165" s="83"/>
    </row>
    <row r="166" spans="3:17" s="24" customFormat="1"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3"/>
      <c r="Q166" s="83"/>
    </row>
    <row r="167" spans="3:17" s="24" customFormat="1"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3"/>
      <c r="Q167" s="83"/>
    </row>
    <row r="168" spans="3:17" s="24" customFormat="1"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3"/>
      <c r="Q168" s="83"/>
    </row>
    <row r="169" spans="3:17" s="24" customFormat="1"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3"/>
      <c r="Q169" s="83"/>
    </row>
    <row r="170" spans="3:17" s="24" customFormat="1"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3"/>
      <c r="Q170" s="83"/>
    </row>
    <row r="171" spans="3:17" s="24" customFormat="1"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3"/>
      <c r="Q171" s="83"/>
    </row>
    <row r="172" spans="3:17" s="24" customFormat="1"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3"/>
      <c r="Q172" s="83"/>
    </row>
    <row r="173" spans="3:17" s="24" customFormat="1"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3"/>
      <c r="Q173" s="83"/>
    </row>
    <row r="174" spans="3:17" s="24" customFormat="1"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3"/>
      <c r="Q174" s="83"/>
    </row>
    <row r="175" spans="3:17" s="24" customFormat="1"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3"/>
      <c r="Q175" s="83"/>
    </row>
    <row r="176" spans="3:17" s="24" customFormat="1"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3"/>
      <c r="Q176" s="83"/>
    </row>
    <row r="177" spans="3:17" s="24" customFormat="1"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3"/>
      <c r="Q177" s="83"/>
    </row>
    <row r="178" spans="3:17" s="24" customFormat="1"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3"/>
      <c r="Q178" s="83"/>
    </row>
    <row r="179" spans="3:17" s="24" customFormat="1"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3"/>
      <c r="Q179" s="83"/>
    </row>
    <row r="180" spans="3:17" s="24" customFormat="1"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3"/>
      <c r="Q180" s="83"/>
    </row>
    <row r="181" spans="3:17" s="24" customFormat="1"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3"/>
      <c r="Q181" s="83"/>
    </row>
    <row r="182" spans="3:17" s="24" customFormat="1"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3"/>
      <c r="Q182" s="83"/>
    </row>
    <row r="183" spans="3:17" s="24" customFormat="1"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3"/>
      <c r="Q183" s="83"/>
    </row>
    <row r="184" spans="3:17" s="24" customFormat="1"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3"/>
      <c r="Q184" s="83"/>
    </row>
    <row r="185" spans="3:17" s="24" customFormat="1"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3"/>
      <c r="Q185" s="83"/>
    </row>
    <row r="186" spans="3:17" s="24" customFormat="1"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3"/>
      <c r="Q186" s="83"/>
    </row>
    <row r="187" spans="3:17" s="24" customFormat="1"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3"/>
      <c r="Q187" s="83"/>
    </row>
    <row r="188" spans="3:17" s="24" customFormat="1"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3"/>
      <c r="Q188" s="83"/>
    </row>
    <row r="189" spans="3:17" s="24" customFormat="1"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3"/>
      <c r="Q189" s="83"/>
    </row>
    <row r="190" spans="3:17" s="24" customFormat="1"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3"/>
      <c r="Q190" s="83"/>
    </row>
    <row r="191" spans="3:17" s="24" customFormat="1"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3"/>
      <c r="Q191" s="83"/>
    </row>
    <row r="192" spans="3:17" s="24" customFormat="1"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3"/>
      <c r="Q192" s="83"/>
    </row>
    <row r="193" spans="3:17" s="24" customFormat="1"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3"/>
      <c r="Q193" s="83"/>
    </row>
    <row r="194" spans="3:17" s="24" customFormat="1"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3"/>
      <c r="Q194" s="83"/>
    </row>
    <row r="195" spans="3:17" s="24" customFormat="1"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3"/>
      <c r="Q195" s="83"/>
    </row>
    <row r="196" spans="3:17" s="24" customFormat="1"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3"/>
      <c r="Q196" s="83"/>
    </row>
    <row r="197" spans="3:17" s="24" customFormat="1"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3"/>
      <c r="Q197" s="83"/>
    </row>
    <row r="198" spans="3:17" s="24" customFormat="1"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3"/>
      <c r="Q198" s="83"/>
    </row>
    <row r="199" spans="3:17" s="24" customFormat="1"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3"/>
      <c r="Q199" s="83"/>
    </row>
    <row r="200" spans="3:17" s="24" customFormat="1"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3"/>
      <c r="Q200" s="83"/>
    </row>
    <row r="201" spans="3:17" s="24" customFormat="1"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3"/>
      <c r="Q201" s="83"/>
    </row>
    <row r="202" spans="3:17" s="24" customFormat="1"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3"/>
      <c r="Q202" s="83"/>
    </row>
    <row r="203" spans="3:17" s="24" customFormat="1"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3"/>
      <c r="Q203" s="83"/>
    </row>
    <row r="204" spans="3:17" s="24" customFormat="1"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3"/>
      <c r="Q204" s="83"/>
    </row>
    <row r="205" spans="3:17" s="24" customFormat="1"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3"/>
      <c r="Q205" s="83"/>
    </row>
    <row r="206" spans="3:17" s="24" customFormat="1"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3"/>
      <c r="Q206" s="83"/>
    </row>
    <row r="207" spans="3:17" s="24" customFormat="1"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3"/>
      <c r="Q207" s="83"/>
    </row>
    <row r="208" spans="3:17" s="24" customFormat="1"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3"/>
      <c r="Q208" s="83"/>
    </row>
    <row r="209" spans="3:17" s="24" customFormat="1"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3"/>
      <c r="Q209" s="83"/>
    </row>
    <row r="210" spans="3:17" s="24" customFormat="1"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3"/>
      <c r="Q210" s="83"/>
    </row>
    <row r="211" spans="3:17" s="24" customFormat="1"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3"/>
      <c r="Q211" s="83"/>
    </row>
    <row r="212" spans="3:17" s="24" customFormat="1"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3"/>
      <c r="Q212" s="83"/>
    </row>
    <row r="213" spans="3:17" s="24" customFormat="1"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3"/>
      <c r="Q213" s="83"/>
    </row>
    <row r="214" spans="3:17" s="24" customFormat="1"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3"/>
      <c r="Q214" s="83"/>
    </row>
    <row r="215" spans="3:17" s="24" customFormat="1"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3"/>
      <c r="Q215" s="83"/>
    </row>
    <row r="216" spans="3:17" s="24" customFormat="1"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3"/>
      <c r="Q216" s="83"/>
    </row>
    <row r="217" spans="3:17" s="24" customFormat="1"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3"/>
      <c r="Q217" s="83"/>
    </row>
    <row r="218" spans="3:17" s="24" customFormat="1"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3"/>
      <c r="Q218" s="83"/>
    </row>
    <row r="219" spans="3:17" s="24" customFormat="1"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3"/>
      <c r="Q219" s="83"/>
    </row>
    <row r="220" spans="3:17" s="24" customFormat="1"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3"/>
      <c r="Q220" s="83"/>
    </row>
    <row r="221" spans="3:17" s="24" customFormat="1"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3"/>
      <c r="Q221" s="83"/>
    </row>
    <row r="222" spans="3:17" s="24" customFormat="1"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3"/>
      <c r="Q222" s="83"/>
    </row>
    <row r="223" spans="3:17" s="24" customFormat="1"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3"/>
      <c r="Q223" s="83"/>
    </row>
    <row r="224" spans="3:17" s="24" customFormat="1"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3"/>
      <c r="Q224" s="83"/>
    </row>
    <row r="225" spans="3:17" s="24" customFormat="1"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3"/>
      <c r="Q225" s="83"/>
    </row>
    <row r="226" spans="3:17" s="24" customFormat="1"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3"/>
      <c r="Q226" s="83"/>
    </row>
    <row r="227" spans="3:17" s="24" customFormat="1"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3"/>
      <c r="Q227" s="83"/>
    </row>
    <row r="228" spans="3:17" s="24" customFormat="1"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3"/>
      <c r="Q228" s="83"/>
    </row>
    <row r="229" spans="3:17" s="24" customFormat="1"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3"/>
      <c r="Q229" s="83"/>
    </row>
    <row r="230" spans="3:17" s="24" customFormat="1"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3"/>
      <c r="Q230" s="83"/>
    </row>
    <row r="231" spans="3:17" s="24" customFormat="1"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3"/>
      <c r="Q231" s="83"/>
    </row>
    <row r="232" spans="3:17" s="24" customFormat="1"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3"/>
      <c r="Q232" s="83"/>
    </row>
    <row r="233" spans="3:17" s="24" customFormat="1"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3"/>
      <c r="Q233" s="83"/>
    </row>
    <row r="234" spans="3:17" s="24" customFormat="1"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3"/>
      <c r="Q234" s="83"/>
    </row>
    <row r="235" spans="3:17" s="24" customFormat="1"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3"/>
      <c r="Q235" s="83"/>
    </row>
    <row r="236" spans="3:17" s="24" customFormat="1"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3"/>
      <c r="Q236" s="83"/>
    </row>
    <row r="237" spans="3:17" s="24" customFormat="1"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3"/>
      <c r="Q237" s="83"/>
    </row>
    <row r="238" spans="3:17" s="24" customFormat="1"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3"/>
      <c r="Q238" s="83"/>
    </row>
    <row r="239" spans="3:17" s="24" customFormat="1"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3"/>
      <c r="Q239" s="83"/>
    </row>
    <row r="240" spans="3:17" s="24" customFormat="1">
      <c r="C240" s="82"/>
      <c r="D240" s="3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3"/>
      <c r="Q240" s="83"/>
    </row>
    <row r="241" spans="3:17" s="24" customFormat="1">
      <c r="C241" s="82"/>
      <c r="D241" s="3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3"/>
      <c r="Q241" s="83"/>
    </row>
    <row r="242" spans="3:17" s="24" customFormat="1">
      <c r="C242" s="82"/>
      <c r="D242" s="3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3"/>
      <c r="Q242" s="83"/>
    </row>
    <row r="243" spans="3:17" s="24" customFormat="1">
      <c r="C243" s="82"/>
      <c r="D243" s="3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3"/>
      <c r="Q243" s="83"/>
    </row>
    <row r="244" spans="3:17" s="24" customFormat="1">
      <c r="C244" s="82"/>
      <c r="D244" s="3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3"/>
      <c r="Q244" s="83"/>
    </row>
    <row r="245" spans="3:17" s="24" customFormat="1">
      <c r="C245" s="82"/>
      <c r="D245" s="3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3"/>
      <c r="Q245" s="83"/>
    </row>
    <row r="246" spans="3:17" s="24" customFormat="1">
      <c r="C246" s="82"/>
      <c r="D246" s="3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3"/>
      <c r="Q246" s="83"/>
    </row>
    <row r="247" spans="3:17" s="24" customFormat="1">
      <c r="C247" s="82"/>
      <c r="D247" s="3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3"/>
      <c r="Q247" s="83"/>
    </row>
    <row r="248" spans="3:17" s="24" customFormat="1">
      <c r="C248" s="82"/>
      <c r="D248" s="3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3"/>
      <c r="Q248" s="83"/>
    </row>
    <row r="249" spans="3:17" s="24" customFormat="1">
      <c r="C249" s="82"/>
      <c r="D249" s="3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3"/>
      <c r="Q249" s="83"/>
    </row>
    <row r="250" spans="3:17" s="24" customFormat="1">
      <c r="C250" s="82"/>
      <c r="D250" s="3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3"/>
      <c r="Q250" s="83"/>
    </row>
    <row r="251" spans="3:17" s="24" customFormat="1">
      <c r="C251" s="82"/>
      <c r="D251" s="3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3"/>
      <c r="Q251" s="83"/>
    </row>
    <row r="252" spans="3:17" s="24" customFormat="1">
      <c r="C252" s="82"/>
      <c r="D252" s="3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3"/>
      <c r="Q252" s="83"/>
    </row>
    <row r="253" spans="3:17" s="24" customFormat="1">
      <c r="C253" s="82"/>
      <c r="D253" s="3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3"/>
      <c r="Q253" s="83"/>
    </row>
    <row r="254" spans="3:17" s="24" customFormat="1">
      <c r="C254" s="82"/>
      <c r="D254" s="3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3"/>
      <c r="Q254" s="83"/>
    </row>
    <row r="255" spans="3:17" s="24" customFormat="1">
      <c r="C255" s="82"/>
      <c r="D255" s="3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3"/>
      <c r="Q255" s="83"/>
    </row>
    <row r="256" spans="3:17" s="24" customFormat="1">
      <c r="C256" s="82"/>
      <c r="D256" s="3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3"/>
      <c r="Q256" s="83"/>
    </row>
    <row r="257" spans="3:17" s="24" customFormat="1">
      <c r="C257" s="82"/>
      <c r="D257" s="3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3"/>
      <c r="Q257" s="83"/>
    </row>
    <row r="258" spans="3:17" s="24" customFormat="1">
      <c r="C258" s="82"/>
      <c r="D258" s="3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3"/>
      <c r="Q258" s="83"/>
    </row>
    <row r="259" spans="3:17" s="24" customFormat="1">
      <c r="C259" s="82"/>
      <c r="D259" s="3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3"/>
      <c r="Q259" s="83"/>
    </row>
    <row r="260" spans="3:17" s="24" customFormat="1">
      <c r="C260" s="82"/>
      <c r="D260" s="3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3"/>
      <c r="Q260" s="83"/>
    </row>
    <row r="261" spans="3:17" s="24" customFormat="1">
      <c r="C261" s="82"/>
      <c r="D261" s="3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3"/>
      <c r="Q261" s="83"/>
    </row>
    <row r="262" spans="3:17" s="24" customFormat="1">
      <c r="C262" s="82"/>
      <c r="D262" s="3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3"/>
      <c r="Q262" s="83"/>
    </row>
    <row r="263" spans="3:17" s="24" customFormat="1">
      <c r="C263" s="82"/>
      <c r="D263" s="3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3"/>
      <c r="Q263" s="83"/>
    </row>
    <row r="264" spans="3:17" s="24" customFormat="1">
      <c r="C264" s="82"/>
      <c r="D264" s="3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3"/>
      <c r="Q264" s="83"/>
    </row>
    <row r="265" spans="3:17" s="24" customFormat="1">
      <c r="C265" s="82"/>
      <c r="D265" s="3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3"/>
      <c r="Q265" s="83"/>
    </row>
    <row r="266" spans="3:17" s="24" customFormat="1">
      <c r="C266" s="82"/>
      <c r="D266" s="3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3"/>
      <c r="Q266" s="83"/>
    </row>
    <row r="267" spans="3:17" s="24" customFormat="1">
      <c r="C267" s="82"/>
      <c r="D267" s="3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3"/>
      <c r="Q267" s="83"/>
    </row>
    <row r="268" spans="3:17">
      <c r="P268" s="17"/>
      <c r="Q268" s="186"/>
    </row>
    <row r="269" spans="3:17">
      <c r="P269" s="17"/>
      <c r="Q269" s="186"/>
    </row>
    <row r="270" spans="3:17">
      <c r="P270" s="17"/>
      <c r="Q270" s="186"/>
    </row>
    <row r="271" spans="3:17">
      <c r="P271" s="17"/>
      <c r="Q271" s="186"/>
    </row>
    <row r="272" spans="3:17">
      <c r="P272" s="17"/>
      <c r="Q272" s="186"/>
    </row>
    <row r="273" spans="16:17">
      <c r="P273" s="17"/>
      <c r="Q273" s="186"/>
    </row>
    <row r="274" spans="16:17">
      <c r="P274" s="17"/>
      <c r="Q274" s="186"/>
    </row>
    <row r="275" spans="16:17">
      <c r="P275" s="17"/>
      <c r="Q275" s="186"/>
    </row>
    <row r="276" spans="16:17">
      <c r="P276" s="17"/>
      <c r="Q276" s="186"/>
    </row>
    <row r="277" spans="16:17">
      <c r="P277" s="17"/>
      <c r="Q277" s="186"/>
    </row>
    <row r="278" spans="16:17">
      <c r="P278" s="17"/>
      <c r="Q278" s="186"/>
    </row>
    <row r="279" spans="16:17">
      <c r="P279" s="17"/>
      <c r="Q279" s="186"/>
    </row>
    <row r="280" spans="16:17">
      <c r="P280" s="17"/>
      <c r="Q280" s="186"/>
    </row>
    <row r="281" spans="16:17">
      <c r="P281" s="17"/>
      <c r="Q281" s="186"/>
    </row>
    <row r="282" spans="16:17">
      <c r="P282" s="17"/>
      <c r="Q282" s="186"/>
    </row>
    <row r="283" spans="16:17">
      <c r="P283" s="17"/>
      <c r="Q283" s="186"/>
    </row>
    <row r="284" spans="16:17">
      <c r="P284" s="17"/>
      <c r="Q284" s="186"/>
    </row>
    <row r="285" spans="16:17">
      <c r="P285" s="17"/>
      <c r="Q285" s="186"/>
    </row>
    <row r="286" spans="16:17">
      <c r="P286" s="17"/>
      <c r="Q286" s="186"/>
    </row>
    <row r="287" spans="16:17">
      <c r="P287" s="17"/>
      <c r="Q287" s="186"/>
    </row>
    <row r="288" spans="16:17">
      <c r="P288" s="17"/>
      <c r="Q288" s="186"/>
    </row>
    <row r="289" spans="16:17">
      <c r="P289" s="17"/>
      <c r="Q289" s="186"/>
    </row>
    <row r="290" spans="16:17">
      <c r="P290" s="17"/>
      <c r="Q290" s="186"/>
    </row>
    <row r="291" spans="16:17">
      <c r="P291" s="17"/>
      <c r="Q291" s="186"/>
    </row>
    <row r="292" spans="16:17">
      <c r="P292" s="17"/>
      <c r="Q292" s="186"/>
    </row>
    <row r="293" spans="16:17">
      <c r="P293" s="17"/>
      <c r="Q293" s="186"/>
    </row>
    <row r="294" spans="16:17">
      <c r="P294" s="17"/>
      <c r="Q294" s="186"/>
    </row>
    <row r="295" spans="16:17">
      <c r="P295" s="17"/>
      <c r="Q295" s="186"/>
    </row>
    <row r="296" spans="16:17">
      <c r="P296" s="17"/>
      <c r="Q296" s="186"/>
    </row>
    <row r="297" spans="16:17">
      <c r="P297" s="17"/>
      <c r="Q297" s="186"/>
    </row>
    <row r="298" spans="16:17">
      <c r="P298" s="17"/>
      <c r="Q298" s="186"/>
    </row>
    <row r="299" spans="16:17">
      <c r="P299" s="17"/>
      <c r="Q299" s="186"/>
    </row>
    <row r="300" spans="16:17">
      <c r="P300" s="17"/>
      <c r="Q300" s="186"/>
    </row>
    <row r="301" spans="16:17">
      <c r="P301" s="17"/>
      <c r="Q301" s="186"/>
    </row>
    <row r="302" spans="16:17">
      <c r="P302" s="17"/>
      <c r="Q302" s="186"/>
    </row>
    <row r="303" spans="16:17">
      <c r="P303" s="17"/>
      <c r="Q303" s="186"/>
    </row>
    <row r="304" spans="16:17">
      <c r="P304" s="17"/>
      <c r="Q304" s="186"/>
    </row>
    <row r="305" spans="16:17">
      <c r="P305" s="17"/>
      <c r="Q305" s="186"/>
    </row>
    <row r="306" spans="16:17">
      <c r="P306" s="17"/>
      <c r="Q306" s="186"/>
    </row>
    <row r="307" spans="16:17">
      <c r="P307" s="17"/>
      <c r="Q307" s="186"/>
    </row>
    <row r="308" spans="16:17">
      <c r="P308" s="17"/>
      <c r="Q308" s="186"/>
    </row>
    <row r="309" spans="16:17">
      <c r="P309" s="17"/>
      <c r="Q309" s="186"/>
    </row>
    <row r="310" spans="16:17">
      <c r="P310" s="17"/>
      <c r="Q310" s="186"/>
    </row>
    <row r="311" spans="16:17">
      <c r="P311" s="17"/>
      <c r="Q311" s="186"/>
    </row>
    <row r="312" spans="16:17">
      <c r="P312" s="17"/>
      <c r="Q312" s="186"/>
    </row>
    <row r="313" spans="16:17">
      <c r="P313" s="17"/>
      <c r="Q313" s="186"/>
    </row>
    <row r="314" spans="16:17">
      <c r="P314" s="17"/>
      <c r="Q314" s="186"/>
    </row>
    <row r="315" spans="16:17">
      <c r="P315" s="17"/>
      <c r="Q315" s="186"/>
    </row>
    <row r="316" spans="16:17">
      <c r="P316" s="17"/>
      <c r="Q316" s="186"/>
    </row>
    <row r="317" spans="16:17">
      <c r="P317" s="17"/>
      <c r="Q317" s="186"/>
    </row>
    <row r="318" spans="16:17">
      <c r="P318" s="17"/>
      <c r="Q318" s="186"/>
    </row>
    <row r="319" spans="16:17">
      <c r="P319" s="17"/>
      <c r="Q319" s="186"/>
    </row>
    <row r="320" spans="16:17">
      <c r="P320" s="17"/>
      <c r="Q320" s="186"/>
    </row>
    <row r="321" spans="16:17">
      <c r="P321" s="17"/>
      <c r="Q321" s="186"/>
    </row>
    <row r="322" spans="16:17">
      <c r="P322" s="17"/>
      <c r="Q322" s="186"/>
    </row>
    <row r="323" spans="16:17">
      <c r="P323" s="17"/>
      <c r="Q323" s="186"/>
    </row>
    <row r="324" spans="16:17">
      <c r="P324" s="17"/>
      <c r="Q324" s="186"/>
    </row>
    <row r="325" spans="16:17">
      <c r="P325" s="17"/>
      <c r="Q325" s="186"/>
    </row>
    <row r="326" spans="16:17">
      <c r="P326" s="17"/>
      <c r="Q326" s="186"/>
    </row>
    <row r="327" spans="16:17">
      <c r="P327" s="17"/>
      <c r="Q327" s="186"/>
    </row>
    <row r="328" spans="16:17">
      <c r="P328" s="17"/>
      <c r="Q328" s="186"/>
    </row>
    <row r="329" spans="16:17">
      <c r="P329" s="17"/>
      <c r="Q329" s="186"/>
    </row>
    <row r="330" spans="16:17">
      <c r="P330" s="17"/>
      <c r="Q330" s="186"/>
    </row>
    <row r="331" spans="16:17">
      <c r="P331" s="17"/>
      <c r="Q331" s="186"/>
    </row>
    <row r="332" spans="16:17">
      <c r="P332" s="17"/>
      <c r="Q332" s="186"/>
    </row>
    <row r="333" spans="16:17">
      <c r="P333" s="17"/>
      <c r="Q333" s="186"/>
    </row>
    <row r="334" spans="16:17">
      <c r="P334" s="17"/>
      <c r="Q334" s="186"/>
    </row>
    <row r="335" spans="16:17">
      <c r="P335" s="17"/>
      <c r="Q335" s="186"/>
    </row>
    <row r="336" spans="16:17">
      <c r="P336" s="17"/>
      <c r="Q336" s="186"/>
    </row>
    <row r="337" spans="16:17">
      <c r="P337" s="17"/>
      <c r="Q337" s="186"/>
    </row>
    <row r="338" spans="16:17">
      <c r="P338" s="17"/>
      <c r="Q338" s="186"/>
    </row>
    <row r="339" spans="16:17">
      <c r="P339" s="17"/>
      <c r="Q339" s="186"/>
    </row>
    <row r="340" spans="16:17">
      <c r="P340" s="17"/>
      <c r="Q340" s="186"/>
    </row>
    <row r="341" spans="16:17">
      <c r="P341" s="17"/>
      <c r="Q341" s="186"/>
    </row>
    <row r="342" spans="16:17">
      <c r="P342" s="17"/>
      <c r="Q342" s="186"/>
    </row>
    <row r="343" spans="16:17">
      <c r="P343" s="17"/>
      <c r="Q343" s="186"/>
    </row>
    <row r="344" spans="16:17">
      <c r="P344" s="17"/>
      <c r="Q344" s="186"/>
    </row>
    <row r="345" spans="16:17">
      <c r="P345" s="17"/>
      <c r="Q345" s="186"/>
    </row>
    <row r="346" spans="16:17">
      <c r="P346" s="17"/>
      <c r="Q346" s="186"/>
    </row>
    <row r="347" spans="16:17">
      <c r="P347" s="17"/>
      <c r="Q347" s="186"/>
    </row>
    <row r="348" spans="16:17">
      <c r="P348" s="17"/>
      <c r="Q348" s="186"/>
    </row>
    <row r="349" spans="16:17">
      <c r="P349" s="17"/>
      <c r="Q349" s="186"/>
    </row>
    <row r="350" spans="16:17">
      <c r="P350" s="17"/>
      <c r="Q350" s="186"/>
    </row>
    <row r="351" spans="16:17">
      <c r="P351" s="17"/>
      <c r="Q351" s="186"/>
    </row>
    <row r="352" spans="16:17">
      <c r="P352" s="17"/>
      <c r="Q352" s="186"/>
    </row>
    <row r="353" spans="16:17">
      <c r="P353" s="17"/>
      <c r="Q353" s="186"/>
    </row>
    <row r="354" spans="16:17">
      <c r="P354" s="17"/>
      <c r="Q354" s="186"/>
    </row>
    <row r="355" spans="16:17">
      <c r="P355" s="17"/>
      <c r="Q355" s="186"/>
    </row>
    <row r="356" spans="16:17">
      <c r="P356" s="17"/>
      <c r="Q356" s="186"/>
    </row>
    <row r="357" spans="16:17">
      <c r="P357" s="17"/>
      <c r="Q357" s="186"/>
    </row>
    <row r="358" spans="16:17">
      <c r="P358" s="17"/>
      <c r="Q358" s="186"/>
    </row>
    <row r="359" spans="16:17">
      <c r="P359" s="17"/>
      <c r="Q359" s="186"/>
    </row>
    <row r="360" spans="16:17">
      <c r="P360" s="17"/>
      <c r="Q360" s="186"/>
    </row>
    <row r="361" spans="16:17">
      <c r="P361" s="17"/>
      <c r="Q361" s="186"/>
    </row>
    <row r="362" spans="16:17">
      <c r="P362" s="17"/>
      <c r="Q362" s="186"/>
    </row>
    <row r="363" spans="16:17">
      <c r="P363" s="17"/>
      <c r="Q363" s="186"/>
    </row>
    <row r="364" spans="16:17">
      <c r="P364" s="17"/>
      <c r="Q364" s="186"/>
    </row>
    <row r="365" spans="16:17">
      <c r="P365" s="17"/>
      <c r="Q365" s="186"/>
    </row>
    <row r="366" spans="16:17">
      <c r="P366" s="17"/>
      <c r="Q366" s="186"/>
    </row>
    <row r="367" spans="16:17">
      <c r="P367" s="17"/>
      <c r="Q367" s="186"/>
    </row>
    <row r="368" spans="16:17">
      <c r="P368" s="17"/>
      <c r="Q368" s="186"/>
    </row>
    <row r="369" spans="16:17">
      <c r="P369" s="17"/>
      <c r="Q369" s="186"/>
    </row>
    <row r="370" spans="16:17">
      <c r="P370" s="17"/>
      <c r="Q370" s="186"/>
    </row>
    <row r="371" spans="16:17">
      <c r="P371" s="17"/>
      <c r="Q371" s="186"/>
    </row>
    <row r="372" spans="16:17">
      <c r="P372" s="17"/>
      <c r="Q372" s="186"/>
    </row>
    <row r="373" spans="16:17">
      <c r="P373" s="17"/>
      <c r="Q373" s="186"/>
    </row>
    <row r="374" spans="16:17">
      <c r="P374" s="17"/>
      <c r="Q374" s="186"/>
    </row>
    <row r="375" spans="16:17">
      <c r="P375" s="17"/>
      <c r="Q375" s="186"/>
    </row>
    <row r="376" spans="16:17">
      <c r="P376" s="17"/>
      <c r="Q376" s="186"/>
    </row>
    <row r="377" spans="16:17">
      <c r="P377" s="17"/>
      <c r="Q377" s="186"/>
    </row>
    <row r="378" spans="16:17">
      <c r="P378" s="17"/>
      <c r="Q378" s="186"/>
    </row>
    <row r="379" spans="16:17">
      <c r="P379" s="17"/>
      <c r="Q379" s="186"/>
    </row>
    <row r="380" spans="16:17">
      <c r="P380" s="17"/>
      <c r="Q380" s="186"/>
    </row>
    <row r="381" spans="16:17">
      <c r="P381" s="17"/>
      <c r="Q381" s="186"/>
    </row>
    <row r="382" spans="16:17">
      <c r="P382" s="17"/>
      <c r="Q382" s="186"/>
    </row>
    <row r="383" spans="16:17">
      <c r="P383" s="17"/>
      <c r="Q383" s="186"/>
    </row>
    <row r="384" spans="16:17">
      <c r="P384" s="17"/>
      <c r="Q384" s="186"/>
    </row>
    <row r="385" spans="16:17">
      <c r="P385" s="17"/>
      <c r="Q385" s="186"/>
    </row>
    <row r="386" spans="16:17">
      <c r="P386" s="17"/>
      <c r="Q386" s="186"/>
    </row>
    <row r="387" spans="16:17">
      <c r="P387" s="17"/>
      <c r="Q387" s="186"/>
    </row>
    <row r="388" spans="16:17">
      <c r="P388" s="17"/>
      <c r="Q388" s="186"/>
    </row>
    <row r="389" spans="16:17">
      <c r="P389" s="17"/>
      <c r="Q389" s="186"/>
    </row>
    <row r="390" spans="16:17">
      <c r="P390" s="17"/>
      <c r="Q390" s="186"/>
    </row>
    <row r="391" spans="16:17">
      <c r="P391" s="17"/>
      <c r="Q391" s="186"/>
    </row>
    <row r="392" spans="16:17">
      <c r="P392" s="17"/>
      <c r="Q392" s="186"/>
    </row>
    <row r="393" spans="16:17">
      <c r="P393" s="17"/>
      <c r="Q393" s="186"/>
    </row>
    <row r="394" spans="16:17">
      <c r="P394" s="17"/>
      <c r="Q394" s="186"/>
    </row>
    <row r="395" spans="16:17">
      <c r="P395" s="17"/>
      <c r="Q395" s="186"/>
    </row>
    <row r="396" spans="16:17">
      <c r="P396" s="17"/>
      <c r="Q396" s="186"/>
    </row>
    <row r="397" spans="16:17">
      <c r="P397" s="17"/>
      <c r="Q397" s="186"/>
    </row>
    <row r="398" spans="16:17">
      <c r="P398" s="17"/>
      <c r="Q398" s="186"/>
    </row>
    <row r="399" spans="16:17">
      <c r="P399" s="17"/>
      <c r="Q399" s="186"/>
    </row>
    <row r="400" spans="16:17">
      <c r="P400" s="17"/>
      <c r="Q400" s="186"/>
    </row>
    <row r="401" spans="16:17">
      <c r="P401" s="17"/>
      <c r="Q401" s="186"/>
    </row>
    <row r="402" spans="16:17">
      <c r="P402" s="17"/>
      <c r="Q402" s="186"/>
    </row>
    <row r="403" spans="16:17">
      <c r="P403" s="17"/>
      <c r="Q403" s="186"/>
    </row>
    <row r="404" spans="16:17">
      <c r="P404" s="17"/>
      <c r="Q404" s="186"/>
    </row>
    <row r="405" spans="16:17">
      <c r="P405" s="17"/>
      <c r="Q405" s="186"/>
    </row>
    <row r="406" spans="16:17">
      <c r="P406" s="17"/>
      <c r="Q406" s="186"/>
    </row>
    <row r="407" spans="16:17">
      <c r="P407" s="17"/>
      <c r="Q407" s="186"/>
    </row>
    <row r="408" spans="16:17">
      <c r="P408" s="17"/>
      <c r="Q408" s="186"/>
    </row>
    <row r="409" spans="16:17">
      <c r="P409" s="17"/>
      <c r="Q409" s="186"/>
    </row>
    <row r="410" spans="16:17">
      <c r="P410" s="17"/>
      <c r="Q410" s="186"/>
    </row>
    <row r="411" spans="16:17">
      <c r="P411" s="17"/>
      <c r="Q411" s="186"/>
    </row>
    <row r="412" spans="16:17">
      <c r="P412" s="17"/>
      <c r="Q412" s="186"/>
    </row>
    <row r="413" spans="16:17">
      <c r="P413" s="17"/>
      <c r="Q413" s="186"/>
    </row>
    <row r="414" spans="16:17">
      <c r="P414" s="17"/>
      <c r="Q414" s="186"/>
    </row>
    <row r="415" spans="16:17">
      <c r="P415" s="17"/>
      <c r="Q415" s="186"/>
    </row>
    <row r="416" spans="16:17">
      <c r="P416" s="17"/>
      <c r="Q416" s="186"/>
    </row>
    <row r="417" spans="16:17">
      <c r="P417" s="17"/>
      <c r="Q417" s="186"/>
    </row>
    <row r="418" spans="16:17">
      <c r="P418" s="17"/>
      <c r="Q418" s="186"/>
    </row>
    <row r="419" spans="16:17">
      <c r="P419" s="17"/>
      <c r="Q419" s="186"/>
    </row>
    <row r="420" spans="16:17">
      <c r="P420" s="17"/>
      <c r="Q420" s="186"/>
    </row>
    <row r="421" spans="16:17">
      <c r="P421" s="17"/>
      <c r="Q421" s="186"/>
    </row>
    <row r="422" spans="16:17">
      <c r="P422" s="17"/>
      <c r="Q422" s="186"/>
    </row>
    <row r="423" spans="16:17">
      <c r="P423" s="17"/>
      <c r="Q423" s="186"/>
    </row>
    <row r="424" spans="16:17">
      <c r="P424" s="17"/>
      <c r="Q424" s="186"/>
    </row>
    <row r="425" spans="16:17">
      <c r="P425" s="17"/>
      <c r="Q425" s="186"/>
    </row>
    <row r="426" spans="16:17">
      <c r="P426" s="17"/>
      <c r="Q426" s="186"/>
    </row>
    <row r="427" spans="16:17">
      <c r="P427" s="17"/>
      <c r="Q427" s="186"/>
    </row>
    <row r="428" spans="16:17">
      <c r="P428" s="17"/>
      <c r="Q428" s="186"/>
    </row>
    <row r="429" spans="16:17">
      <c r="P429" s="17"/>
      <c r="Q429" s="186"/>
    </row>
    <row r="430" spans="16:17">
      <c r="P430" s="17"/>
      <c r="Q430" s="186"/>
    </row>
    <row r="431" spans="16:17">
      <c r="P431" s="17"/>
      <c r="Q431" s="186"/>
    </row>
    <row r="432" spans="16:17">
      <c r="P432" s="17"/>
      <c r="Q432" s="186"/>
    </row>
    <row r="433" spans="16:17">
      <c r="P433" s="17"/>
      <c r="Q433" s="186"/>
    </row>
    <row r="434" spans="16:17">
      <c r="P434" s="17"/>
      <c r="Q434" s="186"/>
    </row>
    <row r="435" spans="16:17">
      <c r="P435" s="17"/>
      <c r="Q435" s="186"/>
    </row>
    <row r="436" spans="16:17">
      <c r="P436" s="17"/>
      <c r="Q436" s="186"/>
    </row>
    <row r="437" spans="16:17">
      <c r="P437" s="17"/>
      <c r="Q437" s="186"/>
    </row>
    <row r="438" spans="16:17">
      <c r="P438" s="17"/>
      <c r="Q438" s="186"/>
    </row>
    <row r="439" spans="16:17">
      <c r="P439" s="17"/>
      <c r="Q439" s="186"/>
    </row>
    <row r="440" spans="16:17">
      <c r="P440" s="17"/>
      <c r="Q440" s="186"/>
    </row>
    <row r="441" spans="16:17">
      <c r="P441" s="17"/>
      <c r="Q441" s="186"/>
    </row>
    <row r="442" spans="16:17">
      <c r="P442" s="17"/>
      <c r="Q442" s="186"/>
    </row>
    <row r="443" spans="16:17">
      <c r="P443" s="17"/>
      <c r="Q443" s="186"/>
    </row>
    <row r="444" spans="16:17">
      <c r="P444" s="17"/>
      <c r="Q444" s="186"/>
    </row>
    <row r="445" spans="16:17">
      <c r="P445" s="17"/>
      <c r="Q445" s="186"/>
    </row>
    <row r="446" spans="16:17">
      <c r="P446" s="17"/>
      <c r="Q446" s="186"/>
    </row>
    <row r="447" spans="16:17">
      <c r="P447" s="17"/>
      <c r="Q447" s="186"/>
    </row>
    <row r="448" spans="16:17">
      <c r="P448" s="17"/>
      <c r="Q448" s="186"/>
    </row>
    <row r="449" spans="16:17">
      <c r="P449" s="17"/>
      <c r="Q449" s="186"/>
    </row>
    <row r="450" spans="16:17">
      <c r="P450" s="17"/>
      <c r="Q450" s="186"/>
    </row>
    <row r="451" spans="16:17">
      <c r="P451" s="17"/>
      <c r="Q451" s="186"/>
    </row>
    <row r="452" spans="16:17">
      <c r="P452" s="17"/>
      <c r="Q452" s="186"/>
    </row>
    <row r="453" spans="16:17">
      <c r="P453" s="17"/>
      <c r="Q453" s="186"/>
    </row>
    <row r="454" spans="16:17">
      <c r="P454" s="17"/>
      <c r="Q454" s="186"/>
    </row>
    <row r="455" spans="16:17">
      <c r="P455" s="17"/>
      <c r="Q455" s="186"/>
    </row>
    <row r="456" spans="16:17">
      <c r="P456" s="17"/>
      <c r="Q456" s="186"/>
    </row>
    <row r="457" spans="16:17">
      <c r="P457" s="17"/>
      <c r="Q457" s="186"/>
    </row>
    <row r="458" spans="16:17">
      <c r="P458" s="17"/>
      <c r="Q458" s="186"/>
    </row>
    <row r="459" spans="16:17">
      <c r="P459" s="17"/>
      <c r="Q459" s="186"/>
    </row>
    <row r="460" spans="16:17">
      <c r="P460" s="17"/>
      <c r="Q460" s="186"/>
    </row>
    <row r="461" spans="16:17">
      <c r="P461" s="17"/>
      <c r="Q461" s="186"/>
    </row>
    <row r="462" spans="16:17">
      <c r="P462" s="17"/>
      <c r="Q462" s="186"/>
    </row>
    <row r="463" spans="16:17">
      <c r="P463" s="17"/>
      <c r="Q463" s="186"/>
    </row>
    <row r="464" spans="16:17">
      <c r="P464" s="17"/>
      <c r="Q464" s="186"/>
    </row>
    <row r="465" spans="16:17">
      <c r="P465" s="17"/>
      <c r="Q465" s="186"/>
    </row>
    <row r="466" spans="16:17">
      <c r="P466" s="17"/>
      <c r="Q466" s="186"/>
    </row>
    <row r="467" spans="16:17">
      <c r="P467" s="17"/>
      <c r="Q467" s="186"/>
    </row>
    <row r="468" spans="16:17">
      <c r="P468" s="17"/>
      <c r="Q468" s="186"/>
    </row>
    <row r="469" spans="16:17">
      <c r="P469" s="17"/>
      <c r="Q469" s="186"/>
    </row>
    <row r="470" spans="16:17">
      <c r="P470" s="17"/>
      <c r="Q470" s="186"/>
    </row>
    <row r="471" spans="16:17">
      <c r="P471" s="17"/>
      <c r="Q471" s="186"/>
    </row>
    <row r="472" spans="16:17">
      <c r="P472" s="17"/>
      <c r="Q472" s="186"/>
    </row>
    <row r="473" spans="16:17">
      <c r="P473" s="17"/>
      <c r="Q473" s="186"/>
    </row>
    <row r="474" spans="16:17">
      <c r="P474" s="17"/>
      <c r="Q474" s="186"/>
    </row>
    <row r="475" spans="16:17">
      <c r="P475" s="17"/>
      <c r="Q475" s="186"/>
    </row>
    <row r="476" spans="16:17">
      <c r="P476" s="17"/>
      <c r="Q476" s="186"/>
    </row>
    <row r="477" spans="16:17">
      <c r="P477" s="17"/>
      <c r="Q477" s="186"/>
    </row>
    <row r="478" spans="16:17">
      <c r="P478" s="17"/>
      <c r="Q478" s="186"/>
    </row>
    <row r="479" spans="16:17">
      <c r="P479" s="17"/>
      <c r="Q479" s="186"/>
    </row>
    <row r="480" spans="16:17">
      <c r="P480" s="17"/>
      <c r="Q480" s="186"/>
    </row>
    <row r="481" spans="16:17">
      <c r="P481" s="17"/>
      <c r="Q481" s="186"/>
    </row>
    <row r="482" spans="16:17">
      <c r="P482" s="17"/>
      <c r="Q482" s="186"/>
    </row>
    <row r="483" spans="16:17">
      <c r="P483" s="17"/>
      <c r="Q483" s="186"/>
    </row>
    <row r="484" spans="16:17">
      <c r="P484" s="17"/>
      <c r="Q484" s="186"/>
    </row>
    <row r="485" spans="16:17">
      <c r="P485" s="17"/>
      <c r="Q485" s="186"/>
    </row>
    <row r="486" spans="16:17">
      <c r="P486" s="17"/>
      <c r="Q486" s="186"/>
    </row>
    <row r="487" spans="16:17">
      <c r="P487" s="17"/>
      <c r="Q487" s="186"/>
    </row>
    <row r="488" spans="16:17">
      <c r="P488" s="17"/>
      <c r="Q488" s="186"/>
    </row>
    <row r="489" spans="16:17">
      <c r="P489" s="17"/>
      <c r="Q489" s="186"/>
    </row>
    <row r="490" spans="16:17">
      <c r="P490" s="17"/>
      <c r="Q490" s="186"/>
    </row>
    <row r="491" spans="16:17">
      <c r="P491" s="17"/>
      <c r="Q491" s="186"/>
    </row>
    <row r="492" spans="16:17">
      <c r="P492" s="17"/>
      <c r="Q492" s="186"/>
    </row>
    <row r="493" spans="16:17">
      <c r="P493" s="17"/>
      <c r="Q493" s="186"/>
    </row>
    <row r="494" spans="16:17">
      <c r="P494" s="17"/>
      <c r="Q494" s="186"/>
    </row>
    <row r="495" spans="16:17">
      <c r="P495" s="17"/>
      <c r="Q495" s="186"/>
    </row>
    <row r="496" spans="16:17">
      <c r="P496" s="17"/>
      <c r="Q496" s="186"/>
    </row>
    <row r="497" spans="16:17">
      <c r="P497" s="17"/>
      <c r="Q497" s="186"/>
    </row>
    <row r="498" spans="16:17">
      <c r="P498" s="17"/>
      <c r="Q498" s="186"/>
    </row>
    <row r="499" spans="16:17">
      <c r="P499" s="17"/>
      <c r="Q499" s="186"/>
    </row>
    <row r="500" spans="16:17">
      <c r="P500" s="17"/>
      <c r="Q500" s="186"/>
    </row>
    <row r="501" spans="16:17">
      <c r="P501" s="17"/>
      <c r="Q501" s="186"/>
    </row>
    <row r="502" spans="16:17">
      <c r="P502" s="17"/>
      <c r="Q502" s="186"/>
    </row>
    <row r="503" spans="16:17">
      <c r="P503" s="17"/>
      <c r="Q503" s="186"/>
    </row>
    <row r="504" spans="16:17">
      <c r="P504" s="17"/>
      <c r="Q504" s="186"/>
    </row>
    <row r="505" spans="16:17">
      <c r="P505" s="17"/>
      <c r="Q505" s="186"/>
    </row>
    <row r="506" spans="16:17">
      <c r="P506" s="17"/>
      <c r="Q506" s="186"/>
    </row>
    <row r="507" spans="16:17">
      <c r="P507" s="17"/>
      <c r="Q507" s="186"/>
    </row>
    <row r="508" spans="16:17">
      <c r="P508" s="17"/>
      <c r="Q508" s="186"/>
    </row>
    <row r="509" spans="16:17">
      <c r="P509" s="17"/>
      <c r="Q509" s="186"/>
    </row>
    <row r="510" spans="16:17">
      <c r="P510" s="17"/>
      <c r="Q510" s="186"/>
    </row>
    <row r="511" spans="16:17">
      <c r="P511" s="17"/>
      <c r="Q511" s="186"/>
    </row>
    <row r="512" spans="16:17">
      <c r="P512" s="17"/>
      <c r="Q512" s="186"/>
    </row>
    <row r="513" spans="16:17">
      <c r="P513" s="17"/>
      <c r="Q513" s="186"/>
    </row>
    <row r="514" spans="16:17">
      <c r="P514" s="17"/>
      <c r="Q514" s="186"/>
    </row>
    <row r="515" spans="16:17">
      <c r="P515" s="17"/>
      <c r="Q515" s="186"/>
    </row>
    <row r="516" spans="16:17">
      <c r="P516" s="17"/>
      <c r="Q516" s="186"/>
    </row>
    <row r="517" spans="16:17">
      <c r="P517" s="17"/>
      <c r="Q517" s="186"/>
    </row>
    <row r="518" spans="16:17">
      <c r="P518" s="17"/>
      <c r="Q518" s="186"/>
    </row>
    <row r="519" spans="16:17">
      <c r="P519" s="17"/>
      <c r="Q519" s="186"/>
    </row>
    <row r="520" spans="16:17">
      <c r="P520" s="17"/>
      <c r="Q520" s="186"/>
    </row>
    <row r="521" spans="16:17">
      <c r="P521" s="17"/>
      <c r="Q521" s="186"/>
    </row>
    <row r="522" spans="16:17">
      <c r="P522" s="17"/>
      <c r="Q522" s="186"/>
    </row>
    <row r="523" spans="16:17">
      <c r="P523" s="17"/>
      <c r="Q523" s="186"/>
    </row>
    <row r="524" spans="16:17">
      <c r="P524" s="17"/>
      <c r="Q524" s="186"/>
    </row>
    <row r="525" spans="16:17">
      <c r="P525" s="17"/>
      <c r="Q525" s="186"/>
    </row>
    <row r="526" spans="16:17">
      <c r="P526" s="17"/>
      <c r="Q526" s="186"/>
    </row>
    <row r="527" spans="16:17">
      <c r="P527" s="17"/>
      <c r="Q527" s="186"/>
    </row>
    <row r="528" spans="16:17">
      <c r="P528" s="17"/>
      <c r="Q528" s="186"/>
    </row>
    <row r="529" spans="16:17">
      <c r="P529" s="17"/>
      <c r="Q529" s="186"/>
    </row>
    <row r="530" spans="16:17">
      <c r="P530" s="17"/>
      <c r="Q530" s="186"/>
    </row>
    <row r="531" spans="16:17">
      <c r="P531" s="17"/>
      <c r="Q531" s="186"/>
    </row>
    <row r="532" spans="16:17">
      <c r="P532" s="17"/>
      <c r="Q532" s="186"/>
    </row>
    <row r="533" spans="16:17">
      <c r="P533" s="17"/>
      <c r="Q533" s="186"/>
    </row>
    <row r="534" spans="16:17">
      <c r="P534" s="17"/>
      <c r="Q534" s="186"/>
    </row>
    <row r="535" spans="16:17">
      <c r="P535" s="17"/>
      <c r="Q535" s="186"/>
    </row>
    <row r="536" spans="16:17">
      <c r="P536" s="17"/>
      <c r="Q536" s="186"/>
    </row>
    <row r="537" spans="16:17">
      <c r="P537" s="17"/>
      <c r="Q537" s="186"/>
    </row>
    <row r="538" spans="16:17">
      <c r="P538" s="17"/>
      <c r="Q538" s="186"/>
    </row>
    <row r="539" spans="16:17">
      <c r="P539" s="17"/>
      <c r="Q539" s="186"/>
    </row>
    <row r="540" spans="16:17">
      <c r="P540" s="17"/>
      <c r="Q540" s="186"/>
    </row>
    <row r="541" spans="16:17">
      <c r="P541" s="17"/>
      <c r="Q541" s="186"/>
    </row>
    <row r="542" spans="16:17">
      <c r="P542" s="17"/>
      <c r="Q542" s="186"/>
    </row>
    <row r="543" spans="16:17">
      <c r="P543" s="17"/>
      <c r="Q543" s="186"/>
    </row>
    <row r="544" spans="16:17">
      <c r="P544" s="17"/>
      <c r="Q544" s="186"/>
    </row>
    <row r="545" spans="16:17">
      <c r="P545" s="17"/>
      <c r="Q545" s="186"/>
    </row>
    <row r="546" spans="16:17">
      <c r="P546" s="17"/>
      <c r="Q546" s="186"/>
    </row>
    <row r="547" spans="16:17">
      <c r="P547" s="17"/>
      <c r="Q547" s="186"/>
    </row>
    <row r="548" spans="16:17">
      <c r="P548" s="17"/>
      <c r="Q548" s="186"/>
    </row>
    <row r="549" spans="16:17">
      <c r="P549" s="17"/>
      <c r="Q549" s="186"/>
    </row>
    <row r="550" spans="16:17">
      <c r="P550" s="17"/>
      <c r="Q550" s="186"/>
    </row>
    <row r="551" spans="16:17">
      <c r="P551" s="17"/>
      <c r="Q551" s="186"/>
    </row>
    <row r="552" spans="16:17">
      <c r="P552" s="17"/>
      <c r="Q552" s="186"/>
    </row>
    <row r="553" spans="16:17">
      <c r="P553" s="17"/>
      <c r="Q553" s="186"/>
    </row>
    <row r="554" spans="16:17">
      <c r="P554" s="17"/>
      <c r="Q554" s="186"/>
    </row>
    <row r="555" spans="16:17">
      <c r="P555" s="17"/>
      <c r="Q555" s="186"/>
    </row>
    <row r="556" spans="16:17">
      <c r="P556" s="17"/>
      <c r="Q556" s="186"/>
    </row>
    <row r="557" spans="16:17">
      <c r="P557" s="17"/>
      <c r="Q557" s="186"/>
    </row>
    <row r="558" spans="16:17">
      <c r="P558" s="17"/>
      <c r="Q558" s="186"/>
    </row>
    <row r="559" spans="16:17">
      <c r="P559" s="17"/>
      <c r="Q559" s="186"/>
    </row>
    <row r="560" spans="16:17">
      <c r="P560" s="17"/>
      <c r="Q560" s="186"/>
    </row>
    <row r="561" spans="16:17">
      <c r="P561" s="17"/>
      <c r="Q561" s="186"/>
    </row>
    <row r="562" spans="16:17">
      <c r="P562" s="17"/>
      <c r="Q562" s="186"/>
    </row>
    <row r="563" spans="16:17">
      <c r="P563" s="17"/>
      <c r="Q563" s="186"/>
    </row>
    <row r="564" spans="16:17">
      <c r="P564" s="17"/>
      <c r="Q564" s="186"/>
    </row>
    <row r="565" spans="16:17">
      <c r="P565" s="17"/>
      <c r="Q565" s="186"/>
    </row>
    <row r="566" spans="16:17">
      <c r="P566" s="17"/>
      <c r="Q566" s="186"/>
    </row>
    <row r="567" spans="16:17">
      <c r="P567" s="17"/>
      <c r="Q567" s="186"/>
    </row>
    <row r="568" spans="16:17">
      <c r="P568" s="17"/>
      <c r="Q568" s="186"/>
    </row>
    <row r="569" spans="16:17">
      <c r="P569" s="17"/>
      <c r="Q569" s="186"/>
    </row>
    <row r="570" spans="16:17">
      <c r="P570" s="17"/>
      <c r="Q570" s="186"/>
    </row>
    <row r="571" spans="16:17">
      <c r="P571" s="17"/>
      <c r="Q571" s="186"/>
    </row>
    <row r="572" spans="16:17">
      <c r="P572" s="17"/>
      <c r="Q572" s="186"/>
    </row>
    <row r="573" spans="16:17">
      <c r="P573" s="17"/>
      <c r="Q573" s="186"/>
    </row>
    <row r="574" spans="16:17">
      <c r="P574" s="17"/>
      <c r="Q574" s="186"/>
    </row>
    <row r="575" spans="16:17">
      <c r="P575" s="17"/>
      <c r="Q575" s="186"/>
    </row>
    <row r="576" spans="16:17">
      <c r="P576" s="17"/>
      <c r="Q576" s="186"/>
    </row>
    <row r="577" spans="16:17">
      <c r="P577" s="17"/>
      <c r="Q577" s="186"/>
    </row>
    <row r="578" spans="16:17">
      <c r="P578" s="17"/>
      <c r="Q578" s="186"/>
    </row>
    <row r="579" spans="16:17">
      <c r="P579" s="17"/>
      <c r="Q579" s="186"/>
    </row>
    <row r="580" spans="16:17">
      <c r="P580" s="17"/>
      <c r="Q580" s="186"/>
    </row>
    <row r="581" spans="16:17">
      <c r="P581" s="17"/>
      <c r="Q581" s="186"/>
    </row>
    <row r="582" spans="16:17">
      <c r="P582" s="17"/>
      <c r="Q582" s="186"/>
    </row>
    <row r="583" spans="16:17">
      <c r="P583" s="17"/>
      <c r="Q583" s="186"/>
    </row>
    <row r="584" spans="16:17">
      <c r="P584" s="17"/>
      <c r="Q584" s="186"/>
    </row>
    <row r="585" spans="16:17">
      <c r="P585" s="17"/>
      <c r="Q585" s="186"/>
    </row>
    <row r="586" spans="16:17">
      <c r="P586" s="17"/>
      <c r="Q586" s="186"/>
    </row>
    <row r="587" spans="16:17">
      <c r="P587" s="17"/>
      <c r="Q587" s="186"/>
    </row>
    <row r="588" spans="16:17">
      <c r="P588" s="17"/>
      <c r="Q588" s="186"/>
    </row>
    <row r="589" spans="16:17">
      <c r="P589" s="17"/>
      <c r="Q589" s="186"/>
    </row>
    <row r="590" spans="16:17">
      <c r="P590" s="17"/>
      <c r="Q590" s="186"/>
    </row>
    <row r="591" spans="16:17">
      <c r="P591" s="17"/>
      <c r="Q591" s="186"/>
    </row>
    <row r="592" spans="16:17">
      <c r="P592" s="17"/>
      <c r="Q592" s="186"/>
    </row>
    <row r="593" spans="16:17">
      <c r="P593" s="17"/>
      <c r="Q593" s="186"/>
    </row>
    <row r="594" spans="16:17">
      <c r="P594" s="17"/>
      <c r="Q594" s="186"/>
    </row>
    <row r="595" spans="16:17">
      <c r="P595" s="17"/>
      <c r="Q595" s="186"/>
    </row>
    <row r="596" spans="16:17">
      <c r="P596" s="17"/>
      <c r="Q596" s="186"/>
    </row>
    <row r="597" spans="16:17">
      <c r="P597" s="17"/>
      <c r="Q597" s="186"/>
    </row>
    <row r="598" spans="16:17">
      <c r="P598" s="17"/>
      <c r="Q598" s="186"/>
    </row>
    <row r="599" spans="16:17">
      <c r="P599" s="17"/>
      <c r="Q599" s="186"/>
    </row>
    <row r="600" spans="16:17">
      <c r="P600" s="17"/>
      <c r="Q600" s="186"/>
    </row>
    <row r="601" spans="16:17">
      <c r="P601" s="17"/>
      <c r="Q601" s="186"/>
    </row>
    <row r="602" spans="16:17">
      <c r="P602" s="17"/>
      <c r="Q602" s="186"/>
    </row>
    <row r="603" spans="16:17">
      <c r="P603" s="17"/>
      <c r="Q603" s="186"/>
    </row>
    <row r="604" spans="16:17">
      <c r="P604" s="17"/>
      <c r="Q604" s="186"/>
    </row>
    <row r="605" spans="16:17">
      <c r="P605" s="17"/>
      <c r="Q605" s="186"/>
    </row>
    <row r="606" spans="16:17">
      <c r="P606" s="17"/>
      <c r="Q606" s="186"/>
    </row>
    <row r="607" spans="16:17">
      <c r="P607" s="17"/>
      <c r="Q607" s="186"/>
    </row>
    <row r="608" spans="16:17">
      <c r="P608" s="17"/>
      <c r="Q608" s="186"/>
    </row>
    <row r="609" spans="16:17">
      <c r="P609" s="17"/>
      <c r="Q609" s="186"/>
    </row>
    <row r="610" spans="16:17">
      <c r="P610" s="17"/>
      <c r="Q610" s="186"/>
    </row>
    <row r="611" spans="16:17">
      <c r="P611" s="17"/>
      <c r="Q611" s="186"/>
    </row>
    <row r="612" spans="16:17">
      <c r="P612" s="17"/>
      <c r="Q612" s="186"/>
    </row>
    <row r="613" spans="16:17">
      <c r="P613" s="17"/>
      <c r="Q613" s="186"/>
    </row>
    <row r="614" spans="16:17">
      <c r="P614" s="17"/>
      <c r="Q614" s="186"/>
    </row>
    <row r="615" spans="16:17">
      <c r="P615" s="17"/>
      <c r="Q615" s="186"/>
    </row>
    <row r="616" spans="16:17">
      <c r="P616" s="17"/>
      <c r="Q616" s="186"/>
    </row>
    <row r="617" spans="16:17">
      <c r="P617" s="17"/>
      <c r="Q617" s="186"/>
    </row>
    <row r="618" spans="16:17">
      <c r="P618" s="17"/>
      <c r="Q618" s="186"/>
    </row>
    <row r="619" spans="16:17">
      <c r="P619" s="17"/>
      <c r="Q619" s="186"/>
    </row>
    <row r="620" spans="16:17">
      <c r="P620" s="17"/>
      <c r="Q620" s="186"/>
    </row>
    <row r="621" spans="16:17">
      <c r="P621" s="17"/>
      <c r="Q621" s="186"/>
    </row>
    <row r="622" spans="16:17">
      <c r="P622" s="17"/>
      <c r="Q622" s="186"/>
    </row>
    <row r="623" spans="16:17">
      <c r="P623" s="17"/>
      <c r="Q623" s="186"/>
    </row>
    <row r="624" spans="16:17">
      <c r="P624" s="17"/>
      <c r="Q624" s="186"/>
    </row>
    <row r="625" spans="16:17">
      <c r="P625" s="17"/>
      <c r="Q625" s="186"/>
    </row>
    <row r="626" spans="16:17">
      <c r="P626" s="17"/>
      <c r="Q626" s="186"/>
    </row>
    <row r="627" spans="16:17">
      <c r="P627" s="17"/>
      <c r="Q627" s="186"/>
    </row>
    <row r="628" spans="16:17">
      <c r="P628" s="17"/>
      <c r="Q628" s="186"/>
    </row>
    <row r="629" spans="16:17">
      <c r="P629" s="17"/>
      <c r="Q629" s="186"/>
    </row>
    <row r="630" spans="16:17">
      <c r="P630" s="17"/>
      <c r="Q630" s="186"/>
    </row>
    <row r="631" spans="16:17">
      <c r="P631" s="17"/>
      <c r="Q631" s="186"/>
    </row>
    <row r="632" spans="16:17">
      <c r="P632" s="17"/>
      <c r="Q632" s="186"/>
    </row>
    <row r="633" spans="16:17">
      <c r="P633" s="17"/>
      <c r="Q633" s="186"/>
    </row>
    <row r="634" spans="16:17">
      <c r="P634" s="17"/>
      <c r="Q634" s="186"/>
    </row>
    <row r="635" spans="16:17">
      <c r="P635" s="17"/>
      <c r="Q635" s="186"/>
    </row>
    <row r="636" spans="16:17">
      <c r="P636" s="17"/>
      <c r="Q636" s="186"/>
    </row>
    <row r="637" spans="16:17">
      <c r="P637" s="17"/>
      <c r="Q637" s="186"/>
    </row>
    <row r="638" spans="16:17">
      <c r="P638" s="17"/>
      <c r="Q638" s="186"/>
    </row>
    <row r="639" spans="16:17">
      <c r="P639" s="17"/>
      <c r="Q639" s="186"/>
    </row>
    <row r="640" spans="16:17">
      <c r="P640" s="17"/>
      <c r="Q640" s="186"/>
    </row>
    <row r="641" spans="16:17">
      <c r="P641" s="17"/>
      <c r="Q641" s="186"/>
    </row>
    <row r="642" spans="16:17">
      <c r="P642" s="17"/>
      <c r="Q642" s="186"/>
    </row>
    <row r="643" spans="16:17">
      <c r="P643" s="17"/>
      <c r="Q643" s="186"/>
    </row>
    <row r="644" spans="16:17">
      <c r="P644" s="17"/>
      <c r="Q644" s="186"/>
    </row>
    <row r="645" spans="16:17">
      <c r="P645" s="17"/>
      <c r="Q645" s="186"/>
    </row>
    <row r="646" spans="16:17">
      <c r="P646" s="17"/>
      <c r="Q646" s="186"/>
    </row>
    <row r="647" spans="16:17">
      <c r="P647" s="17"/>
      <c r="Q647" s="186"/>
    </row>
    <row r="648" spans="16:17">
      <c r="P648" s="17"/>
      <c r="Q648" s="186"/>
    </row>
    <row r="649" spans="16:17">
      <c r="P649" s="17"/>
      <c r="Q649" s="186"/>
    </row>
    <row r="650" spans="16:17">
      <c r="P650" s="17"/>
      <c r="Q650" s="186"/>
    </row>
    <row r="651" spans="16:17">
      <c r="P651" s="17"/>
      <c r="Q651" s="186"/>
    </row>
    <row r="652" spans="16:17">
      <c r="P652" s="17"/>
      <c r="Q652" s="186"/>
    </row>
    <row r="653" spans="16:17">
      <c r="P653" s="17"/>
      <c r="Q653" s="186"/>
    </row>
    <row r="654" spans="16:17">
      <c r="P654" s="17"/>
      <c r="Q654" s="186"/>
    </row>
    <row r="655" spans="16:17">
      <c r="P655" s="17"/>
      <c r="Q655" s="186"/>
    </row>
    <row r="656" spans="16:17">
      <c r="P656" s="17"/>
      <c r="Q656" s="186"/>
    </row>
    <row r="657" spans="16:17">
      <c r="P657" s="17"/>
      <c r="Q657" s="186"/>
    </row>
    <row r="658" spans="16:17">
      <c r="P658" s="17"/>
      <c r="Q658" s="186"/>
    </row>
    <row r="659" spans="16:17">
      <c r="P659" s="17"/>
      <c r="Q659" s="186"/>
    </row>
    <row r="660" spans="16:17">
      <c r="P660" s="17"/>
      <c r="Q660" s="186"/>
    </row>
    <row r="661" spans="16:17">
      <c r="P661" s="17"/>
      <c r="Q661" s="186"/>
    </row>
    <row r="662" spans="16:17">
      <c r="P662" s="17"/>
      <c r="Q662" s="186"/>
    </row>
    <row r="663" spans="16:17">
      <c r="P663" s="17"/>
      <c r="Q663" s="186"/>
    </row>
    <row r="664" spans="16:17">
      <c r="P664" s="17"/>
      <c r="Q664" s="186"/>
    </row>
    <row r="665" spans="16:17">
      <c r="P665" s="17"/>
      <c r="Q665" s="186"/>
    </row>
    <row r="666" spans="16:17">
      <c r="P666" s="17"/>
      <c r="Q666" s="186"/>
    </row>
    <row r="667" spans="16:17">
      <c r="P667" s="17"/>
      <c r="Q667" s="186"/>
    </row>
    <row r="668" spans="16:17">
      <c r="P668" s="17"/>
      <c r="Q668" s="186"/>
    </row>
    <row r="669" spans="16:17">
      <c r="P669" s="17"/>
      <c r="Q669" s="186"/>
    </row>
    <row r="670" spans="16:17">
      <c r="P670" s="17"/>
      <c r="Q670" s="186"/>
    </row>
    <row r="671" spans="16:17">
      <c r="P671" s="17"/>
      <c r="Q671" s="186"/>
    </row>
    <row r="672" spans="16:17">
      <c r="P672" s="17"/>
      <c r="Q672" s="186"/>
    </row>
    <row r="673" spans="16:17">
      <c r="P673" s="17"/>
      <c r="Q673" s="186"/>
    </row>
    <row r="674" spans="16:17">
      <c r="P674" s="17"/>
      <c r="Q674" s="186"/>
    </row>
    <row r="675" spans="16:17">
      <c r="P675" s="17"/>
      <c r="Q675" s="186"/>
    </row>
    <row r="676" spans="16:17">
      <c r="P676" s="17"/>
      <c r="Q676" s="186"/>
    </row>
    <row r="677" spans="16:17">
      <c r="P677" s="17"/>
      <c r="Q677" s="186"/>
    </row>
    <row r="678" spans="16:17">
      <c r="P678" s="17"/>
      <c r="Q678" s="186"/>
    </row>
    <row r="679" spans="16:17">
      <c r="P679" s="17"/>
      <c r="Q679" s="186"/>
    </row>
    <row r="680" spans="16:17">
      <c r="P680" s="17"/>
      <c r="Q680" s="186"/>
    </row>
    <row r="681" spans="16:17">
      <c r="P681" s="17"/>
      <c r="Q681" s="186"/>
    </row>
    <row r="682" spans="16:17">
      <c r="P682" s="17"/>
      <c r="Q682" s="186"/>
    </row>
    <row r="683" spans="16:17">
      <c r="P683" s="17"/>
      <c r="Q683" s="186"/>
    </row>
    <row r="684" spans="16:17">
      <c r="P684" s="17"/>
      <c r="Q684" s="186"/>
    </row>
    <row r="685" spans="16:17">
      <c r="P685" s="17"/>
      <c r="Q685" s="186"/>
    </row>
    <row r="686" spans="16:17">
      <c r="P686" s="17"/>
      <c r="Q686" s="186"/>
    </row>
    <row r="687" spans="16:17">
      <c r="P687" s="17"/>
      <c r="Q687" s="186"/>
    </row>
    <row r="688" spans="16:17">
      <c r="P688" s="17"/>
      <c r="Q688" s="186"/>
    </row>
    <row r="689" spans="16:17">
      <c r="P689" s="17"/>
      <c r="Q689" s="186"/>
    </row>
    <row r="690" spans="16:17">
      <c r="P690" s="17"/>
      <c r="Q690" s="186"/>
    </row>
    <row r="691" spans="16:17">
      <c r="P691" s="17"/>
      <c r="Q691" s="186"/>
    </row>
    <row r="692" spans="16:17">
      <c r="P692" s="17"/>
      <c r="Q692" s="186"/>
    </row>
    <row r="693" spans="16:17">
      <c r="P693" s="17"/>
      <c r="Q693" s="186"/>
    </row>
    <row r="694" spans="16:17">
      <c r="P694" s="17"/>
      <c r="Q694" s="186"/>
    </row>
    <row r="695" spans="16:17">
      <c r="P695" s="17"/>
      <c r="Q695" s="186"/>
    </row>
    <row r="696" spans="16:17">
      <c r="P696" s="17"/>
      <c r="Q696" s="186"/>
    </row>
    <row r="697" spans="16:17">
      <c r="P697" s="17"/>
      <c r="Q697" s="186"/>
    </row>
    <row r="698" spans="16:17">
      <c r="P698" s="17"/>
      <c r="Q698" s="186"/>
    </row>
    <row r="699" spans="16:17">
      <c r="P699" s="17"/>
      <c r="Q699" s="186"/>
    </row>
    <row r="700" spans="16:17">
      <c r="P700" s="17"/>
      <c r="Q700" s="186"/>
    </row>
    <row r="701" spans="16:17">
      <c r="P701" s="17"/>
      <c r="Q701" s="186"/>
    </row>
    <row r="702" spans="16:17">
      <c r="P702" s="17"/>
      <c r="Q702" s="186"/>
    </row>
    <row r="703" spans="16:17">
      <c r="P703" s="17"/>
      <c r="Q703" s="186"/>
    </row>
    <row r="704" spans="16:17">
      <c r="P704" s="17"/>
      <c r="Q704" s="186"/>
    </row>
    <row r="705" spans="16:17">
      <c r="P705" s="17"/>
      <c r="Q705" s="186"/>
    </row>
    <row r="706" spans="16:17">
      <c r="P706" s="17"/>
      <c r="Q706" s="186"/>
    </row>
    <row r="707" spans="16:17">
      <c r="P707" s="17"/>
      <c r="Q707" s="186"/>
    </row>
    <row r="708" spans="16:17">
      <c r="P708" s="17"/>
      <c r="Q708" s="186"/>
    </row>
    <row r="709" spans="16:17">
      <c r="P709" s="17"/>
      <c r="Q709" s="186"/>
    </row>
    <row r="710" spans="16:17">
      <c r="P710" s="17"/>
      <c r="Q710" s="186"/>
    </row>
    <row r="711" spans="16:17">
      <c r="P711" s="17"/>
      <c r="Q711" s="186"/>
    </row>
    <row r="712" spans="16:17">
      <c r="P712" s="17"/>
      <c r="Q712" s="186"/>
    </row>
    <row r="713" spans="16:17">
      <c r="P713" s="17"/>
      <c r="Q713" s="186"/>
    </row>
    <row r="714" spans="16:17">
      <c r="P714" s="17"/>
      <c r="Q714" s="186"/>
    </row>
    <row r="715" spans="16:17">
      <c r="P715" s="17"/>
      <c r="Q715" s="186"/>
    </row>
    <row r="716" spans="16:17">
      <c r="P716" s="17"/>
      <c r="Q716" s="186"/>
    </row>
    <row r="717" spans="16:17">
      <c r="P717" s="17"/>
      <c r="Q717" s="186"/>
    </row>
    <row r="718" spans="16:17">
      <c r="P718" s="17"/>
      <c r="Q718" s="186"/>
    </row>
    <row r="719" spans="16:17">
      <c r="P719" s="17"/>
      <c r="Q719" s="186"/>
    </row>
    <row r="720" spans="16:17">
      <c r="P720" s="17"/>
      <c r="Q720" s="186"/>
    </row>
    <row r="721" spans="16:17">
      <c r="P721" s="17"/>
      <c r="Q721" s="186"/>
    </row>
    <row r="722" spans="16:17">
      <c r="P722" s="17"/>
      <c r="Q722" s="186"/>
    </row>
    <row r="723" spans="16:17">
      <c r="P723" s="17"/>
      <c r="Q723" s="186"/>
    </row>
    <row r="724" spans="16:17">
      <c r="P724" s="17"/>
      <c r="Q724" s="186"/>
    </row>
    <row r="725" spans="16:17">
      <c r="P725" s="17"/>
      <c r="Q725" s="186"/>
    </row>
    <row r="726" spans="16:17">
      <c r="P726" s="17"/>
      <c r="Q726" s="186"/>
    </row>
    <row r="727" spans="16:17">
      <c r="P727" s="17"/>
      <c r="Q727" s="186"/>
    </row>
    <row r="728" spans="16:17">
      <c r="P728" s="17"/>
      <c r="Q728" s="186"/>
    </row>
    <row r="729" spans="16:17">
      <c r="P729" s="17"/>
      <c r="Q729" s="186"/>
    </row>
    <row r="730" spans="16:17">
      <c r="P730" s="17"/>
      <c r="Q730" s="186"/>
    </row>
    <row r="731" spans="16:17">
      <c r="P731" s="17"/>
      <c r="Q731" s="186"/>
    </row>
    <row r="732" spans="16:17">
      <c r="P732" s="17"/>
      <c r="Q732" s="186"/>
    </row>
    <row r="733" spans="16:17">
      <c r="P733" s="17"/>
      <c r="Q733" s="186"/>
    </row>
    <row r="734" spans="16:17">
      <c r="P734" s="17"/>
      <c r="Q734" s="186"/>
    </row>
    <row r="735" spans="16:17">
      <c r="P735" s="17"/>
      <c r="Q735" s="186"/>
    </row>
    <row r="736" spans="16:17">
      <c r="P736" s="17"/>
      <c r="Q736" s="186"/>
    </row>
    <row r="737" spans="16:17">
      <c r="P737" s="17"/>
      <c r="Q737" s="186"/>
    </row>
    <row r="738" spans="16:17">
      <c r="P738" s="17"/>
      <c r="Q738" s="186"/>
    </row>
    <row r="739" spans="16:17">
      <c r="P739" s="17"/>
      <c r="Q739" s="186"/>
    </row>
    <row r="740" spans="16:17">
      <c r="P740" s="17"/>
      <c r="Q740" s="186"/>
    </row>
    <row r="741" spans="16:17">
      <c r="P741" s="17"/>
      <c r="Q741" s="186"/>
    </row>
    <row r="742" spans="16:17">
      <c r="P742" s="17"/>
      <c r="Q742" s="186"/>
    </row>
    <row r="743" spans="16:17">
      <c r="P743" s="17"/>
      <c r="Q743" s="186"/>
    </row>
    <row r="744" spans="16:17">
      <c r="P744" s="17"/>
      <c r="Q744" s="186"/>
    </row>
    <row r="745" spans="16:17">
      <c r="P745" s="17"/>
      <c r="Q745" s="186"/>
    </row>
    <row r="746" spans="16:17">
      <c r="P746" s="17"/>
      <c r="Q746" s="186"/>
    </row>
    <row r="747" spans="16:17">
      <c r="P747" s="17"/>
      <c r="Q747" s="186"/>
    </row>
    <row r="748" spans="16:17">
      <c r="P748" s="17"/>
      <c r="Q748" s="186"/>
    </row>
    <row r="749" spans="16:17">
      <c r="P749" s="17"/>
      <c r="Q749" s="186"/>
    </row>
    <row r="750" spans="16:17">
      <c r="P750" s="17"/>
      <c r="Q750" s="186"/>
    </row>
    <row r="751" spans="16:17">
      <c r="P751" s="17"/>
      <c r="Q751" s="186"/>
    </row>
    <row r="752" spans="16:17">
      <c r="P752" s="17"/>
      <c r="Q752" s="186"/>
    </row>
    <row r="753" spans="16:17">
      <c r="P753" s="17"/>
      <c r="Q753" s="186"/>
    </row>
    <row r="754" spans="16:17">
      <c r="P754" s="17"/>
      <c r="Q754" s="186"/>
    </row>
    <row r="755" spans="16:17">
      <c r="P755" s="17"/>
      <c r="Q755" s="186"/>
    </row>
    <row r="756" spans="16:17">
      <c r="P756" s="17"/>
      <c r="Q756" s="186"/>
    </row>
    <row r="757" spans="16:17">
      <c r="P757" s="17"/>
      <c r="Q757" s="186"/>
    </row>
    <row r="758" spans="16:17">
      <c r="P758" s="17"/>
      <c r="Q758" s="186"/>
    </row>
    <row r="759" spans="16:17">
      <c r="P759" s="17"/>
      <c r="Q759" s="186"/>
    </row>
    <row r="760" spans="16:17">
      <c r="P760" s="17"/>
      <c r="Q760" s="186"/>
    </row>
    <row r="761" spans="16:17">
      <c r="P761" s="17"/>
      <c r="Q761" s="186"/>
    </row>
    <row r="762" spans="16:17">
      <c r="P762" s="17"/>
      <c r="Q762" s="186"/>
    </row>
    <row r="763" spans="16:17">
      <c r="P763" s="17"/>
      <c r="Q763" s="186"/>
    </row>
    <row r="764" spans="16:17">
      <c r="P764" s="17"/>
      <c r="Q764" s="186"/>
    </row>
    <row r="765" spans="16:17">
      <c r="P765" s="17"/>
      <c r="Q765" s="186"/>
    </row>
    <row r="766" spans="16:17">
      <c r="P766" s="17"/>
      <c r="Q766" s="186"/>
    </row>
    <row r="767" spans="16:17">
      <c r="P767" s="17"/>
      <c r="Q767" s="186"/>
    </row>
    <row r="768" spans="16:17">
      <c r="P768" s="17"/>
      <c r="Q768" s="186"/>
    </row>
    <row r="769" spans="16:17">
      <c r="P769" s="17"/>
      <c r="Q769" s="186"/>
    </row>
    <row r="770" spans="16:17">
      <c r="P770" s="17"/>
      <c r="Q770" s="186"/>
    </row>
    <row r="771" spans="16:17">
      <c r="P771" s="17"/>
      <c r="Q771" s="186"/>
    </row>
    <row r="772" spans="16:17">
      <c r="P772" s="17"/>
      <c r="Q772" s="186"/>
    </row>
    <row r="773" spans="16:17">
      <c r="P773" s="17"/>
      <c r="Q773" s="186"/>
    </row>
    <row r="774" spans="16:17">
      <c r="P774" s="17"/>
      <c r="Q774" s="186"/>
    </row>
    <row r="775" spans="16:17">
      <c r="P775" s="17"/>
      <c r="Q775" s="186"/>
    </row>
    <row r="776" spans="16:17">
      <c r="P776" s="17"/>
      <c r="Q776" s="186"/>
    </row>
    <row r="777" spans="16:17">
      <c r="P777" s="17"/>
      <c r="Q777" s="186"/>
    </row>
    <row r="778" spans="16:17">
      <c r="P778" s="17"/>
      <c r="Q778" s="186"/>
    </row>
    <row r="779" spans="16:17">
      <c r="P779" s="17"/>
      <c r="Q779" s="186"/>
    </row>
    <row r="780" spans="16:17">
      <c r="P780" s="17"/>
      <c r="Q780" s="186"/>
    </row>
    <row r="781" spans="16:17">
      <c r="P781" s="17"/>
      <c r="Q781" s="186"/>
    </row>
    <row r="782" spans="16:17">
      <c r="P782" s="17"/>
      <c r="Q782" s="186"/>
    </row>
    <row r="783" spans="16:17">
      <c r="P783" s="17"/>
      <c r="Q783" s="186"/>
    </row>
    <row r="784" spans="16:17">
      <c r="P784" s="17"/>
      <c r="Q784" s="186"/>
    </row>
    <row r="785" spans="16:17">
      <c r="P785" s="17"/>
      <c r="Q785" s="186"/>
    </row>
    <row r="786" spans="16:17">
      <c r="P786" s="17"/>
      <c r="Q786" s="186"/>
    </row>
    <row r="787" spans="16:17">
      <c r="P787" s="17"/>
      <c r="Q787" s="186"/>
    </row>
    <row r="788" spans="16:17">
      <c r="P788" s="17"/>
      <c r="Q788" s="186"/>
    </row>
    <row r="789" spans="16:17">
      <c r="P789" s="17"/>
      <c r="Q789" s="186"/>
    </row>
    <row r="790" spans="16:17">
      <c r="P790" s="17"/>
      <c r="Q790" s="186"/>
    </row>
    <row r="791" spans="16:17">
      <c r="P791" s="17"/>
      <c r="Q791" s="186"/>
    </row>
    <row r="792" spans="16:17">
      <c r="P792" s="17"/>
      <c r="Q792" s="186"/>
    </row>
    <row r="793" spans="16:17">
      <c r="P793" s="17"/>
      <c r="Q793" s="186"/>
    </row>
    <row r="794" spans="16:17">
      <c r="P794" s="17"/>
      <c r="Q794" s="186"/>
    </row>
    <row r="795" spans="16:17">
      <c r="P795" s="17"/>
      <c r="Q795" s="186"/>
    </row>
    <row r="796" spans="16:17">
      <c r="P796" s="17"/>
      <c r="Q796" s="186"/>
    </row>
    <row r="797" spans="16:17">
      <c r="P797" s="17"/>
      <c r="Q797" s="186"/>
    </row>
    <row r="798" spans="16:17">
      <c r="P798" s="17"/>
      <c r="Q798" s="186"/>
    </row>
    <row r="799" spans="16:17">
      <c r="P799" s="17"/>
      <c r="Q799" s="186"/>
    </row>
    <row r="800" spans="16:17">
      <c r="P800" s="17"/>
      <c r="Q800" s="186"/>
    </row>
    <row r="801" spans="16:17">
      <c r="P801" s="17"/>
      <c r="Q801" s="186"/>
    </row>
    <row r="802" spans="16:17">
      <c r="P802" s="17"/>
      <c r="Q802" s="186"/>
    </row>
    <row r="803" spans="16:17">
      <c r="P803" s="17"/>
      <c r="Q803" s="186"/>
    </row>
    <row r="804" spans="16:17">
      <c r="P804" s="17"/>
      <c r="Q804" s="186"/>
    </row>
    <row r="805" spans="16:17">
      <c r="P805" s="17"/>
      <c r="Q805" s="186"/>
    </row>
    <row r="806" spans="16:17">
      <c r="P806" s="17"/>
      <c r="Q806" s="186"/>
    </row>
    <row r="807" spans="16:17">
      <c r="P807" s="17"/>
      <c r="Q807" s="186"/>
    </row>
    <row r="808" spans="16:17">
      <c r="P808" s="17"/>
      <c r="Q808" s="186"/>
    </row>
    <row r="809" spans="16:17">
      <c r="P809" s="17"/>
      <c r="Q809" s="186"/>
    </row>
    <row r="810" spans="16:17">
      <c r="P810" s="17"/>
      <c r="Q810" s="186"/>
    </row>
    <row r="811" spans="16:17">
      <c r="P811" s="17"/>
      <c r="Q811" s="186"/>
    </row>
    <row r="812" spans="16:17">
      <c r="P812" s="17"/>
      <c r="Q812" s="186"/>
    </row>
    <row r="813" spans="16:17">
      <c r="P813" s="17"/>
      <c r="Q813" s="186"/>
    </row>
    <row r="814" spans="16:17">
      <c r="P814" s="17"/>
      <c r="Q814" s="186"/>
    </row>
    <row r="815" spans="16:17">
      <c r="P815" s="17"/>
      <c r="Q815" s="186"/>
    </row>
    <row r="816" spans="16:17">
      <c r="P816" s="17"/>
      <c r="Q816" s="186"/>
    </row>
    <row r="817" spans="16:17">
      <c r="P817" s="17"/>
      <c r="Q817" s="186"/>
    </row>
    <row r="818" spans="16:17">
      <c r="P818" s="17"/>
      <c r="Q818" s="186"/>
    </row>
    <row r="819" spans="16:17">
      <c r="P819" s="17"/>
      <c r="Q819" s="186"/>
    </row>
    <row r="820" spans="16:17">
      <c r="P820" s="17"/>
      <c r="Q820" s="186"/>
    </row>
    <row r="821" spans="16:17">
      <c r="P821" s="17"/>
      <c r="Q821" s="186"/>
    </row>
    <row r="822" spans="16:17">
      <c r="P822" s="17"/>
      <c r="Q822" s="186"/>
    </row>
    <row r="823" spans="16:17">
      <c r="P823" s="17"/>
      <c r="Q823" s="186"/>
    </row>
    <row r="824" spans="16:17">
      <c r="P824" s="17"/>
      <c r="Q824" s="186"/>
    </row>
    <row r="825" spans="16:17">
      <c r="P825" s="17"/>
      <c r="Q825" s="186"/>
    </row>
    <row r="826" spans="16:17">
      <c r="P826" s="17"/>
      <c r="Q826" s="186"/>
    </row>
    <row r="827" spans="16:17">
      <c r="P827" s="17"/>
      <c r="Q827" s="186"/>
    </row>
    <row r="828" spans="16:17">
      <c r="P828" s="17"/>
      <c r="Q828" s="186"/>
    </row>
    <row r="829" spans="16:17">
      <c r="P829" s="17"/>
      <c r="Q829" s="186"/>
    </row>
    <row r="830" spans="16:17">
      <c r="P830" s="17"/>
      <c r="Q830" s="186"/>
    </row>
    <row r="831" spans="16:17">
      <c r="P831" s="17"/>
      <c r="Q831" s="186"/>
    </row>
    <row r="832" spans="16:17">
      <c r="P832" s="17"/>
      <c r="Q832" s="186"/>
    </row>
    <row r="833" spans="16:17">
      <c r="P833" s="17"/>
      <c r="Q833" s="186"/>
    </row>
    <row r="834" spans="16:17">
      <c r="P834" s="17"/>
      <c r="Q834" s="186"/>
    </row>
    <row r="835" spans="16:17">
      <c r="P835" s="17"/>
      <c r="Q835" s="186"/>
    </row>
    <row r="836" spans="16:17">
      <c r="P836" s="17"/>
      <c r="Q836" s="186"/>
    </row>
    <row r="837" spans="16:17">
      <c r="P837" s="17"/>
      <c r="Q837" s="186"/>
    </row>
    <row r="838" spans="16:17">
      <c r="P838" s="17"/>
      <c r="Q838" s="186"/>
    </row>
    <row r="839" spans="16:17">
      <c r="P839" s="17"/>
      <c r="Q839" s="186"/>
    </row>
    <row r="840" spans="16:17">
      <c r="P840" s="17"/>
      <c r="Q840" s="186"/>
    </row>
    <row r="841" spans="16:17">
      <c r="P841" s="17"/>
      <c r="Q841" s="186"/>
    </row>
    <row r="842" spans="16:17">
      <c r="P842" s="17"/>
      <c r="Q842" s="186"/>
    </row>
    <row r="843" spans="16:17">
      <c r="P843" s="17"/>
      <c r="Q843" s="186"/>
    </row>
    <row r="844" spans="16:17">
      <c r="P844" s="17"/>
      <c r="Q844" s="186"/>
    </row>
    <row r="845" spans="16:17">
      <c r="P845" s="17"/>
      <c r="Q845" s="186"/>
    </row>
    <row r="846" spans="16:17">
      <c r="P846" s="17"/>
      <c r="Q846" s="186"/>
    </row>
    <row r="847" spans="16:17">
      <c r="P847" s="17"/>
      <c r="Q847" s="186"/>
    </row>
    <row r="848" spans="16:17">
      <c r="P848" s="17"/>
      <c r="Q848" s="186"/>
    </row>
    <row r="849" spans="16:17">
      <c r="P849" s="17"/>
      <c r="Q849" s="186"/>
    </row>
    <row r="850" spans="16:17">
      <c r="P850" s="17"/>
      <c r="Q850" s="186"/>
    </row>
    <row r="851" spans="16:17">
      <c r="P851" s="17"/>
      <c r="Q851" s="186"/>
    </row>
    <row r="852" spans="16:17">
      <c r="P852" s="17"/>
      <c r="Q852" s="186"/>
    </row>
    <row r="853" spans="16:17">
      <c r="P853" s="17"/>
      <c r="Q853" s="186"/>
    </row>
    <row r="854" spans="16:17">
      <c r="P854" s="17"/>
      <c r="Q854" s="186"/>
    </row>
    <row r="855" spans="16:17">
      <c r="P855" s="17"/>
      <c r="Q855" s="186"/>
    </row>
    <row r="856" spans="16:17">
      <c r="P856" s="17"/>
      <c r="Q856" s="186"/>
    </row>
    <row r="857" spans="16:17">
      <c r="P857" s="17"/>
      <c r="Q857" s="186"/>
    </row>
    <row r="858" spans="16:17">
      <c r="P858" s="17"/>
      <c r="Q858" s="186"/>
    </row>
    <row r="859" spans="16:17">
      <c r="P859" s="17"/>
      <c r="Q859" s="186"/>
    </row>
    <row r="860" spans="16:17">
      <c r="P860" s="17"/>
      <c r="Q860" s="186"/>
    </row>
    <row r="861" spans="16:17">
      <c r="P861" s="17"/>
      <c r="Q861" s="186"/>
    </row>
    <row r="862" spans="16:17">
      <c r="P862" s="17"/>
      <c r="Q862" s="186"/>
    </row>
    <row r="863" spans="16:17">
      <c r="P863" s="17"/>
      <c r="Q863" s="186"/>
    </row>
    <row r="864" spans="16:17">
      <c r="P864" s="17"/>
      <c r="Q864" s="186"/>
    </row>
    <row r="865" spans="16:17">
      <c r="P865" s="17"/>
      <c r="Q865" s="186"/>
    </row>
    <row r="866" spans="16:17">
      <c r="P866" s="17"/>
      <c r="Q866" s="186"/>
    </row>
    <row r="867" spans="16:17">
      <c r="P867" s="17"/>
      <c r="Q867" s="186"/>
    </row>
    <row r="868" spans="16:17">
      <c r="P868" s="17"/>
      <c r="Q868" s="186"/>
    </row>
    <row r="869" spans="16:17">
      <c r="P869" s="17"/>
      <c r="Q869" s="186"/>
    </row>
    <row r="870" spans="16:17">
      <c r="P870" s="17"/>
      <c r="Q870" s="186"/>
    </row>
    <row r="871" spans="16:17">
      <c r="P871" s="17"/>
      <c r="Q871" s="186"/>
    </row>
    <row r="872" spans="16:17">
      <c r="P872" s="17"/>
      <c r="Q872" s="186"/>
    </row>
    <row r="873" spans="16:17">
      <c r="P873" s="17"/>
      <c r="Q873" s="186"/>
    </row>
    <row r="874" spans="16:17">
      <c r="P874" s="17"/>
      <c r="Q874" s="186"/>
    </row>
    <row r="875" spans="16:17">
      <c r="P875" s="17"/>
      <c r="Q875" s="186"/>
    </row>
    <row r="876" spans="16:17">
      <c r="P876" s="17"/>
      <c r="Q876" s="186"/>
    </row>
    <row r="877" spans="16:17">
      <c r="P877" s="17"/>
      <c r="Q877" s="186"/>
    </row>
    <row r="878" spans="16:17">
      <c r="P878" s="17"/>
      <c r="Q878" s="186"/>
    </row>
    <row r="879" spans="16:17">
      <c r="P879" s="17"/>
      <c r="Q879" s="186"/>
    </row>
    <row r="880" spans="16:17">
      <c r="P880" s="17"/>
      <c r="Q880" s="186"/>
    </row>
    <row r="881" spans="16:17">
      <c r="P881" s="17"/>
      <c r="Q881" s="186"/>
    </row>
    <row r="882" spans="16:17">
      <c r="P882" s="17"/>
      <c r="Q882" s="186"/>
    </row>
    <row r="883" spans="16:17">
      <c r="P883" s="17"/>
      <c r="Q883" s="186"/>
    </row>
    <row r="884" spans="16:17">
      <c r="P884" s="17"/>
      <c r="Q884" s="186"/>
    </row>
    <row r="885" spans="16:17">
      <c r="P885" s="17"/>
      <c r="Q885" s="186"/>
    </row>
    <row r="886" spans="16:17">
      <c r="P886" s="17"/>
      <c r="Q886" s="186"/>
    </row>
    <row r="887" spans="16:17">
      <c r="P887" s="17"/>
      <c r="Q887" s="186"/>
    </row>
    <row r="888" spans="16:17">
      <c r="P888" s="17"/>
      <c r="Q888" s="186"/>
    </row>
    <row r="889" spans="16:17">
      <c r="P889" s="17"/>
      <c r="Q889" s="186"/>
    </row>
    <row r="890" spans="16:17">
      <c r="P890" s="17"/>
      <c r="Q890" s="186"/>
    </row>
    <row r="891" spans="16:17">
      <c r="P891" s="17"/>
      <c r="Q891" s="186"/>
    </row>
    <row r="892" spans="16:17">
      <c r="P892" s="17"/>
      <c r="Q892" s="186"/>
    </row>
    <row r="893" spans="16:17">
      <c r="P893" s="17"/>
      <c r="Q893" s="186"/>
    </row>
    <row r="894" spans="16:17">
      <c r="P894" s="17"/>
      <c r="Q894" s="186"/>
    </row>
    <row r="895" spans="16:17">
      <c r="P895" s="17"/>
      <c r="Q895" s="186"/>
    </row>
    <row r="896" spans="16:17">
      <c r="P896" s="17"/>
      <c r="Q896" s="186"/>
    </row>
    <row r="897" spans="16:17">
      <c r="P897" s="17"/>
      <c r="Q897" s="186"/>
    </row>
    <row r="898" spans="16:17">
      <c r="P898" s="17"/>
      <c r="Q898" s="186"/>
    </row>
    <row r="899" spans="16:17">
      <c r="P899" s="17"/>
      <c r="Q899" s="186"/>
    </row>
    <row r="900" spans="16:17">
      <c r="P900" s="17"/>
      <c r="Q900" s="186"/>
    </row>
    <row r="901" spans="16:17">
      <c r="P901" s="17"/>
      <c r="Q901" s="186"/>
    </row>
    <row r="902" spans="16:17">
      <c r="P902" s="17"/>
      <c r="Q902" s="186"/>
    </row>
    <row r="903" spans="16:17">
      <c r="P903" s="17"/>
      <c r="Q903" s="186"/>
    </row>
    <row r="904" spans="16:17">
      <c r="P904" s="17"/>
      <c r="Q904" s="186"/>
    </row>
    <row r="905" spans="16:17">
      <c r="P905" s="17"/>
      <c r="Q905" s="186"/>
    </row>
    <row r="906" spans="16:17">
      <c r="P906" s="17"/>
      <c r="Q906" s="186"/>
    </row>
    <row r="907" spans="16:17">
      <c r="P907" s="17"/>
      <c r="Q907" s="186"/>
    </row>
    <row r="908" spans="16:17">
      <c r="P908" s="17"/>
      <c r="Q908" s="186"/>
    </row>
    <row r="909" spans="16:17">
      <c r="P909" s="17"/>
      <c r="Q909" s="186"/>
    </row>
    <row r="910" spans="16:17">
      <c r="P910" s="17"/>
      <c r="Q910" s="186"/>
    </row>
    <row r="911" spans="16:17">
      <c r="P911" s="17"/>
      <c r="Q911" s="186"/>
    </row>
    <row r="912" spans="16:17">
      <c r="P912" s="17"/>
      <c r="Q912" s="186"/>
    </row>
    <row r="913" spans="16:17">
      <c r="P913" s="17"/>
      <c r="Q913" s="186"/>
    </row>
    <row r="914" spans="16:17">
      <c r="P914" s="17"/>
      <c r="Q914" s="186"/>
    </row>
    <row r="915" spans="16:17">
      <c r="P915" s="17"/>
      <c r="Q915" s="186"/>
    </row>
    <row r="916" spans="16:17">
      <c r="P916" s="17"/>
      <c r="Q916" s="186"/>
    </row>
    <row r="917" spans="16:17">
      <c r="P917" s="17"/>
      <c r="Q917" s="186"/>
    </row>
    <row r="918" spans="16:17">
      <c r="P918" s="17"/>
      <c r="Q918" s="186"/>
    </row>
    <row r="919" spans="16:17">
      <c r="P919" s="17"/>
      <c r="Q919" s="186"/>
    </row>
    <row r="920" spans="16:17">
      <c r="P920" s="17"/>
      <c r="Q920" s="186"/>
    </row>
    <row r="921" spans="16:17">
      <c r="P921" s="17"/>
      <c r="Q921" s="186"/>
    </row>
    <row r="922" spans="16:17">
      <c r="P922" s="17"/>
      <c r="Q922" s="186"/>
    </row>
    <row r="923" spans="16:17">
      <c r="P923" s="17"/>
      <c r="Q923" s="186"/>
    </row>
    <row r="924" spans="16:17">
      <c r="P924" s="17"/>
      <c r="Q924" s="186"/>
    </row>
    <row r="925" spans="16:17">
      <c r="P925" s="17"/>
      <c r="Q925" s="186"/>
    </row>
    <row r="926" spans="16:17">
      <c r="P926" s="17"/>
      <c r="Q926" s="186"/>
    </row>
    <row r="927" spans="16:17">
      <c r="P927" s="17"/>
      <c r="Q927" s="186"/>
    </row>
    <row r="928" spans="16:17">
      <c r="P928" s="17"/>
      <c r="Q928" s="186"/>
    </row>
    <row r="929" spans="16:17">
      <c r="P929" s="17"/>
      <c r="Q929" s="186"/>
    </row>
    <row r="930" spans="16:17">
      <c r="P930" s="17"/>
      <c r="Q930" s="186"/>
    </row>
    <row r="931" spans="16:17">
      <c r="P931" s="17"/>
      <c r="Q931" s="186"/>
    </row>
    <row r="932" spans="16:17">
      <c r="P932" s="17"/>
      <c r="Q932" s="186"/>
    </row>
    <row r="933" spans="16:17">
      <c r="P933" s="17"/>
      <c r="Q933" s="186"/>
    </row>
    <row r="934" spans="16:17">
      <c r="P934" s="17"/>
      <c r="Q934" s="186"/>
    </row>
    <row r="935" spans="16:17">
      <c r="P935" s="17"/>
      <c r="Q935" s="186"/>
    </row>
    <row r="936" spans="16:17">
      <c r="P936" s="17"/>
      <c r="Q936" s="186"/>
    </row>
    <row r="937" spans="16:17">
      <c r="P937" s="17"/>
      <c r="Q937" s="186"/>
    </row>
    <row r="938" spans="16:17">
      <c r="P938" s="17"/>
      <c r="Q938" s="186"/>
    </row>
    <row r="939" spans="16:17">
      <c r="P939" s="17"/>
      <c r="Q939" s="186"/>
    </row>
    <row r="940" spans="16:17">
      <c r="P940" s="17"/>
      <c r="Q940" s="186"/>
    </row>
    <row r="941" spans="16:17">
      <c r="P941" s="17"/>
      <c r="Q941" s="186"/>
    </row>
    <row r="942" spans="16:17">
      <c r="P942" s="17"/>
      <c r="Q942" s="186"/>
    </row>
    <row r="943" spans="16:17">
      <c r="P943" s="17"/>
      <c r="Q943" s="186"/>
    </row>
    <row r="944" spans="16:17">
      <c r="P944" s="17"/>
      <c r="Q944" s="186"/>
    </row>
    <row r="945" spans="16:17">
      <c r="P945" s="17"/>
      <c r="Q945" s="186"/>
    </row>
    <row r="946" spans="16:17">
      <c r="P946" s="17"/>
      <c r="Q946" s="186"/>
    </row>
    <row r="947" spans="16:17">
      <c r="P947" s="17"/>
      <c r="Q947" s="186"/>
    </row>
    <row r="948" spans="16:17">
      <c r="P948" s="17"/>
      <c r="Q948" s="186"/>
    </row>
    <row r="949" spans="16:17">
      <c r="P949" s="17"/>
      <c r="Q949" s="186"/>
    </row>
    <row r="950" spans="16:17">
      <c r="P950" s="17"/>
      <c r="Q950" s="186"/>
    </row>
    <row r="951" spans="16:17">
      <c r="P951" s="17"/>
      <c r="Q951" s="186"/>
    </row>
    <row r="952" spans="16:17">
      <c r="P952" s="17"/>
      <c r="Q952" s="186"/>
    </row>
    <row r="953" spans="16:17">
      <c r="P953" s="17"/>
      <c r="Q953" s="186"/>
    </row>
    <row r="954" spans="16:17">
      <c r="P954" s="17"/>
      <c r="Q954" s="186"/>
    </row>
    <row r="955" spans="16:17">
      <c r="P955" s="17"/>
      <c r="Q955" s="186"/>
    </row>
    <row r="956" spans="16:17">
      <c r="P956" s="17"/>
      <c r="Q956" s="186"/>
    </row>
    <row r="957" spans="16:17">
      <c r="P957" s="17"/>
      <c r="Q957" s="186"/>
    </row>
    <row r="958" spans="16:17">
      <c r="P958" s="17"/>
      <c r="Q958" s="186"/>
    </row>
    <row r="959" spans="16:17">
      <c r="P959" s="17"/>
      <c r="Q959" s="186"/>
    </row>
    <row r="960" spans="16:17">
      <c r="P960" s="17"/>
      <c r="Q960" s="186"/>
    </row>
    <row r="961" spans="16:17">
      <c r="P961" s="17"/>
      <c r="Q961" s="186"/>
    </row>
    <row r="962" spans="16:17">
      <c r="P962" s="17"/>
      <c r="Q962" s="186"/>
    </row>
    <row r="963" spans="16:17">
      <c r="P963" s="17"/>
      <c r="Q963" s="186"/>
    </row>
    <row r="964" spans="16:17">
      <c r="P964" s="17"/>
      <c r="Q964" s="186"/>
    </row>
    <row r="965" spans="16:17">
      <c r="P965" s="17"/>
      <c r="Q965" s="186"/>
    </row>
    <row r="966" spans="16:17">
      <c r="P966" s="17"/>
      <c r="Q966" s="186"/>
    </row>
    <row r="967" spans="16:17">
      <c r="P967" s="17"/>
      <c r="Q967" s="186"/>
    </row>
    <row r="968" spans="16:17">
      <c r="P968" s="17"/>
      <c r="Q968" s="186"/>
    </row>
    <row r="969" spans="16:17">
      <c r="P969" s="17"/>
      <c r="Q969" s="186"/>
    </row>
    <row r="970" spans="16:17">
      <c r="P970" s="17"/>
      <c r="Q970" s="186"/>
    </row>
    <row r="971" spans="16:17">
      <c r="P971" s="17"/>
      <c r="Q971" s="186"/>
    </row>
    <row r="972" spans="16:17">
      <c r="P972" s="17"/>
      <c r="Q972" s="186"/>
    </row>
    <row r="973" spans="16:17">
      <c r="P973" s="17"/>
      <c r="Q973" s="186"/>
    </row>
    <row r="974" spans="16:17">
      <c r="P974" s="17"/>
      <c r="Q974" s="186"/>
    </row>
    <row r="975" spans="16:17">
      <c r="P975" s="17"/>
      <c r="Q975" s="186"/>
    </row>
    <row r="976" spans="16:17">
      <c r="P976" s="17"/>
      <c r="Q976" s="186"/>
    </row>
    <row r="977" spans="16:17">
      <c r="P977" s="17"/>
      <c r="Q977" s="186"/>
    </row>
    <row r="978" spans="16:17">
      <c r="P978" s="17"/>
      <c r="Q978" s="186"/>
    </row>
    <row r="979" spans="16:17">
      <c r="P979" s="17"/>
      <c r="Q979" s="186"/>
    </row>
    <row r="980" spans="16:17">
      <c r="P980" s="17"/>
      <c r="Q980" s="186"/>
    </row>
    <row r="981" spans="16:17">
      <c r="P981" s="17"/>
      <c r="Q981" s="186"/>
    </row>
    <row r="982" spans="16:17">
      <c r="P982" s="17"/>
      <c r="Q982" s="186"/>
    </row>
    <row r="983" spans="16:17">
      <c r="P983" s="17"/>
      <c r="Q983" s="186"/>
    </row>
    <row r="984" spans="16:17">
      <c r="P984" s="17"/>
      <c r="Q984" s="186"/>
    </row>
    <row r="985" spans="16:17">
      <c r="P985" s="17"/>
      <c r="Q985" s="186"/>
    </row>
    <row r="986" spans="16:17">
      <c r="P986" s="17"/>
      <c r="Q986" s="186"/>
    </row>
    <row r="987" spans="16:17">
      <c r="P987" s="17"/>
      <c r="Q987" s="186"/>
    </row>
    <row r="988" spans="16:17">
      <c r="P988" s="17"/>
      <c r="Q988" s="186"/>
    </row>
    <row r="989" spans="16:17">
      <c r="P989" s="17"/>
      <c r="Q989" s="186"/>
    </row>
    <row r="990" spans="16:17">
      <c r="P990" s="17"/>
      <c r="Q990" s="186"/>
    </row>
    <row r="991" spans="16:17">
      <c r="P991" s="17"/>
      <c r="Q991" s="186"/>
    </row>
    <row r="992" spans="16:17">
      <c r="P992" s="17"/>
      <c r="Q992" s="186"/>
    </row>
    <row r="993" spans="16:17">
      <c r="P993" s="17"/>
      <c r="Q993" s="186"/>
    </row>
    <row r="994" spans="16:17">
      <c r="P994" s="17"/>
      <c r="Q994" s="186"/>
    </row>
    <row r="995" spans="16:17">
      <c r="P995" s="17"/>
      <c r="Q995" s="186"/>
    </row>
    <row r="996" spans="16:17">
      <c r="P996" s="17"/>
      <c r="Q996" s="186"/>
    </row>
    <row r="997" spans="16:17">
      <c r="P997" s="17"/>
      <c r="Q997" s="186"/>
    </row>
    <row r="998" spans="16:17">
      <c r="P998" s="17"/>
      <c r="Q998" s="186"/>
    </row>
    <row r="999" spans="16:17">
      <c r="P999" s="17"/>
      <c r="Q999" s="186"/>
    </row>
    <row r="1000" spans="16:17">
      <c r="P1000" s="17"/>
      <c r="Q1000" s="186"/>
    </row>
    <row r="1001" spans="16:17">
      <c r="P1001" s="17"/>
      <c r="Q1001" s="186"/>
    </row>
  </sheetData>
  <autoFilter ref="A1:AC12" xr:uid="{C26091E9-4E50-4E1A-AF47-FE7D6E84C9C5}"/>
  <pageMargins left="0.7" right="0.7" top="0.75" bottom="0.75" header="0.3" footer="0.3"/>
  <pageSetup scale="10" orientation="portrait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4B9C-3965-41AF-AEA1-4BD14C069D41}">
  <dimension ref="B2:O21"/>
  <sheetViews>
    <sheetView zoomScale="90" zoomScaleNormal="90" zoomScaleSheetLayoutView="95" workbookViewId="0">
      <pane ySplit="1" topLeftCell="A2" activePane="bottomLeft" state="frozen"/>
      <selection activeCell="B1" sqref="B1"/>
      <selection pane="bottomLeft" activeCell="J22" sqref="J22"/>
    </sheetView>
  </sheetViews>
  <sheetFormatPr baseColWidth="10" defaultRowHeight="15"/>
  <cols>
    <col min="1" max="1" width="8.140625" style="24" customWidth="1"/>
    <col min="2" max="2" width="5.85546875" style="24" customWidth="1"/>
    <col min="3" max="3" width="41.5703125" style="82" customWidth="1"/>
    <col min="4" max="4" width="15" style="83" customWidth="1"/>
    <col min="5" max="5" width="15.28515625" style="191" customWidth="1"/>
    <col min="6" max="6" width="22" style="192" customWidth="1"/>
    <col min="7" max="7" width="15.28515625" style="83" customWidth="1"/>
    <col min="8" max="8" width="15.28515625" style="191" customWidth="1"/>
    <col min="9" max="9" width="18" style="82" customWidth="1"/>
    <col min="10" max="10" width="15.42578125" style="83" bestFit="1" customWidth="1"/>
    <col min="11" max="13" width="11.42578125" style="82"/>
    <col min="14" max="15" width="11.42578125" style="83"/>
    <col min="16" max="16384" width="11.42578125" style="24"/>
  </cols>
  <sheetData>
    <row r="2" spans="2:10" ht="15.75" thickBot="1"/>
    <row r="3" spans="2:10" ht="15.75" thickBot="1">
      <c r="F3" s="243" t="s">
        <v>254</v>
      </c>
      <c r="G3" s="244"/>
      <c r="I3" s="246" t="s">
        <v>262</v>
      </c>
      <c r="J3" s="247"/>
    </row>
    <row r="4" spans="2:10">
      <c r="B4" s="193" t="s">
        <v>71</v>
      </c>
      <c r="C4" s="194" t="s">
        <v>242</v>
      </c>
      <c r="D4" s="195" t="s">
        <v>264</v>
      </c>
      <c r="F4" s="196" t="s">
        <v>251</v>
      </c>
      <c r="G4" s="197">
        <v>1927055</v>
      </c>
      <c r="I4" s="189" t="s">
        <v>255</v>
      </c>
      <c r="J4" s="197">
        <f>+MADERA!D7*MADERA!M4</f>
        <v>4496000</v>
      </c>
    </row>
    <row r="5" spans="2:10">
      <c r="B5" s="92">
        <v>1</v>
      </c>
      <c r="C5" s="116" t="s">
        <v>260</v>
      </c>
      <c r="D5" s="197">
        <f>+G4+G6</f>
        <v>2141555</v>
      </c>
      <c r="F5" s="196" t="s">
        <v>252</v>
      </c>
      <c r="G5" s="197">
        <f>+(1750000)*54.29%</f>
        <v>950074.99999999988</v>
      </c>
      <c r="I5" s="189" t="s">
        <v>256</v>
      </c>
      <c r="J5" s="197">
        <f>+MADERA!D8*MADERA!M5</f>
        <v>3678000</v>
      </c>
    </row>
    <row r="6" spans="2:10">
      <c r="B6" s="92">
        <f>+B5+1</f>
        <v>2</v>
      </c>
      <c r="C6" s="116" t="s">
        <v>248</v>
      </c>
      <c r="D6" s="197">
        <f>+G5</f>
        <v>950074.99999999988</v>
      </c>
      <c r="F6" s="196" t="s">
        <v>253</v>
      </c>
      <c r="G6" s="197">
        <f>107250*2</f>
        <v>214500</v>
      </c>
      <c r="I6" s="189" t="str">
        <f>+MADERA!C9</f>
        <v>VARAS DE 4 MTRS</v>
      </c>
      <c r="J6" s="197">
        <f>+MADERA!D9*MADERA!M5</f>
        <v>6000</v>
      </c>
    </row>
    <row r="7" spans="2:10" ht="15.75" thickBot="1">
      <c r="B7" s="92">
        <f t="shared" ref="B7:B9" si="0">+B6+1</f>
        <v>3</v>
      </c>
      <c r="C7" s="116" t="s">
        <v>243</v>
      </c>
      <c r="D7" s="197">
        <f>151*12011</f>
        <v>1813661</v>
      </c>
      <c r="F7" s="198" t="s">
        <v>208</v>
      </c>
      <c r="G7" s="199">
        <f>SUM(G4:G6)</f>
        <v>3091630</v>
      </c>
      <c r="I7" s="190" t="s">
        <v>257</v>
      </c>
      <c r="J7" s="200">
        <f>SUM(J4:J6)</f>
        <v>8180000</v>
      </c>
    </row>
    <row r="8" spans="2:10" ht="15.75" thickBot="1">
      <c r="B8" s="92">
        <f t="shared" si="0"/>
        <v>4</v>
      </c>
      <c r="C8" s="116" t="s">
        <v>244</v>
      </c>
      <c r="D8" s="197">
        <f>+(11700000/12)</f>
        <v>975000</v>
      </c>
      <c r="F8" s="201" t="s">
        <v>258</v>
      </c>
      <c r="G8" s="202">
        <f>+G7/240</f>
        <v>12881.791666666666</v>
      </c>
      <c r="I8" s="104"/>
    </row>
    <row r="9" spans="2:10">
      <c r="B9" s="92">
        <f t="shared" si="0"/>
        <v>5</v>
      </c>
      <c r="C9" s="116" t="s">
        <v>245</v>
      </c>
      <c r="D9" s="197">
        <f>+(1234000*4)/12</f>
        <v>411333.33333333331</v>
      </c>
      <c r="I9" s="104"/>
    </row>
    <row r="10" spans="2:10">
      <c r="B10" s="92">
        <f>+B9+1</f>
        <v>6</v>
      </c>
      <c r="C10" s="116" t="s">
        <v>246</v>
      </c>
      <c r="D10" s="197">
        <f>6699971/12</f>
        <v>558330.91666666663</v>
      </c>
      <c r="I10" s="104"/>
    </row>
    <row r="11" spans="2:10">
      <c r="B11" s="92">
        <f t="shared" ref="B11:B14" si="1">+B10+1</f>
        <v>7</v>
      </c>
      <c r="C11" s="116" t="s">
        <v>263</v>
      </c>
      <c r="D11" s="197">
        <v>14000000</v>
      </c>
      <c r="I11" s="104"/>
    </row>
    <row r="12" spans="2:10">
      <c r="B12" s="92">
        <f t="shared" si="1"/>
        <v>8</v>
      </c>
      <c r="C12" s="116" t="s">
        <v>261</v>
      </c>
      <c r="D12" s="197">
        <f>+G15+G17</f>
        <v>4917310</v>
      </c>
      <c r="I12" s="104"/>
    </row>
    <row r="13" spans="2:10">
      <c r="B13" s="92">
        <f t="shared" si="1"/>
        <v>9</v>
      </c>
      <c r="C13" s="116" t="s">
        <v>265</v>
      </c>
      <c r="D13" s="197">
        <f>+G16</f>
        <v>1900149.9999999998</v>
      </c>
      <c r="I13" s="104"/>
    </row>
    <row r="14" spans="2:10">
      <c r="B14" s="92">
        <f t="shared" si="1"/>
        <v>10</v>
      </c>
      <c r="C14" s="116" t="s">
        <v>250</v>
      </c>
      <c r="D14" s="197">
        <f>+J7</f>
        <v>8180000</v>
      </c>
      <c r="F14" s="245" t="s">
        <v>247</v>
      </c>
      <c r="G14" s="245"/>
    </row>
    <row r="15" spans="2:10" ht="15.75" thickBot="1">
      <c r="B15" s="207"/>
      <c r="C15" s="203" t="s">
        <v>259</v>
      </c>
      <c r="D15" s="202">
        <f>SUM(D5:D14)</f>
        <v>35847415.25</v>
      </c>
      <c r="F15" s="204" t="s">
        <v>249</v>
      </c>
      <c r="G15" s="139">
        <v>3825310</v>
      </c>
    </row>
    <row r="16" spans="2:10">
      <c r="C16" s="104"/>
      <c r="F16" s="204" t="s">
        <v>252</v>
      </c>
      <c r="G16" s="139">
        <f>+(3500000)*54.29%</f>
        <v>1900149.9999999998</v>
      </c>
    </row>
    <row r="17" spans="3:7">
      <c r="C17" s="104"/>
      <c r="F17" s="204" t="s">
        <v>253</v>
      </c>
      <c r="G17" s="139">
        <v>1092000</v>
      </c>
    </row>
    <row r="18" spans="3:7">
      <c r="C18" s="104"/>
      <c r="F18" s="205" t="s">
        <v>208</v>
      </c>
      <c r="G18" s="206">
        <f>SUM(G15:G17)</f>
        <v>6817460</v>
      </c>
    </row>
    <row r="19" spans="3:7">
      <c r="C19" s="104"/>
    </row>
    <row r="20" spans="3:7">
      <c r="C20" s="104"/>
    </row>
    <row r="21" spans="3:7">
      <c r="C21" s="104"/>
    </row>
  </sheetData>
  <mergeCells count="3">
    <mergeCell ref="F3:G3"/>
    <mergeCell ref="F14:G14"/>
    <mergeCell ref="I3:J3"/>
  </mergeCells>
  <pageMargins left="0.7" right="0.7" top="0.75" bottom="0.75" header="0.3" footer="0.3"/>
  <pageSetup scale="10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PRODUC ACUMULADA</vt:lpstr>
      <vt:lpstr>COSTOS EPP</vt:lpstr>
      <vt:lpstr>COSTOS INSUMOS </vt:lpstr>
      <vt:lpstr>ENERGIA 2026</vt:lpstr>
      <vt:lpstr>MADERA</vt:lpstr>
      <vt:lpstr>COMBUSTIBLE</vt:lpstr>
      <vt:lpstr>PAJARITA</vt:lpstr>
      <vt:lpstr>CALCULO MADERA</vt:lpstr>
      <vt:lpstr>'COSTOS INSUMOS '!Área_de_impresión</vt:lpstr>
      <vt:lpstr>PAJARITA!Área_de_impresión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 COEXCCOL</dc:creator>
  <cp:lastModifiedBy>NAC2</cp:lastModifiedBy>
  <dcterms:created xsi:type="dcterms:W3CDTF">2024-01-19T13:35:58Z</dcterms:created>
  <dcterms:modified xsi:type="dcterms:W3CDTF">2026-06-22T15:37:48Z</dcterms:modified>
</cp:coreProperties>
</file>